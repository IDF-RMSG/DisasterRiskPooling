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ufr\Downloads\"/>
    </mc:Choice>
  </mc:AlternateContent>
  <xr:revisionPtr revIDLastSave="0" documentId="13_ncr:1_{68F7146A-3C05-4DFA-A5A6-E059F9F230EF}" xr6:coauthVersionLast="47" xr6:coauthVersionMax="47" xr10:uidLastSave="{00000000-0000-0000-0000-000000000000}"/>
  <bookViews>
    <workbookView xWindow="-110" yWindow="-110" windowWidth="23260" windowHeight="14860" activeTab="1" xr2:uid="{60C19487-0B79-41E6-A2D2-FCACF4A2B570}"/>
  </bookViews>
  <sheets>
    <sheet name="README" sheetId="2" r:id="rId1"/>
    <sheet name="Historical_Loss_Data" sheetId="1" r:id="rId2"/>
    <sheet name="Mapp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I2" i="1"/>
  <c r="H2" i="1"/>
  <c r="O5" i="1"/>
  <c r="O4" i="1"/>
  <c r="O3" i="1"/>
  <c r="O2" i="1"/>
  <c r="L2" i="1" a="1"/>
  <c r="L2" i="1" s="1"/>
  <c r="K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<sst xmlns="http://schemas.openxmlformats.org/spreadsheetml/2006/main" count="369" uniqueCount="82">
  <si>
    <t>Philippines (the)</t>
  </si>
  <si>
    <t>Earthquake</t>
  </si>
  <si>
    <t>Flood</t>
  </si>
  <si>
    <t>Peril</t>
  </si>
  <si>
    <t>Loss (USD)</t>
  </si>
  <si>
    <t>Year</t>
  </si>
  <si>
    <t>Event Name or ID</t>
  </si>
  <si>
    <t>Country</t>
  </si>
  <si>
    <t>Data Schema</t>
  </si>
  <si>
    <t>Any String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</si>
  <si>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</si>
  <si>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</si>
  <si>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</si>
  <si>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</si>
  <si>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</si>
  <si>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</si>
  <si>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</si>
  <si>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</si>
  <si>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</si>
  <si>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</si>
  <si>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</si>
  <si>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</si>
  <si>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</si>
  <si>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</si>
  <si>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</si>
  <si>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</si>
  <si>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</si>
  <si>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</si>
  <si>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</si>
  <si>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</si>
  <si>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</si>
  <si>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</si>
  <si>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</si>
  <si>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</si>
  <si>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</si>
  <si>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</si>
  <si>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</si>
  <si>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</si>
  <si>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</si>
  <si>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</si>
  <si>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</si>
  <si>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</si>
  <si>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</si>
  <si>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Romania</t>
  </si>
  <si>
    <t>Somalia</t>
  </si>
  <si>
    <t>South Africa</t>
  </si>
  <si>
    <t>Sri Lanka</t>
  </si>
  <si>
    <t>Tajikistan</t>
  </si>
  <si>
    <t>Viet Nam</t>
  </si>
  <si>
    <t>Yemen</t>
  </si>
  <si>
    <t>Cyclone</t>
  </si>
  <si>
    <t>Drought</t>
  </si>
  <si>
    <t>Key</t>
  </si>
  <si>
    <t>Headings</t>
  </si>
  <si>
    <t>Any Country from the country list in Loss Simulator (selectable from dropdown)</t>
  </si>
  <si>
    <t>Any of the four perils in the peril list in Loss Simulator (selectable from dropdown)</t>
  </si>
  <si>
    <t>4-digit integer value &gt; 0, representing a year (YYYY).</t>
  </si>
  <si>
    <t>Integer or Float &gt; 0</t>
  </si>
  <si>
    <t>Purpose</t>
  </si>
  <si>
    <t>Countries included</t>
  </si>
  <si>
    <t>Perils included</t>
  </si>
  <si>
    <t>Value</t>
  </si>
  <si>
    <t>Minimum</t>
  </si>
  <si>
    <t>Maximum</t>
  </si>
  <si>
    <t>Median</t>
  </si>
  <si>
    <t>Average Annual Loss (AAL)</t>
  </si>
  <si>
    <t>Total</t>
  </si>
  <si>
    <t>Loss Summary (all perils all countries)</t>
  </si>
  <si>
    <t xml:space="preserve">Please Consult </t>
  </si>
  <si>
    <t>for more information on how to run the tool and its intended use cases</t>
  </si>
  <si>
    <t>idf-rmsg.github.io/DisasterRiskPooling/</t>
  </si>
  <si>
    <t>Loss Type</t>
  </si>
  <si>
    <t>LossType</t>
  </si>
  <si>
    <t>Occurrence</t>
  </si>
  <si>
    <t>Aggregate</t>
  </si>
  <si>
    <t>Occurrence' or 'Aggregate' (select from dropdown options). Occurrence means this loss was from a single event; Aggregate means the loss refers to the total loss amount for that year.</t>
  </si>
  <si>
    <t>User Input Sheets / Cells</t>
  </si>
  <si>
    <t>Min Year</t>
  </si>
  <si>
    <t>Number of Years</t>
  </si>
  <si>
    <t>Disaster Risk Pooling Tool: Loss Simulator - Historical Data Upload Template</t>
  </si>
  <si>
    <t>This template includes example data (to be replaced with user data as needed, and a summary of the losses included. Use this file to prepare your data for upload to the Loss Simulator.</t>
  </si>
  <si>
    <t>This file enables upload of historical disaster loss amounts to the Loss Simulator, for cases where the user wants to use another source of data than EM-DAT (provided in the tool by default). Manual data upload is available in Advanced Mode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</si>
</sst>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  <font>
      <b/>
      <sz val="20"/>
      <color rgb="FFFF0000"/>
      <name val="Aptos"/>
      <family val="2"/>
    </font>
    <font>
      <u/>
      <sz val="11"/>
      <color theme="10"/>
      <name val="Aptos Narrow"/>
      <family val="2"/>
      <scheme val="minor"/>
    </font>
    <font>
      <b/>
      <sz val="18"/>
      <color rgb="FFFF0000"/>
      <name val="Aptos"/>
      <family val="2"/>
    </font>
    <font>
      <b/>
      <u/>
      <sz val="18"/>
      <color rgb="FF002060"/>
      <name val="Aptos"/>
      <family val="2"/>
    </font>
    <font>
      <sz val="11"/>
      <color theme="1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29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12" xfId="0" applyBorder="1"/>
    <xf numFmtId="0" fontId="0" fillId="0" borderId="14" xfId="0" applyBorder="1"/>
    <xf numFmtId="0" fontId="13" fillId="34" borderId="11" xfId="0" applyFont="1" applyFill="1" applyBorder="1"/>
    <xf numFmtId="0" fontId="18" fillId="34" borderId="10" xfId="0" applyFont="1" applyFill="1" applyBorder="1" applyAlignment="1">
      <alignment wrapText="1"/>
    </xf>
    <xf numFmtId="0" fontId="18" fillId="34" borderId="0" xfId="0" applyFont="1" applyFill="1" applyAlignment="1">
      <alignment wrapText="1"/>
    </xf>
    <xf numFmtId="0" fontId="0" fillId="33" borderId="10" xfId="0" applyFill="1" applyBorder="1"/>
    <xf numFmtId="0" fontId="18" fillId="34" borderId="15" xfId="0" applyFont="1" applyFill="1" applyBorder="1" applyAlignment="1">
      <alignment wrapText="1"/>
    </xf>
    <xf numFmtId="0" fontId="0" fillId="35" borderId="0" xfId="0" applyFill="1"/>
    <xf numFmtId="0" fontId="19" fillId="35" borderId="0" xfId="0" applyFont="1" applyFill="1"/>
    <xf numFmtId="43" fontId="0" fillId="0" borderId="0" xfId="42" applyFont="1"/>
    <xf numFmtId="43" fontId="0" fillId="0" borderId="0" xfId="0" applyNumberFormat="1"/>
    <xf numFmtId="11" fontId="0" fillId="33" borderId="0" xfId="0" applyNumberFormat="1" applyFill="1"/>
    <xf numFmtId="0" fontId="21" fillId="0" borderId="0" xfId="0" applyFont="1"/>
    <xf numFmtId="0" fontId="22" fillId="0" borderId="0" xfId="43" applyFont="1"/>
    <xf numFmtId="0" fontId="23" fillId="0" borderId="0" xfId="0" applyFont="1"/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quotePrefix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35" borderId="0" xfId="0" applyFill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9525</xdr:rowOff>
    </xdr:from>
    <xdr:to>
      <xdr:col>10</xdr:col>
      <xdr:colOff>116688</xdr:colOff>
      <xdr:row>6</xdr:row>
      <xdr:rowOff>169934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26AF88F-44A8-4ACC-A56C-1F6B4853AF25}"/>
            </a:ext>
          </a:extLst>
        </xdr:cNvPr>
        <xdr:cNvGrpSpPr/>
      </xdr:nvGrpSpPr>
      <xdr:grpSpPr>
        <a:xfrm>
          <a:off x="114300" y="192969"/>
          <a:ext cx="11227777" cy="1077632"/>
          <a:chOff x="294702" y="2430650"/>
          <a:chExt cx="12173070" cy="1213161"/>
        </a:xfrm>
      </xdr:grpSpPr>
      <xdr:pic>
        <xdr:nvPicPr>
          <xdr:cNvPr id="3" name="Picture 2" descr="A black background with blue text and a globe&#10;&#10;AI-generated content may be incorrect.">
            <a:extLst>
              <a:ext uri="{FF2B5EF4-FFF2-40B4-BE49-F238E27FC236}">
                <a16:creationId xmlns:a16="http://schemas.microsoft.com/office/drawing/2014/main" id="{8C27AF81-9DD7-E97A-F657-918C06FFBC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b="78303"/>
          <a:stretch/>
        </xdr:blipFill>
        <xdr:spPr>
          <a:xfrm>
            <a:off x="294702" y="2557123"/>
            <a:ext cx="3899926" cy="959836"/>
          </a:xfrm>
          <a:prstGeom prst="rect">
            <a:avLst/>
          </a:prstGeom>
        </xdr:spPr>
      </xdr:pic>
      <xdr:pic>
        <xdr:nvPicPr>
          <xdr:cNvPr id="4" name="Picture 3" descr="A black background with blue text and a globe&#10;&#10;AI-generated content may be incorrect.">
            <a:extLst>
              <a:ext uri="{FF2B5EF4-FFF2-40B4-BE49-F238E27FC236}">
                <a16:creationId xmlns:a16="http://schemas.microsoft.com/office/drawing/2014/main" id="{7256644F-3523-7B81-6F5F-667A54F143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l="-1098" t="44561" r="10837" b="27726"/>
          <a:stretch/>
        </xdr:blipFill>
        <xdr:spPr>
          <a:xfrm>
            <a:off x="8984343" y="2430650"/>
            <a:ext cx="3483429" cy="1213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df-rmsg.github.io/DisasterRiskPooling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751E-2F09-450A-AB55-39EAECCDA7DE}">
  <sheetPr codeName="Sheet2">
    <tabColor theme="1"/>
  </sheetPr>
  <dimension ref="A8:H28"/>
  <sheetViews>
    <sheetView showGridLines="0" zoomScale="90" zoomScaleNormal="90" workbookViewId="0">
      <selection activeCell="C11" sqref="C11"/>
    </sheetView>
  </sheetViews>
  <sheetFormatPr defaultColWidth="8.81640625" defaultRowHeight="14.5" x14ac:dyDescent="0.35"/>
  <cols>
    <col min="1" max="1" width="19.81640625" customWidth="1"/>
    <col min="2" max="2" width="70.6328125" customWidth="1"/>
  </cols>
  <sheetData>
    <row r="8" spans="1:2" ht="26" x14ac:dyDescent="0.6">
      <c r="A8" s="11" t="s">
        <v>79</v>
      </c>
    </row>
    <row r="10" spans="1:2" x14ac:dyDescent="0.35">
      <c r="A10" s="5" t="s">
        <v>58</v>
      </c>
    </row>
    <row r="11" spans="1:2" ht="46" customHeight="1" x14ac:dyDescent="0.35">
      <c r="A11" s="24" t="s">
        <v>81</v>
      </c>
      <c r="B11" s="25"/>
    </row>
    <row r="12" spans="1:2" ht="37" customHeight="1" x14ac:dyDescent="0.35">
      <c r="A12" s="26" t="s">
        <v>80</v>
      </c>
      <c r="B12" s="27"/>
    </row>
    <row r="14" spans="1:2" x14ac:dyDescent="0.35">
      <c r="A14" s="5" t="s">
        <v>8</v>
      </c>
    </row>
    <row r="15" spans="1:2" x14ac:dyDescent="0.35">
      <c r="A15" s="18" t="s">
        <v>5</v>
      </c>
      <c r="B15" s="19" t="s">
        <v>56</v>
      </c>
    </row>
    <row r="16" spans="1:2" x14ac:dyDescent="0.35">
      <c r="A16" s="20" t="s">
        <v>6</v>
      </c>
      <c r="B16" s="21" t="s">
        <v>9</v>
      </c>
    </row>
    <row r="17" spans="1:8" x14ac:dyDescent="0.35">
      <c r="A17" s="20" t="s">
        <v>7</v>
      </c>
      <c r="B17" s="21" t="s">
        <v>54</v>
      </c>
    </row>
    <row r="18" spans="1:8" x14ac:dyDescent="0.35">
      <c r="A18" s="20" t="s">
        <v>3</v>
      </c>
      <c r="B18" s="21" t="s">
        <v>55</v>
      </c>
    </row>
    <row r="19" spans="1:8" x14ac:dyDescent="0.35">
      <c r="A19" s="20" t="s">
        <v>4</v>
      </c>
      <c r="B19" s="21" t="s">
        <v>57</v>
      </c>
    </row>
    <row r="20" spans="1:8" ht="43.5" x14ac:dyDescent="0.35">
      <c r="A20" s="22" t="s">
        <v>71</v>
      </c>
      <c r="B20" s="23" t="s">
        <v>75</v>
      </c>
    </row>
    <row r="22" spans="1:8" x14ac:dyDescent="0.35">
      <c r="A22" s="5" t="s">
        <v>52</v>
      </c>
    </row>
    <row r="23" spans="1:8" x14ac:dyDescent="0.35">
      <c r="A23" s="8"/>
      <c r="B23" s="3" t="s">
        <v>76</v>
      </c>
    </row>
    <row r="24" spans="1:8" x14ac:dyDescent="0.35">
      <c r="A24" s="9"/>
      <c r="B24" s="4" t="s">
        <v>53</v>
      </c>
    </row>
    <row r="26" spans="1:8" ht="23.5" x14ac:dyDescent="0.55000000000000004">
      <c r="A26" s="15" t="s">
        <v>68</v>
      </c>
      <c r="B26" s="15"/>
      <c r="D26" s="15"/>
      <c r="E26" s="15"/>
      <c r="F26" s="15"/>
      <c r="G26" s="17"/>
      <c r="H26" s="17"/>
    </row>
    <row r="27" spans="1:8" ht="23.5" x14ac:dyDescent="0.55000000000000004">
      <c r="A27" s="16" t="s">
        <v>70</v>
      </c>
      <c r="B27" s="17"/>
      <c r="C27" s="17"/>
      <c r="D27" s="17"/>
      <c r="E27" s="17"/>
      <c r="F27" s="17"/>
      <c r="G27" s="17"/>
      <c r="H27" s="17"/>
    </row>
    <row r="28" spans="1:8" ht="23.5" x14ac:dyDescent="0.55000000000000004">
      <c r="A28" s="15" t="s">
        <v>69</v>
      </c>
    </row>
  </sheetData>
  <mergeCells count="2">
    <mergeCell ref="A11:B11"/>
    <mergeCell ref="A12:B12"/>
  </mergeCells>
  <dataValidations count="1">
    <dataValidation type="whole" allowBlank="1" showInputMessage="1" showErrorMessage="1" sqref="A23" xr:uid="{51FD33D2-B27E-4626-8001-6C838DD2EB70}">
      <formula1>0</formula1>
      <formula2>999999999</formula2>
    </dataValidation>
  </dataValidations>
  <hyperlinks>
    <hyperlink ref="A27" r:id="rId1" display="https://idf-rmsg.github.io/DisasterRiskPooling/index.html" xr:uid="{A65C5209-E70D-4689-8570-6570CCAFE252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8080-1292-4E96-8E56-E91CE08860ED}">
  <sheetPr codeName="Sheet1">
    <tabColor theme="5" tint="0.79998168889431442"/>
  </sheetPr>
  <dimension ref="A1:O94"/>
  <sheetViews>
    <sheetView showGridLines="0" tabSelected="1" workbookViewId="0"/>
  </sheetViews>
  <sheetFormatPr defaultColWidth="8.81640625" defaultRowHeight="14.5" x14ac:dyDescent="0.35"/>
  <cols>
    <col min="1" max="1" width="8.81640625" style="2"/>
    <col min="2" max="2" width="13.1796875" style="2" bestFit="1" customWidth="1"/>
    <col min="3" max="3" width="14" style="2" customWidth="1"/>
    <col min="4" max="5" width="8.81640625" style="2"/>
    <col min="6" max="6" width="11" style="2" customWidth="1"/>
    <col min="8" max="8" width="15.08984375" customWidth="1"/>
    <col min="9" max="9" width="14.26953125" customWidth="1"/>
    <col min="10" max="10" width="12.08984375" customWidth="1"/>
    <col min="11" max="11" width="15" customWidth="1"/>
    <col min="12" max="12" width="23.36328125" customWidth="1"/>
    <col min="13" max="13" width="4.81640625" customWidth="1"/>
    <col min="14" max="14" width="21.1796875" customWidth="1"/>
    <col min="15" max="15" width="18.90625" customWidth="1"/>
  </cols>
  <sheetData>
    <row r="1" spans="1:15" ht="87" x14ac:dyDescent="0.35">
      <c r="A1" s="6" t="s">
        <v>5</v>
      </c>
      <c r="B1" s="6" t="s">
        <v>6</v>
      </c>
      <c r="C1" s="6" t="s">
        <v>7</v>
      </c>
      <c r="D1" s="6" t="s">
        <v>3</v>
      </c>
      <c r="E1" s="6" t="s">
        <v>4</v>
      </c>
      <c r="F1" s="6" t="s">
        <v>71</v>
      </c>
      <c r="H1" s="7" t="s">
        <v>77</v>
      </c>
      <c r="I1" s="7" t="s">
        <v>78</v>
      </c>
      <c r="K1" s="7" t="s">
        <v>59</v>
      </c>
      <c r="L1" s="7" t="s">
        <v>60</v>
      </c>
      <c r="N1" s="7" t="s">
        <v>67</v>
      </c>
      <c r="O1" s="7" t="s">
        <v>61</v>
      </c>
    </row>
    <row r="2" spans="1:15" x14ac:dyDescent="0.35">
      <c r="A2" s="2">
        <v>1980</v>
      </c>
      <c r="B2" s="2">
        <v>1</v>
      </c>
      <c r="C2" s="2" t="s">
        <v>14</v>
      </c>
      <c r="D2" s="2" t="s">
        <v>50</v>
      </c>
      <c r="E2" s="2">
        <v>29777856.617953502</v>
      </c>
      <c r="F2" s="2" t="s">
        <v>73</v>
      </c>
      <c r="H2" s="28">
        <f>MIN(A:A)</f>
        <v>1980</v>
      </c>
      <c r="I2" s="10">
        <f>MAX(A:A) - MIN(A:A)</f>
        <v>44</v>
      </c>
      <c r="K2" t="str" cm="1">
        <f t="array" ref="K2:K3">_xlfn.UNIQUE(C2:C1048576)</f>
        <v>Bangladesh</v>
      </c>
      <c r="L2" t="str" cm="1">
        <f t="array" ref="L2:L5">_xlfn.UNIQUE(D2:D1048576)</f>
        <v>Cyclone</v>
      </c>
      <c r="N2" t="s">
        <v>62</v>
      </c>
      <c r="O2" s="12">
        <f>MIN($E:$E)</f>
        <v>23839.523493254481</v>
      </c>
    </row>
    <row r="3" spans="1:15" x14ac:dyDescent="0.35">
      <c r="A3" s="2">
        <v>1981</v>
      </c>
      <c r="B3" s="2">
        <v>8</v>
      </c>
      <c r="C3" s="2" t="s">
        <v>14</v>
      </c>
      <c r="D3" s="2" t="s">
        <v>50</v>
      </c>
      <c r="E3" s="14">
        <v>235089.06297</v>
      </c>
      <c r="F3" s="2" t="s">
        <v>73</v>
      </c>
      <c r="H3" s="1"/>
      <c r="K3">
        <v>0</v>
      </c>
      <c r="L3" t="str">
        <v>Flood</v>
      </c>
      <c r="N3" t="s">
        <v>63</v>
      </c>
      <c r="O3" s="12">
        <f>MAX($E:$E)</f>
        <v>138808078.46412501</v>
      </c>
    </row>
    <row r="4" spans="1:15" x14ac:dyDescent="0.35">
      <c r="A4" s="2">
        <v>1982</v>
      </c>
      <c r="B4" s="2">
        <v>9</v>
      </c>
      <c r="C4" s="2" t="s">
        <v>14</v>
      </c>
      <c r="D4" s="2" t="s">
        <v>50</v>
      </c>
      <c r="E4" s="2">
        <v>2772703.5398674998</v>
      </c>
      <c r="F4" s="2" t="s">
        <v>73</v>
      </c>
      <c r="L4" t="str">
        <v>Drought</v>
      </c>
      <c r="N4" t="s">
        <v>64</v>
      </c>
      <c r="O4" s="12">
        <f>MEDIAN($E:$E)</f>
        <v>4745973.6955395732</v>
      </c>
    </row>
    <row r="5" spans="1:15" x14ac:dyDescent="0.35">
      <c r="A5" s="2">
        <v>1983</v>
      </c>
      <c r="B5" s="2">
        <v>10</v>
      </c>
      <c r="C5" s="2" t="s">
        <v>14</v>
      </c>
      <c r="D5" s="2" t="s">
        <v>50</v>
      </c>
      <c r="E5" s="2">
        <v>1587050.21763925</v>
      </c>
      <c r="F5" s="2" t="s">
        <v>73</v>
      </c>
      <c r="L5">
        <v>0</v>
      </c>
      <c r="N5" t="s">
        <v>66</v>
      </c>
      <c r="O5" s="12">
        <f>SUM($E:$E)</f>
        <v>1780699280.615788</v>
      </c>
    </row>
    <row r="6" spans="1:15" x14ac:dyDescent="0.35">
      <c r="A6" s="2">
        <v>1984</v>
      </c>
      <c r="B6" s="2">
        <v>15</v>
      </c>
      <c r="C6" s="2" t="s">
        <v>14</v>
      </c>
      <c r="D6" s="2" t="s">
        <v>50</v>
      </c>
      <c r="E6" s="2">
        <v>17806869.115554199</v>
      </c>
      <c r="F6" s="2" t="s">
        <v>73</v>
      </c>
      <c r="N6" t="s">
        <v>65</v>
      </c>
      <c r="O6" s="13">
        <f>O5/I2</f>
        <v>40470438.195813365</v>
      </c>
    </row>
    <row r="7" spans="1:15" x14ac:dyDescent="0.35">
      <c r="A7" s="2">
        <v>1985</v>
      </c>
      <c r="B7" s="2">
        <v>19</v>
      </c>
      <c r="C7" s="2" t="s">
        <v>14</v>
      </c>
      <c r="D7" s="2" t="s">
        <v>50</v>
      </c>
      <c r="E7" s="2">
        <v>6952764.6030400004</v>
      </c>
      <c r="F7" s="2" t="s">
        <v>73</v>
      </c>
    </row>
    <row r="8" spans="1:15" x14ac:dyDescent="0.35">
      <c r="A8" s="2">
        <v>1986</v>
      </c>
      <c r="B8" s="2">
        <v>20</v>
      </c>
      <c r="C8" s="2" t="s">
        <v>14</v>
      </c>
      <c r="D8" s="2" t="s">
        <v>50</v>
      </c>
      <c r="E8" s="2">
        <v>2428047.8262782502</v>
      </c>
      <c r="F8" s="2" t="s">
        <v>73</v>
      </c>
    </row>
    <row r="9" spans="1:15" x14ac:dyDescent="0.35">
      <c r="A9" s="2">
        <v>1987</v>
      </c>
      <c r="B9" s="2">
        <v>22</v>
      </c>
      <c r="C9" s="2" t="s">
        <v>14</v>
      </c>
      <c r="D9" s="2" t="s">
        <v>50</v>
      </c>
      <c r="E9" s="2">
        <v>1797999.4481995001</v>
      </c>
      <c r="F9" s="2" t="s">
        <v>73</v>
      </c>
    </row>
    <row r="10" spans="1:15" x14ac:dyDescent="0.35">
      <c r="A10" s="2">
        <v>1988</v>
      </c>
      <c r="B10" s="2">
        <v>26</v>
      </c>
      <c r="C10" s="2" t="s">
        <v>14</v>
      </c>
      <c r="D10" s="2" t="s">
        <v>50</v>
      </c>
      <c r="E10" s="2">
        <v>7435665.8089699997</v>
      </c>
      <c r="F10" s="2" t="s">
        <v>73</v>
      </c>
    </row>
    <row r="11" spans="1:15" x14ac:dyDescent="0.35">
      <c r="A11" s="2">
        <v>1989</v>
      </c>
      <c r="B11" s="2">
        <v>27</v>
      </c>
      <c r="C11" s="2" t="s">
        <v>14</v>
      </c>
      <c r="D11" s="2" t="s">
        <v>50</v>
      </c>
      <c r="E11" s="2">
        <v>558907.37803000002</v>
      </c>
      <c r="F11" s="2" t="s">
        <v>73</v>
      </c>
    </row>
    <row r="12" spans="1:15" x14ac:dyDescent="0.35">
      <c r="A12" s="2">
        <v>1990</v>
      </c>
      <c r="B12" s="2">
        <v>30</v>
      </c>
      <c r="C12" s="2" t="s">
        <v>14</v>
      </c>
      <c r="D12" s="2" t="s">
        <v>50</v>
      </c>
      <c r="E12" s="2">
        <v>65658962.902139999</v>
      </c>
      <c r="F12" s="2" t="s">
        <v>73</v>
      </c>
    </row>
    <row r="13" spans="1:15" x14ac:dyDescent="0.35">
      <c r="A13" s="2">
        <v>1991</v>
      </c>
      <c r="B13" s="2">
        <v>31</v>
      </c>
      <c r="C13" s="2" t="s">
        <v>14</v>
      </c>
      <c r="D13" s="2" t="s">
        <v>50</v>
      </c>
      <c r="E13" s="2">
        <v>87015599.087569997</v>
      </c>
      <c r="F13" s="2" t="s">
        <v>73</v>
      </c>
    </row>
    <row r="14" spans="1:15" x14ac:dyDescent="0.35">
      <c r="A14" s="2">
        <v>1992</v>
      </c>
      <c r="B14" s="2">
        <v>37</v>
      </c>
      <c r="C14" s="2" t="s">
        <v>14</v>
      </c>
      <c r="D14" s="2" t="s">
        <v>50</v>
      </c>
      <c r="E14" s="2">
        <v>58418167.530639999</v>
      </c>
      <c r="F14" s="2" t="s">
        <v>73</v>
      </c>
    </row>
    <row r="15" spans="1:15" x14ac:dyDescent="0.35">
      <c r="A15" s="2">
        <v>1993</v>
      </c>
      <c r="B15" s="2">
        <v>47</v>
      </c>
      <c r="C15" s="2" t="s">
        <v>14</v>
      </c>
      <c r="D15" s="2" t="s">
        <v>50</v>
      </c>
      <c r="E15" s="2">
        <v>10790042.056288199</v>
      </c>
      <c r="F15" s="2" t="s">
        <v>73</v>
      </c>
    </row>
    <row r="16" spans="1:15" x14ac:dyDescent="0.35">
      <c r="A16" s="2">
        <v>1994</v>
      </c>
      <c r="B16" s="2">
        <v>51</v>
      </c>
      <c r="C16" s="2" t="s">
        <v>14</v>
      </c>
      <c r="D16" s="2" t="s">
        <v>50</v>
      </c>
      <c r="E16" s="2">
        <v>4974626.0341525003</v>
      </c>
      <c r="F16" s="2" t="s">
        <v>73</v>
      </c>
    </row>
    <row r="17" spans="1:6" x14ac:dyDescent="0.35">
      <c r="A17" s="2">
        <v>1995</v>
      </c>
      <c r="B17" s="2">
        <v>52</v>
      </c>
      <c r="C17" s="2" t="s">
        <v>14</v>
      </c>
      <c r="D17" s="2" t="s">
        <v>50</v>
      </c>
      <c r="E17" s="2">
        <v>28247768.527940001</v>
      </c>
      <c r="F17" s="2" t="s">
        <v>73</v>
      </c>
    </row>
    <row r="18" spans="1:6" x14ac:dyDescent="0.35">
      <c r="A18" s="2">
        <v>1996</v>
      </c>
      <c r="B18" s="2">
        <v>55</v>
      </c>
      <c r="C18" s="2" t="s">
        <v>14</v>
      </c>
      <c r="D18" s="2" t="s">
        <v>50</v>
      </c>
      <c r="E18" s="2">
        <v>24036634.99605</v>
      </c>
      <c r="F18" s="2" t="s">
        <v>73</v>
      </c>
    </row>
    <row r="19" spans="1:6" x14ac:dyDescent="0.35">
      <c r="A19" s="2">
        <v>1997</v>
      </c>
      <c r="B19" s="2">
        <v>56</v>
      </c>
      <c r="C19" s="2" t="s">
        <v>14</v>
      </c>
      <c r="D19" s="2" t="s">
        <v>50</v>
      </c>
      <c r="E19" s="2">
        <v>22585810.475170702</v>
      </c>
      <c r="F19" s="2" t="s">
        <v>73</v>
      </c>
    </row>
    <row r="20" spans="1:6" x14ac:dyDescent="0.35">
      <c r="A20" s="2">
        <v>1998</v>
      </c>
      <c r="B20" s="2">
        <v>60</v>
      </c>
      <c r="C20" s="2" t="s">
        <v>14</v>
      </c>
      <c r="D20" s="2" t="s">
        <v>50</v>
      </c>
      <c r="E20" s="2">
        <v>122201.98471400001</v>
      </c>
      <c r="F20" s="2" t="s">
        <v>73</v>
      </c>
    </row>
    <row r="21" spans="1:6" x14ac:dyDescent="0.35">
      <c r="A21" s="2">
        <v>1999</v>
      </c>
      <c r="B21" s="2">
        <v>70</v>
      </c>
      <c r="C21" s="2" t="s">
        <v>14</v>
      </c>
      <c r="D21" s="2" t="s">
        <v>50</v>
      </c>
      <c r="E21" s="2">
        <v>7099661.1787200002</v>
      </c>
      <c r="F21" s="2" t="s">
        <v>73</v>
      </c>
    </row>
    <row r="22" spans="1:6" x14ac:dyDescent="0.35">
      <c r="A22" s="2">
        <v>2000</v>
      </c>
      <c r="B22" s="2">
        <v>76</v>
      </c>
      <c r="C22" s="2" t="s">
        <v>14</v>
      </c>
      <c r="D22" s="2" t="s">
        <v>50</v>
      </c>
      <c r="E22" s="2">
        <v>2665730.0944125</v>
      </c>
      <c r="F22" s="2" t="s">
        <v>73</v>
      </c>
    </row>
    <row r="23" spans="1:6" x14ac:dyDescent="0.35">
      <c r="A23" s="2">
        <v>2001</v>
      </c>
      <c r="B23" s="2">
        <v>80</v>
      </c>
      <c r="C23" s="2" t="s">
        <v>14</v>
      </c>
      <c r="D23" s="2" t="s">
        <v>50</v>
      </c>
      <c r="E23" s="2">
        <v>46966586.183409996</v>
      </c>
      <c r="F23" s="2" t="s">
        <v>73</v>
      </c>
    </row>
    <row r="24" spans="1:6" x14ac:dyDescent="0.35">
      <c r="A24" s="2">
        <v>2002</v>
      </c>
      <c r="B24" s="2">
        <v>81</v>
      </c>
      <c r="C24" s="2" t="s">
        <v>14</v>
      </c>
      <c r="D24" s="2" t="s">
        <v>50</v>
      </c>
      <c r="E24" s="2">
        <v>138808078.46412501</v>
      </c>
      <c r="F24" s="2" t="s">
        <v>73</v>
      </c>
    </row>
    <row r="25" spans="1:6" x14ac:dyDescent="0.35">
      <c r="A25" s="2">
        <v>2003</v>
      </c>
      <c r="B25" s="2">
        <v>83</v>
      </c>
      <c r="C25" s="2" t="s">
        <v>14</v>
      </c>
      <c r="D25" s="2" t="s">
        <v>50</v>
      </c>
      <c r="E25" s="2">
        <v>926728.88002275</v>
      </c>
      <c r="F25" s="2" t="s">
        <v>73</v>
      </c>
    </row>
    <row r="26" spans="1:6" x14ac:dyDescent="0.35">
      <c r="A26" s="2">
        <v>2004</v>
      </c>
      <c r="B26" s="2">
        <v>88</v>
      </c>
      <c r="C26" s="2" t="s">
        <v>14</v>
      </c>
      <c r="D26" s="2" t="s">
        <v>50</v>
      </c>
      <c r="E26" s="2">
        <v>53274853.848420002</v>
      </c>
      <c r="F26" s="2" t="s">
        <v>73</v>
      </c>
    </row>
    <row r="27" spans="1:6" x14ac:dyDescent="0.35">
      <c r="A27" s="2">
        <v>2005</v>
      </c>
      <c r="B27" s="2">
        <v>94</v>
      </c>
      <c r="C27" s="2" t="s">
        <v>14</v>
      </c>
      <c r="D27" s="2" t="s">
        <v>50</v>
      </c>
      <c r="E27" s="2">
        <v>19777487.356400002</v>
      </c>
      <c r="F27" s="2" t="s">
        <v>73</v>
      </c>
    </row>
    <row r="28" spans="1:6" x14ac:dyDescent="0.35">
      <c r="A28" s="2">
        <v>2006</v>
      </c>
      <c r="B28" s="2">
        <v>95</v>
      </c>
      <c r="C28" s="2" t="s">
        <v>14</v>
      </c>
      <c r="D28" s="2" t="s">
        <v>50</v>
      </c>
      <c r="E28" s="2">
        <v>23543004.609359998</v>
      </c>
      <c r="F28" s="2" t="s">
        <v>73</v>
      </c>
    </row>
    <row r="29" spans="1:6" x14ac:dyDescent="0.35">
      <c r="A29" s="2">
        <v>2007</v>
      </c>
      <c r="B29" s="2">
        <v>101</v>
      </c>
      <c r="C29" s="2" t="s">
        <v>14</v>
      </c>
      <c r="D29" s="2" t="s">
        <v>50</v>
      </c>
      <c r="E29" s="2">
        <v>2030974.7395929999</v>
      </c>
      <c r="F29" s="2" t="s">
        <v>73</v>
      </c>
    </row>
    <row r="30" spans="1:6" x14ac:dyDescent="0.35">
      <c r="A30" s="2">
        <v>2008</v>
      </c>
      <c r="B30" s="2">
        <v>103</v>
      </c>
      <c r="C30" s="2" t="s">
        <v>14</v>
      </c>
      <c r="D30" s="2" t="s">
        <v>50</v>
      </c>
      <c r="E30" s="2">
        <v>5270955.7314999998</v>
      </c>
      <c r="F30" s="2" t="s">
        <v>73</v>
      </c>
    </row>
    <row r="31" spans="1:6" x14ac:dyDescent="0.35">
      <c r="A31" s="2">
        <v>2009</v>
      </c>
      <c r="B31" s="2">
        <v>104</v>
      </c>
      <c r="C31" s="2" t="s">
        <v>14</v>
      </c>
      <c r="D31" s="2" t="s">
        <v>50</v>
      </c>
      <c r="E31" s="2">
        <v>2880457.7271524998</v>
      </c>
      <c r="F31" s="2" t="s">
        <v>73</v>
      </c>
    </row>
    <row r="32" spans="1:6" x14ac:dyDescent="0.35">
      <c r="A32" s="2">
        <v>2010</v>
      </c>
      <c r="B32" s="2">
        <v>126</v>
      </c>
      <c r="C32" s="2" t="s">
        <v>14</v>
      </c>
      <c r="D32" s="2" t="s">
        <v>50</v>
      </c>
      <c r="E32" s="2">
        <v>576339.67935999995</v>
      </c>
      <c r="F32" s="2" t="s">
        <v>73</v>
      </c>
    </row>
    <row r="33" spans="1:6" x14ac:dyDescent="0.35">
      <c r="A33" s="2">
        <v>2011</v>
      </c>
      <c r="B33" s="2">
        <v>129</v>
      </c>
      <c r="C33" s="2" t="s">
        <v>14</v>
      </c>
      <c r="D33" s="2" t="s">
        <v>50</v>
      </c>
      <c r="E33" s="2">
        <v>815539.67865799996</v>
      </c>
      <c r="F33" s="2" t="s">
        <v>73</v>
      </c>
    </row>
    <row r="34" spans="1:6" x14ac:dyDescent="0.35">
      <c r="A34" s="2">
        <v>2012</v>
      </c>
      <c r="B34" s="2">
        <v>132</v>
      </c>
      <c r="C34" s="2" t="s">
        <v>14</v>
      </c>
      <c r="D34" s="2" t="s">
        <v>50</v>
      </c>
      <c r="E34" s="2">
        <v>14151469.830442701</v>
      </c>
      <c r="F34" s="2" t="s">
        <v>73</v>
      </c>
    </row>
    <row r="35" spans="1:6" x14ac:dyDescent="0.35">
      <c r="A35" s="2">
        <v>2013</v>
      </c>
      <c r="B35" s="2">
        <v>144</v>
      </c>
      <c r="C35" s="2" t="s">
        <v>14</v>
      </c>
      <c r="D35" s="2" t="s">
        <v>50</v>
      </c>
      <c r="E35" s="2">
        <v>7163496.7171099996</v>
      </c>
      <c r="F35" s="2" t="s">
        <v>73</v>
      </c>
    </row>
    <row r="36" spans="1:6" x14ac:dyDescent="0.35">
      <c r="A36" s="2">
        <v>2014</v>
      </c>
      <c r="B36" s="2">
        <v>146</v>
      </c>
      <c r="C36" s="2" t="s">
        <v>14</v>
      </c>
      <c r="D36" s="2" t="s">
        <v>50</v>
      </c>
      <c r="E36" s="2">
        <v>325923.407397</v>
      </c>
      <c r="F36" s="2" t="s">
        <v>73</v>
      </c>
    </row>
    <row r="37" spans="1:6" x14ac:dyDescent="0.35">
      <c r="A37" s="2">
        <v>2015</v>
      </c>
      <c r="B37" s="2">
        <v>148</v>
      </c>
      <c r="C37" s="2" t="s">
        <v>14</v>
      </c>
      <c r="D37" s="2" t="s">
        <v>50</v>
      </c>
      <c r="E37" s="2">
        <v>25505719.70967</v>
      </c>
      <c r="F37" s="2" t="s">
        <v>73</v>
      </c>
    </row>
    <row r="38" spans="1:6" x14ac:dyDescent="0.35">
      <c r="A38" s="2">
        <v>2016</v>
      </c>
      <c r="B38" s="2">
        <v>149</v>
      </c>
      <c r="C38" s="2" t="s">
        <v>14</v>
      </c>
      <c r="D38" s="2" t="s">
        <v>50</v>
      </c>
      <c r="E38" s="2">
        <v>49043855.256805003</v>
      </c>
      <c r="F38" s="2" t="s">
        <v>73</v>
      </c>
    </row>
    <row r="39" spans="1:6" x14ac:dyDescent="0.35">
      <c r="A39" s="2">
        <v>2017</v>
      </c>
      <c r="B39" s="2">
        <v>151</v>
      </c>
      <c r="C39" s="2" t="s">
        <v>14</v>
      </c>
      <c r="D39" s="2" t="s">
        <v>50</v>
      </c>
      <c r="E39" s="2">
        <v>1692272.26104</v>
      </c>
      <c r="F39" s="2" t="s">
        <v>73</v>
      </c>
    </row>
    <row r="40" spans="1:6" x14ac:dyDescent="0.35">
      <c r="A40" s="2">
        <v>2018</v>
      </c>
      <c r="B40" s="2">
        <v>153</v>
      </c>
      <c r="C40" s="2" t="s">
        <v>14</v>
      </c>
      <c r="D40" s="2" t="s">
        <v>50</v>
      </c>
      <c r="E40" s="2">
        <v>29235214.1138875</v>
      </c>
      <c r="F40" s="2" t="s">
        <v>73</v>
      </c>
    </row>
    <row r="41" spans="1:6" x14ac:dyDescent="0.35">
      <c r="A41" s="2">
        <v>2019</v>
      </c>
      <c r="B41" s="2">
        <v>154</v>
      </c>
      <c r="C41" s="2" t="s">
        <v>14</v>
      </c>
      <c r="D41" s="2" t="s">
        <v>50</v>
      </c>
      <c r="E41" s="2">
        <v>1178753.1686875001</v>
      </c>
      <c r="F41" s="2" t="s">
        <v>73</v>
      </c>
    </row>
    <row r="42" spans="1:6" x14ac:dyDescent="0.35">
      <c r="A42" s="2">
        <v>2020</v>
      </c>
      <c r="B42" s="2">
        <v>155</v>
      </c>
      <c r="C42" s="2" t="s">
        <v>14</v>
      </c>
      <c r="D42" s="2" t="s">
        <v>50</v>
      </c>
      <c r="E42" s="2">
        <v>126028024.256345</v>
      </c>
      <c r="F42" s="2" t="s">
        <v>73</v>
      </c>
    </row>
    <row r="43" spans="1:6" x14ac:dyDescent="0.35">
      <c r="A43" s="2">
        <v>2021</v>
      </c>
      <c r="B43" s="2">
        <v>160</v>
      </c>
      <c r="C43" s="2" t="s">
        <v>14</v>
      </c>
      <c r="D43" s="2" t="s">
        <v>50</v>
      </c>
      <c r="E43" s="2">
        <v>13121843.028312501</v>
      </c>
      <c r="F43" s="2" t="s">
        <v>73</v>
      </c>
    </row>
    <row r="44" spans="1:6" x14ac:dyDescent="0.35">
      <c r="A44" s="2">
        <v>2022</v>
      </c>
      <c r="B44" s="2">
        <v>161</v>
      </c>
      <c r="C44" s="2" t="s">
        <v>14</v>
      </c>
      <c r="D44" s="2" t="s">
        <v>50</v>
      </c>
      <c r="E44" s="2">
        <v>4157057.1828200002</v>
      </c>
      <c r="F44" s="2" t="s">
        <v>73</v>
      </c>
    </row>
    <row r="45" spans="1:6" x14ac:dyDescent="0.35">
      <c r="A45" s="2">
        <v>2023</v>
      </c>
      <c r="B45" s="2">
        <v>165</v>
      </c>
      <c r="C45" s="2" t="s">
        <v>14</v>
      </c>
      <c r="D45" s="2" t="s">
        <v>50</v>
      </c>
      <c r="E45" s="2">
        <v>18246406.232220002</v>
      </c>
      <c r="F45" s="2" t="s">
        <v>73</v>
      </c>
    </row>
    <row r="46" spans="1:6" x14ac:dyDescent="0.35">
      <c r="A46" s="2">
        <v>2024</v>
      </c>
      <c r="B46" s="2">
        <v>168</v>
      </c>
      <c r="C46" s="2" t="s">
        <v>14</v>
      </c>
      <c r="D46" s="2" t="s">
        <v>50</v>
      </c>
      <c r="E46" s="2">
        <v>266312.10738549998</v>
      </c>
      <c r="F46" s="2" t="s">
        <v>73</v>
      </c>
    </row>
    <row r="47" spans="1:6" x14ac:dyDescent="0.35">
      <c r="A47" s="2">
        <v>1980</v>
      </c>
      <c r="B47" s="2">
        <v>1</v>
      </c>
      <c r="C47" s="2" t="s">
        <v>14</v>
      </c>
      <c r="D47" s="2" t="s">
        <v>2</v>
      </c>
      <c r="E47" s="14">
        <v>213694.69853290229</v>
      </c>
      <c r="F47" s="2" t="s">
        <v>73</v>
      </c>
    </row>
    <row r="48" spans="1:6" x14ac:dyDescent="0.35">
      <c r="A48" s="2">
        <v>1981</v>
      </c>
      <c r="B48" s="2">
        <v>8</v>
      </c>
      <c r="C48" s="2" t="s">
        <v>14</v>
      </c>
      <c r="D48" s="2" t="s">
        <v>50</v>
      </c>
      <c r="E48" s="14">
        <v>1096646.438516259</v>
      </c>
      <c r="F48" s="2" t="s">
        <v>73</v>
      </c>
    </row>
    <row r="49" spans="1:6" x14ac:dyDescent="0.35">
      <c r="A49" s="2">
        <v>1982</v>
      </c>
      <c r="B49" s="2">
        <v>9</v>
      </c>
      <c r="C49" s="2" t="s">
        <v>14</v>
      </c>
      <c r="D49" s="2" t="s">
        <v>50</v>
      </c>
      <c r="E49" s="14">
        <v>687865.18014597346</v>
      </c>
      <c r="F49" s="2" t="s">
        <v>73</v>
      </c>
    </row>
    <row r="50" spans="1:6" x14ac:dyDescent="0.35">
      <c r="A50" s="2">
        <v>1983</v>
      </c>
      <c r="B50" s="2">
        <v>10</v>
      </c>
      <c r="C50" s="2" t="s">
        <v>14</v>
      </c>
      <c r="D50" s="2" t="s">
        <v>50</v>
      </c>
      <c r="E50" s="14">
        <v>4449185.6482679965</v>
      </c>
      <c r="F50" s="2" t="s">
        <v>73</v>
      </c>
    </row>
    <row r="51" spans="1:6" x14ac:dyDescent="0.35">
      <c r="A51" s="2">
        <v>1984</v>
      </c>
      <c r="B51" s="2">
        <v>15</v>
      </c>
      <c r="C51" s="2" t="s">
        <v>14</v>
      </c>
      <c r="D51" s="2" t="s">
        <v>50</v>
      </c>
      <c r="E51" s="14">
        <v>5556044.5270246416</v>
      </c>
      <c r="F51" s="2" t="s">
        <v>73</v>
      </c>
    </row>
    <row r="52" spans="1:6" x14ac:dyDescent="0.35">
      <c r="A52" s="2">
        <v>1985</v>
      </c>
      <c r="B52" s="2">
        <v>19</v>
      </c>
      <c r="C52" s="2" t="s">
        <v>14</v>
      </c>
      <c r="D52" s="2" t="s">
        <v>50</v>
      </c>
      <c r="E52" s="14">
        <v>1702140.6517906494</v>
      </c>
      <c r="F52" s="2" t="s">
        <v>73</v>
      </c>
    </row>
    <row r="53" spans="1:6" x14ac:dyDescent="0.35">
      <c r="A53" s="2">
        <v>1986</v>
      </c>
      <c r="B53" s="2">
        <v>20</v>
      </c>
      <c r="C53" s="2" t="s">
        <v>14</v>
      </c>
      <c r="D53" s="2" t="s">
        <v>50</v>
      </c>
      <c r="E53" s="14">
        <v>943934.33807475388</v>
      </c>
      <c r="F53" s="2" t="s">
        <v>73</v>
      </c>
    </row>
    <row r="54" spans="1:6" x14ac:dyDescent="0.35">
      <c r="A54" s="2">
        <v>1987</v>
      </c>
      <c r="B54" s="2">
        <v>22</v>
      </c>
      <c r="C54" s="2" t="s">
        <v>14</v>
      </c>
      <c r="D54" s="2" t="s">
        <v>50</v>
      </c>
      <c r="E54" s="14">
        <v>5864839.9996866519</v>
      </c>
      <c r="F54" s="2" t="s">
        <v>73</v>
      </c>
    </row>
    <row r="55" spans="1:6" x14ac:dyDescent="0.35">
      <c r="A55" s="2">
        <v>1988</v>
      </c>
      <c r="B55" s="2">
        <v>26</v>
      </c>
      <c r="C55" s="2" t="s">
        <v>14</v>
      </c>
      <c r="D55" s="2" t="s">
        <v>50</v>
      </c>
      <c r="E55" s="14">
        <v>170790.35101475893</v>
      </c>
      <c r="F55" s="2" t="s">
        <v>73</v>
      </c>
    </row>
    <row r="56" spans="1:6" x14ac:dyDescent="0.35">
      <c r="A56" s="2">
        <v>1989</v>
      </c>
      <c r="B56" s="2">
        <v>27</v>
      </c>
      <c r="C56" s="2" t="s">
        <v>14</v>
      </c>
      <c r="D56" s="2" t="s">
        <v>50</v>
      </c>
      <c r="E56" s="14">
        <v>56111592.843169197</v>
      </c>
      <c r="F56" s="2" t="s">
        <v>73</v>
      </c>
    </row>
    <row r="57" spans="1:6" x14ac:dyDescent="0.35">
      <c r="A57" s="2">
        <v>1990</v>
      </c>
      <c r="B57" s="2">
        <v>30</v>
      </c>
      <c r="C57" s="2" t="s">
        <v>14</v>
      </c>
      <c r="D57" s="2" t="s">
        <v>50</v>
      </c>
      <c r="E57" s="14">
        <v>61192269.108691677</v>
      </c>
      <c r="F57" s="2" t="s">
        <v>73</v>
      </c>
    </row>
    <row r="58" spans="1:6" x14ac:dyDescent="0.35">
      <c r="A58" s="2">
        <v>1991</v>
      </c>
      <c r="B58" s="2">
        <v>31</v>
      </c>
      <c r="C58" s="2" t="s">
        <v>14</v>
      </c>
      <c r="D58" s="2" t="s">
        <v>50</v>
      </c>
      <c r="E58" s="14">
        <v>53540131.694353297</v>
      </c>
      <c r="F58" s="2" t="s">
        <v>73</v>
      </c>
    </row>
    <row r="59" spans="1:6" x14ac:dyDescent="0.35">
      <c r="A59" s="2">
        <v>1992</v>
      </c>
      <c r="B59" s="2">
        <v>37</v>
      </c>
      <c r="C59" s="2" t="s">
        <v>14</v>
      </c>
      <c r="D59" s="2" t="s">
        <v>50</v>
      </c>
      <c r="E59" s="14">
        <v>4745973.6955395732</v>
      </c>
      <c r="F59" s="2" t="s">
        <v>73</v>
      </c>
    </row>
    <row r="60" spans="1:6" x14ac:dyDescent="0.35">
      <c r="A60" s="2">
        <v>1993</v>
      </c>
      <c r="B60" s="2">
        <v>47</v>
      </c>
      <c r="C60" s="2" t="s">
        <v>14</v>
      </c>
      <c r="D60" s="2" t="s">
        <v>50</v>
      </c>
      <c r="E60" s="14">
        <v>529747.32125583582</v>
      </c>
      <c r="F60" s="2" t="s">
        <v>73</v>
      </c>
    </row>
    <row r="61" spans="1:6" x14ac:dyDescent="0.35">
      <c r="A61" s="2">
        <v>1994</v>
      </c>
      <c r="B61" s="2">
        <v>51</v>
      </c>
      <c r="C61" s="2" t="s">
        <v>14</v>
      </c>
      <c r="D61" s="2" t="s">
        <v>50</v>
      </c>
      <c r="E61" s="14">
        <v>3724234.0360172307</v>
      </c>
      <c r="F61" s="2" t="s">
        <v>73</v>
      </c>
    </row>
    <row r="62" spans="1:6" x14ac:dyDescent="0.35">
      <c r="A62" s="2">
        <v>1995</v>
      </c>
      <c r="B62" s="2">
        <v>52</v>
      </c>
      <c r="C62" s="2" t="s">
        <v>14</v>
      </c>
      <c r="D62" s="2" t="s">
        <v>50</v>
      </c>
      <c r="E62" s="14">
        <v>11356941.645785671</v>
      </c>
      <c r="F62" s="2" t="s">
        <v>73</v>
      </c>
    </row>
    <row r="63" spans="1:6" x14ac:dyDescent="0.35">
      <c r="A63" s="2">
        <v>1996</v>
      </c>
      <c r="B63" s="2">
        <v>55</v>
      </c>
      <c r="C63" s="2" t="s">
        <v>14</v>
      </c>
      <c r="D63" s="2" t="s">
        <v>50</v>
      </c>
      <c r="E63" s="14">
        <v>2133510.0287395976</v>
      </c>
      <c r="F63" s="2" t="s">
        <v>73</v>
      </c>
    </row>
    <row r="64" spans="1:6" x14ac:dyDescent="0.35">
      <c r="A64" s="2">
        <v>1997</v>
      </c>
      <c r="B64" s="2">
        <v>56</v>
      </c>
      <c r="C64" s="2" t="s">
        <v>14</v>
      </c>
      <c r="D64" s="2" t="s">
        <v>50</v>
      </c>
      <c r="E64" s="14">
        <v>118104.50990002335</v>
      </c>
      <c r="F64" s="2" t="s">
        <v>73</v>
      </c>
    </row>
    <row r="65" spans="1:6" x14ac:dyDescent="0.35">
      <c r="A65" s="2">
        <v>1998</v>
      </c>
      <c r="B65" s="2">
        <v>60</v>
      </c>
      <c r="C65" s="2" t="s">
        <v>14</v>
      </c>
      <c r="D65" s="2" t="s">
        <v>50</v>
      </c>
      <c r="E65" s="14">
        <v>641085.43330328085</v>
      </c>
      <c r="F65" s="2" t="s">
        <v>73</v>
      </c>
    </row>
    <row r="66" spans="1:6" x14ac:dyDescent="0.35">
      <c r="A66" s="2">
        <v>1999</v>
      </c>
      <c r="B66" s="2">
        <v>70</v>
      </c>
      <c r="C66" s="2" t="s">
        <v>14</v>
      </c>
      <c r="D66" s="2" t="s">
        <v>50</v>
      </c>
      <c r="E66" s="14">
        <v>1971198.2071958776</v>
      </c>
      <c r="F66" s="2" t="s">
        <v>73</v>
      </c>
    </row>
    <row r="67" spans="1:6" x14ac:dyDescent="0.35">
      <c r="A67" s="2">
        <v>2000</v>
      </c>
      <c r="B67" s="2">
        <v>76</v>
      </c>
      <c r="C67" s="2" t="s">
        <v>14</v>
      </c>
      <c r="D67" s="2" t="s">
        <v>50</v>
      </c>
      <c r="E67" s="14">
        <v>45075150.904647008</v>
      </c>
      <c r="F67" s="2" t="s">
        <v>73</v>
      </c>
    </row>
    <row r="68" spans="1:6" x14ac:dyDescent="0.35">
      <c r="A68" s="2">
        <v>2001</v>
      </c>
      <c r="B68" s="2">
        <v>80</v>
      </c>
      <c r="C68" s="2" t="s">
        <v>14</v>
      </c>
      <c r="D68" s="2" t="s">
        <v>50</v>
      </c>
      <c r="E68" s="14">
        <v>93826924.297093973</v>
      </c>
      <c r="F68" s="2" t="s">
        <v>73</v>
      </c>
    </row>
    <row r="69" spans="1:6" x14ac:dyDescent="0.35">
      <c r="A69" s="2">
        <v>2002</v>
      </c>
      <c r="B69" s="2">
        <v>81</v>
      </c>
      <c r="C69" s="2" t="s">
        <v>14</v>
      </c>
      <c r="D69" s="2" t="s">
        <v>50</v>
      </c>
      <c r="E69" s="14">
        <v>379888.82494260289</v>
      </c>
      <c r="F69" s="2" t="s">
        <v>73</v>
      </c>
    </row>
    <row r="70" spans="1:6" x14ac:dyDescent="0.35">
      <c r="A70" s="2">
        <v>2003</v>
      </c>
      <c r="B70" s="2">
        <v>83</v>
      </c>
      <c r="C70" s="2" t="s">
        <v>14</v>
      </c>
      <c r="D70" s="2" t="s">
        <v>50</v>
      </c>
      <c r="E70" s="14">
        <v>38188275.122898214</v>
      </c>
      <c r="F70" s="2" t="s">
        <v>73</v>
      </c>
    </row>
    <row r="71" spans="1:6" x14ac:dyDescent="0.35">
      <c r="A71" s="2">
        <v>2004</v>
      </c>
      <c r="B71" s="2">
        <v>88</v>
      </c>
      <c r="C71" s="2" t="s">
        <v>14</v>
      </c>
      <c r="D71" s="2" t="s">
        <v>50</v>
      </c>
      <c r="E71" s="14">
        <v>2724504.7840688811</v>
      </c>
      <c r="F71" s="2" t="s">
        <v>73</v>
      </c>
    </row>
    <row r="72" spans="1:6" x14ac:dyDescent="0.35">
      <c r="A72" s="2">
        <v>2005</v>
      </c>
      <c r="B72" s="2">
        <v>94</v>
      </c>
      <c r="C72" s="2" t="s">
        <v>14</v>
      </c>
      <c r="D72" s="2" t="s">
        <v>50</v>
      </c>
      <c r="E72" s="14">
        <v>22494992.784047749</v>
      </c>
      <c r="F72" s="2" t="s">
        <v>73</v>
      </c>
    </row>
    <row r="73" spans="1:6" x14ac:dyDescent="0.35">
      <c r="A73" s="2">
        <v>2006</v>
      </c>
      <c r="B73" s="2">
        <v>95</v>
      </c>
      <c r="C73" s="2" t="s">
        <v>14</v>
      </c>
      <c r="D73" s="2" t="s">
        <v>50</v>
      </c>
      <c r="E73" s="14">
        <v>1174016.5510611646</v>
      </c>
      <c r="F73" s="2" t="s">
        <v>73</v>
      </c>
    </row>
    <row r="74" spans="1:6" x14ac:dyDescent="0.35">
      <c r="A74" s="2">
        <v>2007</v>
      </c>
      <c r="B74" s="2">
        <v>101</v>
      </c>
      <c r="C74" s="2" t="s">
        <v>14</v>
      </c>
      <c r="D74" s="2" t="s">
        <v>50</v>
      </c>
      <c r="E74" s="14">
        <v>1368545.733487329</v>
      </c>
      <c r="F74" s="2" t="s">
        <v>73</v>
      </c>
    </row>
    <row r="75" spans="1:6" x14ac:dyDescent="0.35">
      <c r="A75" s="2">
        <v>2008</v>
      </c>
      <c r="B75" s="2">
        <v>103</v>
      </c>
      <c r="C75" s="2" t="s">
        <v>14</v>
      </c>
      <c r="D75" s="2" t="s">
        <v>50</v>
      </c>
      <c r="E75" s="14">
        <v>421936.08679053315</v>
      </c>
      <c r="F75" s="2" t="s">
        <v>73</v>
      </c>
    </row>
    <row r="76" spans="1:6" x14ac:dyDescent="0.35">
      <c r="A76" s="2">
        <v>2009</v>
      </c>
      <c r="B76" s="2">
        <v>104</v>
      </c>
      <c r="C76" s="2" t="s">
        <v>14</v>
      </c>
      <c r="D76" s="2" t="s">
        <v>50</v>
      </c>
      <c r="E76" s="14">
        <v>554410.15199343709</v>
      </c>
      <c r="F76" s="2" t="s">
        <v>73</v>
      </c>
    </row>
    <row r="77" spans="1:6" x14ac:dyDescent="0.35">
      <c r="A77" s="2">
        <v>2010</v>
      </c>
      <c r="B77" s="2">
        <v>126</v>
      </c>
      <c r="C77" s="2" t="s">
        <v>14</v>
      </c>
      <c r="D77" s="2" t="s">
        <v>50</v>
      </c>
      <c r="E77" s="14">
        <v>778382.84682529245</v>
      </c>
      <c r="F77" s="2" t="s">
        <v>73</v>
      </c>
    </row>
    <row r="78" spans="1:6" x14ac:dyDescent="0.35">
      <c r="A78" s="2">
        <v>2011</v>
      </c>
      <c r="B78" s="2">
        <v>129</v>
      </c>
      <c r="C78" s="2" t="s">
        <v>14</v>
      </c>
      <c r="D78" s="2" t="s">
        <v>50</v>
      </c>
      <c r="E78" s="14">
        <v>10582977.05856536</v>
      </c>
      <c r="F78" s="2" t="s">
        <v>73</v>
      </c>
    </row>
    <row r="79" spans="1:6" x14ac:dyDescent="0.35">
      <c r="A79" s="2">
        <v>2012</v>
      </c>
      <c r="B79" s="2">
        <v>132</v>
      </c>
      <c r="C79" s="2" t="s">
        <v>14</v>
      </c>
      <c r="D79" s="2" t="s">
        <v>50</v>
      </c>
      <c r="E79" s="14">
        <v>3576193.2841955335</v>
      </c>
      <c r="F79" s="2" t="s">
        <v>73</v>
      </c>
    </row>
    <row r="80" spans="1:6" x14ac:dyDescent="0.35">
      <c r="A80" s="2">
        <v>2013</v>
      </c>
      <c r="B80" s="2">
        <v>144</v>
      </c>
      <c r="C80" s="2" t="s">
        <v>14</v>
      </c>
      <c r="D80" s="2" t="s">
        <v>50</v>
      </c>
      <c r="E80" s="14">
        <v>214068.86486586623</v>
      </c>
      <c r="F80" s="2" t="s">
        <v>73</v>
      </c>
    </row>
    <row r="81" spans="1:6" x14ac:dyDescent="0.35">
      <c r="A81" s="2">
        <v>2014</v>
      </c>
      <c r="B81" s="2">
        <v>146</v>
      </c>
      <c r="C81" s="2" t="s">
        <v>14</v>
      </c>
      <c r="D81" s="2" t="s">
        <v>50</v>
      </c>
      <c r="E81" s="14">
        <v>18131501.213336229</v>
      </c>
      <c r="F81" s="2" t="s">
        <v>73</v>
      </c>
    </row>
    <row r="82" spans="1:6" x14ac:dyDescent="0.35">
      <c r="A82" s="2">
        <v>2015</v>
      </c>
      <c r="B82" s="2">
        <v>148</v>
      </c>
      <c r="C82" s="2" t="s">
        <v>14</v>
      </c>
      <c r="D82" s="2" t="s">
        <v>50</v>
      </c>
      <c r="E82" s="14">
        <v>21364251.70324618</v>
      </c>
      <c r="F82" s="2" t="s">
        <v>73</v>
      </c>
    </row>
    <row r="83" spans="1:6" x14ac:dyDescent="0.35">
      <c r="A83" s="2">
        <v>2016</v>
      </c>
      <c r="B83" s="2">
        <v>149</v>
      </c>
      <c r="C83" s="2" t="s">
        <v>14</v>
      </c>
      <c r="D83" s="2" t="s">
        <v>50</v>
      </c>
      <c r="E83" s="14">
        <v>1203944.797335882</v>
      </c>
      <c r="F83" s="2" t="s">
        <v>73</v>
      </c>
    </row>
    <row r="84" spans="1:6" x14ac:dyDescent="0.35">
      <c r="A84" s="2">
        <v>2017</v>
      </c>
      <c r="B84" s="2">
        <v>151</v>
      </c>
      <c r="C84" s="2" t="s">
        <v>14</v>
      </c>
      <c r="D84" s="2" t="s">
        <v>50</v>
      </c>
      <c r="E84" s="14">
        <v>19599583.865499664</v>
      </c>
      <c r="F84" s="2" t="s">
        <v>73</v>
      </c>
    </row>
    <row r="85" spans="1:6" x14ac:dyDescent="0.35">
      <c r="A85" s="2">
        <v>2018</v>
      </c>
      <c r="B85" s="2">
        <v>153</v>
      </c>
      <c r="C85" s="2" t="s">
        <v>14</v>
      </c>
      <c r="D85" s="2" t="s">
        <v>50</v>
      </c>
      <c r="E85" s="14">
        <v>861451.99815723917</v>
      </c>
      <c r="F85" s="2" t="s">
        <v>73</v>
      </c>
    </row>
    <row r="86" spans="1:6" x14ac:dyDescent="0.35">
      <c r="A86" s="2">
        <v>2019</v>
      </c>
      <c r="B86" s="2">
        <v>154</v>
      </c>
      <c r="C86" s="2" t="s">
        <v>14</v>
      </c>
      <c r="D86" s="2" t="s">
        <v>50</v>
      </c>
      <c r="E86" s="14">
        <v>42692027.413895346</v>
      </c>
      <c r="F86" s="2" t="s">
        <v>73</v>
      </c>
    </row>
    <row r="87" spans="1:6" x14ac:dyDescent="0.35">
      <c r="A87" s="2">
        <v>2020</v>
      </c>
      <c r="B87" s="2">
        <v>155</v>
      </c>
      <c r="C87" s="2" t="s">
        <v>14</v>
      </c>
      <c r="D87" s="2" t="s">
        <v>50</v>
      </c>
      <c r="E87" s="14">
        <v>332469.65303927602</v>
      </c>
      <c r="F87" s="2" t="s">
        <v>73</v>
      </c>
    </row>
    <row r="88" spans="1:6" x14ac:dyDescent="0.35">
      <c r="A88" s="2">
        <v>2021</v>
      </c>
      <c r="B88" s="2">
        <v>160</v>
      </c>
      <c r="C88" s="2" t="s">
        <v>14</v>
      </c>
      <c r="D88" s="2" t="s">
        <v>50</v>
      </c>
      <c r="E88" s="14">
        <v>1153245.8403781294</v>
      </c>
      <c r="F88" s="2" t="s">
        <v>73</v>
      </c>
    </row>
    <row r="89" spans="1:6" x14ac:dyDescent="0.35">
      <c r="A89" s="2">
        <v>2022</v>
      </c>
      <c r="B89" s="2">
        <v>161</v>
      </c>
      <c r="C89" s="2" t="s">
        <v>14</v>
      </c>
      <c r="D89" s="2" t="s">
        <v>50</v>
      </c>
      <c r="E89" s="14">
        <v>12694619.514378173</v>
      </c>
      <c r="F89" s="2" t="s">
        <v>73</v>
      </c>
    </row>
    <row r="90" spans="1:6" x14ac:dyDescent="0.35">
      <c r="A90" s="2">
        <v>2023</v>
      </c>
      <c r="B90" s="2">
        <v>165</v>
      </c>
      <c r="C90" s="2" t="s">
        <v>14</v>
      </c>
      <c r="D90" s="2" t="s">
        <v>50</v>
      </c>
      <c r="E90" s="14">
        <v>23839.523493254481</v>
      </c>
      <c r="F90" s="2" t="s">
        <v>73</v>
      </c>
    </row>
    <row r="91" spans="1:6" x14ac:dyDescent="0.35">
      <c r="A91" s="2">
        <v>2024</v>
      </c>
      <c r="B91" s="2">
        <v>168</v>
      </c>
      <c r="C91" s="2" t="s">
        <v>14</v>
      </c>
      <c r="D91" s="2" t="s">
        <v>50</v>
      </c>
      <c r="E91" s="14">
        <v>205614.34516196427</v>
      </c>
      <c r="F91" s="2" t="s">
        <v>73</v>
      </c>
    </row>
    <row r="92" spans="1:6" x14ac:dyDescent="0.35">
      <c r="A92" s="2">
        <v>1999</v>
      </c>
      <c r="B92" s="2">
        <v>70</v>
      </c>
      <c r="C92" s="2" t="s">
        <v>14</v>
      </c>
      <c r="D92" s="2" t="s">
        <v>51</v>
      </c>
      <c r="E92" s="14">
        <v>85457006.81298472</v>
      </c>
      <c r="F92" s="2" t="s">
        <v>73</v>
      </c>
    </row>
    <row r="93" spans="1:6" x14ac:dyDescent="0.35">
      <c r="A93" s="2">
        <v>2023</v>
      </c>
      <c r="B93" s="2">
        <v>165</v>
      </c>
      <c r="C93" s="2" t="s">
        <v>14</v>
      </c>
      <c r="D93" s="2" t="s">
        <v>51</v>
      </c>
      <c r="E93" s="14">
        <v>85457006.81298472</v>
      </c>
      <c r="F93" s="2" t="s">
        <v>73</v>
      </c>
    </row>
    <row r="94" spans="1:6" x14ac:dyDescent="0.35">
      <c r="A94" s="2">
        <v>2024</v>
      </c>
      <c r="B94" s="2">
        <v>168</v>
      </c>
      <c r="C94" s="2" t="s">
        <v>14</v>
      </c>
      <c r="D94" s="2" t="s">
        <v>51</v>
      </c>
      <c r="E94" s="14">
        <v>85457006.81298472</v>
      </c>
      <c r="F94" s="2" t="s">
        <v>73</v>
      </c>
    </row>
  </sheetData>
  <dataValidations count="3">
    <dataValidation type="whole" allowBlank="1" showInputMessage="1" showErrorMessage="1" sqref="A2:A1048576" xr:uid="{DE8E53FF-ACBD-4183-B283-4FAA35070CAC}">
      <formula1>0</formula1>
      <formula2>999999999</formula2>
    </dataValidation>
    <dataValidation type="decimal" allowBlank="1" showInputMessage="1" showErrorMessage="1" sqref="E2:E1048576" xr:uid="{136D2E8E-B75C-42CB-807A-698C4004CBBE}">
      <formula1>0</formula1>
      <formula2>9.99999999999999E+33</formula2>
    </dataValidation>
    <dataValidation type="whole" allowBlank="1" showInputMessage="1" showErrorMessage="1" sqref="I2" xr:uid="{931CAA6C-FDCE-4A41-B2F1-8D92F7686935}">
      <formula1>1</formula1>
      <formula2>15000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D6349E6-B333-436B-AB60-802059E5EFB5}">
          <x14:formula1>
            <xm:f>Mappings!$A$2:$A$42</xm:f>
          </x14:formula1>
          <xm:sqref>C2:C1048576</xm:sqref>
        </x14:dataValidation>
        <x14:dataValidation type="list" allowBlank="1" showInputMessage="1" showErrorMessage="1" xr:uid="{FCC8636A-7CF3-4604-95F7-F4356EF4440B}">
          <x14:formula1>
            <xm:f>Mappings!$C$2:$C$5</xm:f>
          </x14:formula1>
          <xm:sqref>D2:D1048576</xm:sqref>
        </x14:dataValidation>
        <x14:dataValidation type="list" allowBlank="1" showInputMessage="1" showErrorMessage="1" xr:uid="{574D4D16-4F39-468A-ACD7-8FA876B3CE05}">
          <x14:formula1>
            <xm:f>Mappings!$E$2:$E$3</xm:f>
          </x14:formula1>
          <xm:sqref>F2:F1048576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8126-C686-4D6F-A707-F030E78E17BE}">
  <sheetPr codeName="Sheet3">
    <tabColor theme="2" tint="-9.9978637043366805E-2"/>
  </sheetPr>
  <dimension ref="A1:E42"/>
  <sheetViews>
    <sheetView showGridLines="0" workbookViewId="0">
      <selection activeCell="E2" sqref="E2:E3"/>
    </sheetView>
  </sheetViews>
  <sheetFormatPr defaultColWidth="8.81640625" defaultRowHeight="14.5" x14ac:dyDescent="0.35"/>
  <cols>
    <col min="1" max="1" width="25.1796875" customWidth="1"/>
  </cols>
  <sheetData>
    <row r="1" spans="1:5" x14ac:dyDescent="0.35">
      <c r="A1" s="1" t="s">
        <v>7</v>
      </c>
      <c r="B1" s="1"/>
      <c r="C1" s="1" t="s">
        <v>3</v>
      </c>
      <c r="E1" s="1" t="s">
        <v>72</v>
      </c>
    </row>
    <row r="2" spans="1:5" x14ac:dyDescent="0.35">
      <c r="A2" t="s">
        <v>10</v>
      </c>
      <c r="C2" t="s">
        <v>50</v>
      </c>
      <c r="E2" t="s">
        <v>73</v>
      </c>
    </row>
    <row r="3" spans="1:5" x14ac:dyDescent="0.35">
      <c r="A3" t="s">
        <v>11</v>
      </c>
      <c r="C3" t="s">
        <v>2</v>
      </c>
      <c r="E3" t="s">
        <v>74</v>
      </c>
    </row>
    <row r="4" spans="1:5" x14ac:dyDescent="0.35">
      <c r="A4" t="s">
        <v>12</v>
      </c>
      <c r="C4" t="s">
        <v>1</v>
      </c>
    </row>
    <row r="5" spans="1:5" x14ac:dyDescent="0.35">
      <c r="A5" t="s">
        <v>13</v>
      </c>
      <c r="C5" t="s">
        <v>51</v>
      </c>
    </row>
    <row r="6" spans="1:5" x14ac:dyDescent="0.35">
      <c r="A6" t="s">
        <v>14</v>
      </c>
    </row>
    <row r="7" spans="1:5" x14ac:dyDescent="0.35">
      <c r="A7" t="s">
        <v>15</v>
      </c>
    </row>
    <row r="8" spans="1:5" x14ac:dyDescent="0.35">
      <c r="A8" t="s">
        <v>16</v>
      </c>
    </row>
    <row r="9" spans="1:5" x14ac:dyDescent="0.35">
      <c r="A9" t="s">
        <v>17</v>
      </c>
    </row>
    <row r="10" spans="1:5" x14ac:dyDescent="0.35">
      <c r="A10" t="s">
        <v>18</v>
      </c>
    </row>
    <row r="11" spans="1:5" x14ac:dyDescent="0.35">
      <c r="A11" t="s">
        <v>19</v>
      </c>
    </row>
    <row r="12" spans="1:5" x14ac:dyDescent="0.35">
      <c r="A12" t="s">
        <v>20</v>
      </c>
    </row>
    <row r="13" spans="1:5" x14ac:dyDescent="0.35">
      <c r="A13" t="s">
        <v>21</v>
      </c>
    </row>
    <row r="14" spans="1:5" x14ac:dyDescent="0.35">
      <c r="A14" t="s">
        <v>22</v>
      </c>
    </row>
    <row r="15" spans="1:5" x14ac:dyDescent="0.35">
      <c r="A15" t="s">
        <v>23</v>
      </c>
    </row>
    <row r="16" spans="1:5" x14ac:dyDescent="0.35">
      <c r="A16" t="s">
        <v>24</v>
      </c>
    </row>
    <row r="17" spans="1:1" x14ac:dyDescent="0.35">
      <c r="A17" t="s">
        <v>25</v>
      </c>
    </row>
    <row r="18" spans="1:1" x14ac:dyDescent="0.35">
      <c r="A18" t="s">
        <v>26</v>
      </c>
    </row>
    <row r="19" spans="1:1" x14ac:dyDescent="0.35">
      <c r="A19" t="s">
        <v>27</v>
      </c>
    </row>
    <row r="20" spans="1:1" x14ac:dyDescent="0.35">
      <c r="A20" t="s">
        <v>28</v>
      </c>
    </row>
    <row r="21" spans="1:1" x14ac:dyDescent="0.35">
      <c r="A21" t="s">
        <v>29</v>
      </c>
    </row>
    <row r="22" spans="1:1" x14ac:dyDescent="0.35">
      <c r="A22" t="s">
        <v>30</v>
      </c>
    </row>
    <row r="23" spans="1:1" x14ac:dyDescent="0.35">
      <c r="A23" t="s">
        <v>31</v>
      </c>
    </row>
    <row r="24" spans="1:1" x14ac:dyDescent="0.35">
      <c r="A24" t="s">
        <v>32</v>
      </c>
    </row>
    <row r="25" spans="1:1" x14ac:dyDescent="0.35">
      <c r="A25" t="s">
        <v>33</v>
      </c>
    </row>
    <row r="26" spans="1:1" x14ac:dyDescent="0.35">
      <c r="A26" t="s">
        <v>34</v>
      </c>
    </row>
    <row r="27" spans="1:1" x14ac:dyDescent="0.35">
      <c r="A27" t="s">
        <v>35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0</v>
      </c>
    </row>
    <row r="36" spans="1:1" x14ac:dyDescent="0.35">
      <c r="A36" t="s">
        <v>43</v>
      </c>
    </row>
    <row r="37" spans="1:1" x14ac:dyDescent="0.35">
      <c r="A37" t="s">
        <v>44</v>
      </c>
    </row>
    <row r="38" spans="1:1" x14ac:dyDescent="0.35">
      <c r="A38" t="s">
        <v>45</v>
      </c>
    </row>
    <row r="39" spans="1:1" x14ac:dyDescent="0.35">
      <c r="A39" t="s">
        <v>46</v>
      </c>
    </row>
    <row r="40" spans="1:1" x14ac:dyDescent="0.35">
      <c r="A40" t="s">
        <v>47</v>
      </c>
    </row>
    <row r="41" spans="1:1" x14ac:dyDescent="0.35">
      <c r="A41" t="s">
        <v>48</v>
      </c>
    </row>
    <row r="42" spans="1:1" x14ac:dyDescent="0.35">
      <c r="A4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Historical_Loss_Data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Stuart Fraser</cp:lastModifiedBy>
  <dcterms:created xsi:type="dcterms:W3CDTF">2025-03-19T17:19:26Z</dcterms:created>
  <dcterms:modified xsi:type="dcterms:W3CDTF">2025-10-22T04:59:23Z</dcterms:modified>
</cp:coreProperties>
</file>