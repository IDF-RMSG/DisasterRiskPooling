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McIlwaine\applications\idf.finance.tool1\inst\shiny-app\Tool1\data\Countries\"/>
    </mc:Choice>
  </mc:AlternateContent>
  <xr:revisionPtr revIDLastSave="0" documentId="13_ncr:9_{0F112631-BAA2-468F-852E-6581921E50A4}" xr6:coauthVersionLast="47" xr6:coauthVersionMax="47" xr10:uidLastSave="{00000000-0000-0000-0000-000000000000}"/>
  <bookViews>
    <workbookView xWindow="-108" yWindow="-108" windowWidth="23256" windowHeight="12456" activeTab="1" xr2:uid="{B30AE70A-239A-4D88-A2A6-C14D8EE543DB}"/>
  </bookViews>
  <sheets>
    <sheet name="check" sheetId="4" r:id="rId1"/>
    <sheet name="emdat_country_occ" sheetId="1" r:id="rId2"/>
    <sheet name="old_data" sheetId="2" r:id="rId3"/>
  </sheets>
  <definedNames>
    <definedName name="_xlnm._FilterDatabase" localSheetId="1" hidden="1">emdat_country_occ!$A$1:$F$2641</definedName>
    <definedName name="_xlnm._FilterDatabase" localSheetId="2" hidden="1">old_data!$A$1:$F$2914</definedName>
  </definedNames>
  <calcPr calcId="0"/>
  <pivotCaches>
    <pivotCache cacheId="23" r:id="rId4"/>
  </pivotCaches>
</workbook>
</file>

<file path=xl/calcChain.xml><?xml version="1.0" encoding="utf-8"?>
<calcChain xmlns="http://schemas.openxmlformats.org/spreadsheetml/2006/main">
  <c r="J33" i="4" l="1"/>
  <c r="J29" i="4"/>
  <c r="J28" i="4"/>
  <c r="J27" i="4"/>
  <c r="J26" i="4"/>
  <c r="J25" i="4"/>
  <c r="J17" i="4"/>
  <c r="J13" i="4"/>
  <c r="J12" i="4"/>
  <c r="J11" i="4"/>
  <c r="J9" i="4"/>
  <c r="I34" i="4"/>
  <c r="I33" i="4"/>
  <c r="I32" i="4"/>
  <c r="I31" i="4"/>
  <c r="I30" i="4"/>
  <c r="I18" i="4"/>
  <c r="I17" i="4"/>
  <c r="I16" i="4"/>
  <c r="I15" i="4"/>
  <c r="I14" i="4"/>
  <c r="H40" i="4"/>
  <c r="J40" i="4" s="1"/>
  <c r="H39" i="4"/>
  <c r="J39" i="4" s="1"/>
  <c r="H38" i="4"/>
  <c r="J38" i="4" s="1"/>
  <c r="H37" i="4"/>
  <c r="J37" i="4" s="1"/>
  <c r="H36" i="4"/>
  <c r="J36" i="4" s="1"/>
  <c r="H35" i="4"/>
  <c r="J35" i="4" s="1"/>
  <c r="H34" i="4"/>
  <c r="J34" i="4" s="1"/>
  <c r="H33" i="4"/>
  <c r="H32" i="4"/>
  <c r="J32" i="4" s="1"/>
  <c r="H31" i="4"/>
  <c r="J31" i="4" s="1"/>
  <c r="H30" i="4"/>
  <c r="J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J24" i="4" s="1"/>
  <c r="H23" i="4"/>
  <c r="J23" i="4" s="1"/>
  <c r="H22" i="4"/>
  <c r="J22" i="4" s="1"/>
  <c r="H21" i="4"/>
  <c r="J21" i="4" s="1"/>
  <c r="H20" i="4"/>
  <c r="J20" i="4" s="1"/>
  <c r="H19" i="4"/>
  <c r="J19" i="4" s="1"/>
  <c r="H18" i="4"/>
  <c r="J18" i="4" s="1"/>
  <c r="H17" i="4"/>
  <c r="H16" i="4"/>
  <c r="J16" i="4" s="1"/>
  <c r="H15" i="4"/>
  <c r="J15" i="4" s="1"/>
  <c r="H14" i="4"/>
  <c r="J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J8" i="4" s="1"/>
  <c r="H7" i="4"/>
  <c r="J7" i="4" s="1"/>
  <c r="H6" i="4"/>
  <c r="J6" i="4" s="1"/>
  <c r="H5" i="4"/>
  <c r="J5" i="4" s="1"/>
  <c r="H4" i="4"/>
  <c r="J4" i="4" s="1"/>
  <c r="I19" i="4" l="1"/>
  <c r="I35" i="4"/>
  <c r="I4" i="4"/>
  <c r="I20" i="4"/>
  <c r="I36" i="4"/>
  <c r="I5" i="4"/>
  <c r="I21" i="4"/>
  <c r="I37" i="4"/>
  <c r="J10" i="4"/>
  <c r="I6" i="4"/>
  <c r="I22" i="4"/>
  <c r="I38" i="4"/>
  <c r="I7" i="4"/>
  <c r="I23" i="4"/>
  <c r="I39" i="4"/>
  <c r="I8" i="4"/>
  <c r="I24" i="4"/>
  <c r="I40" i="4"/>
</calcChain>
</file>

<file path=xl/sharedStrings.xml><?xml version="1.0" encoding="utf-8"?>
<sst xmlns="http://schemas.openxmlformats.org/spreadsheetml/2006/main" count="13801" uniqueCount="2696">
  <si>
    <t>id</t>
  </si>
  <si>
    <t>Country</t>
  </si>
  <si>
    <t>Year</t>
  </si>
  <si>
    <t>Type of event</t>
  </si>
  <si>
    <t>Sum of Total affected</t>
  </si>
  <si>
    <t>Sum of Total Damage</t>
  </si>
  <si>
    <t>Afghanistan</t>
  </si>
  <si>
    <t>Drought</t>
  </si>
  <si>
    <t>Bangladesh</t>
  </si>
  <si>
    <t>Flood</t>
  </si>
  <si>
    <t>Bosnia and Herzegovina</t>
  </si>
  <si>
    <t>Cyclone</t>
  </si>
  <si>
    <t>Angola</t>
  </si>
  <si>
    <t>Azerbaijan</t>
  </si>
  <si>
    <t>Earthquake</t>
  </si>
  <si>
    <t>Bulgaria</t>
  </si>
  <si>
    <t>India</t>
  </si>
  <si>
    <t>Sri Lanka</t>
  </si>
  <si>
    <t>Iran (Islamic Republic of)</t>
  </si>
  <si>
    <t>Guatemala</t>
  </si>
  <si>
    <t>Indonesia</t>
  </si>
  <si>
    <t>Mexico</t>
  </si>
  <si>
    <t>Madagascar</t>
  </si>
  <si>
    <t>Honduras</t>
  </si>
  <si>
    <t>Nicaragua</t>
  </si>
  <si>
    <t>Algeria</t>
  </si>
  <si>
    <t>Ethiopia</t>
  </si>
  <si>
    <t>Haiti</t>
  </si>
  <si>
    <t>Jamaica</t>
  </si>
  <si>
    <t>Morocco</t>
  </si>
  <si>
    <t>Mozambique</t>
  </si>
  <si>
    <t>Namibia</t>
  </si>
  <si>
    <t>Niger (the)</t>
  </si>
  <si>
    <t>Nepal</t>
  </si>
  <si>
    <t>Kenya</t>
  </si>
  <si>
    <t>Pakistan</t>
  </si>
  <si>
    <t>Peru</t>
  </si>
  <si>
    <t>Philippines (the)</t>
  </si>
  <si>
    <t>South Africa</t>
  </si>
  <si>
    <t>Romania</t>
  </si>
  <si>
    <t>El Salvador</t>
  </si>
  <si>
    <t>Somalia</t>
  </si>
  <si>
    <t>Tajikistan</t>
  </si>
  <si>
    <t>Viet Nam</t>
  </si>
  <si>
    <t>Costa Rica</t>
  </si>
  <si>
    <t>Myanmar</t>
  </si>
  <si>
    <t>Yemen</t>
  </si>
  <si>
    <t>Djibouti</t>
  </si>
  <si>
    <t>Kyrgyzstan</t>
  </si>
  <si>
    <t>2001-0233-AFG</t>
  </si>
  <si>
    <t>2002-0122-AFG</t>
  </si>
  <si>
    <t>2002-0175-AFG</t>
  </si>
  <si>
    <t>2002-0208-AFG</t>
  </si>
  <si>
    <t>2002-0185-AFG</t>
  </si>
  <si>
    <t>2002-0196-AFG</t>
  </si>
  <si>
    <t>2002-0242-AFG</t>
  </si>
  <si>
    <t>2002-0613-AFG</t>
  </si>
  <si>
    <t>2003-0236-AFG</t>
  </si>
  <si>
    <t>2003-0104-AFG</t>
  </si>
  <si>
    <t>2003-0143-AFG</t>
  </si>
  <si>
    <t>2003-0179-AFG</t>
  </si>
  <si>
    <t>2003-0256-AFG</t>
  </si>
  <si>
    <t>2003-0302-AFG</t>
  </si>
  <si>
    <t>2003-0337-AFG</t>
  </si>
  <si>
    <t>2003-0392-AFG</t>
  </si>
  <si>
    <t>2003-0778-AFG</t>
  </si>
  <si>
    <t>2004-0436-AFG</t>
  </si>
  <si>
    <t>2004-0022-AFG</t>
  </si>
  <si>
    <t>2004-0349-AFG</t>
  </si>
  <si>
    <t>2005-0575-AFG</t>
  </si>
  <si>
    <t>2005-0686-AFG</t>
  </si>
  <si>
    <t>2005-0101-AFG</t>
  </si>
  <si>
    <t>2005-0169-AFG</t>
  </si>
  <si>
    <t>2005-0281-AFG</t>
  </si>
  <si>
    <t>2005-0322-AFG</t>
  </si>
  <si>
    <t>2005-0360-AFG</t>
  </si>
  <si>
    <t>2005-0511-AFG</t>
  </si>
  <si>
    <t>2005-0725-AFG</t>
  </si>
  <si>
    <t>2005-0736-AFG</t>
  </si>
  <si>
    <t>2005-0044-AFG</t>
  </si>
  <si>
    <t>2006-9570-AFG</t>
  </si>
  <si>
    <t>2006-0405-AFG</t>
  </si>
  <si>
    <t>2006-0221-AFG</t>
  </si>
  <si>
    <t>2006-0271-AFG</t>
  </si>
  <si>
    <t>2006-0291-AFG</t>
  </si>
  <si>
    <t>2006-0365-AFG</t>
  </si>
  <si>
    <t>2006-0416-AFG</t>
  </si>
  <si>
    <t>2006-0424-AFG</t>
  </si>
  <si>
    <t>2006-0596-AFG</t>
  </si>
  <si>
    <t>2006-0029-AFG</t>
  </si>
  <si>
    <t>2006-0068-AFG</t>
  </si>
  <si>
    <t>2007-0105-AFG</t>
  </si>
  <si>
    <t>2007-0178-AFG</t>
  </si>
  <si>
    <t>2007-0185-AFG</t>
  </si>
  <si>
    <t>2007-0192-AFG</t>
  </si>
  <si>
    <t>2007-0248-AFG</t>
  </si>
  <si>
    <t>2007-0316-AFG</t>
  </si>
  <si>
    <t>2007-0672-AFG</t>
  </si>
  <si>
    <t>2008-9475-AFG</t>
  </si>
  <si>
    <t>2008-0488-AFG</t>
  </si>
  <si>
    <t>2009-0156-AFG</t>
  </si>
  <si>
    <t>2009-0139-AFG</t>
  </si>
  <si>
    <t>2009-0168-AFG</t>
  </si>
  <si>
    <t>2009-0385-AFG</t>
  </si>
  <si>
    <t>2010-0669-AFG</t>
  </si>
  <si>
    <t>2010-0176-AFG</t>
  </si>
  <si>
    <t>2010-0367-AFG</t>
  </si>
  <si>
    <t>2011-9312-AFG</t>
  </si>
  <si>
    <t>2011-0042-AFG</t>
  </si>
  <si>
    <t>2011-0632-AFG</t>
  </si>
  <si>
    <t>2011-0642-AFG</t>
  </si>
  <si>
    <t>2012-0164-AFG</t>
  </si>
  <si>
    <t>2012-0102-AFG</t>
  </si>
  <si>
    <t>2012-0143-AFG</t>
  </si>
  <si>
    <t>2012-0154-AFG</t>
  </si>
  <si>
    <t>2012-0183-AFG</t>
  </si>
  <si>
    <t>2012-0226-AFG</t>
  </si>
  <si>
    <t>2012-0573-AFG</t>
  </si>
  <si>
    <t>2013-0151-AFG</t>
  </si>
  <si>
    <t>2013-0148-AFG</t>
  </si>
  <si>
    <t>2013-0178-AFG</t>
  </si>
  <si>
    <t>2013-0279-AFG</t>
  </si>
  <si>
    <t>2013-0343-AFG</t>
  </si>
  <si>
    <t>2014-0134-AFG</t>
  </si>
  <si>
    <t>2014-0185-AFG</t>
  </si>
  <si>
    <t>2014-0084-AFG</t>
  </si>
  <si>
    <t>2015-0476-AFG</t>
  </si>
  <si>
    <t>2015-0571-AFG</t>
  </si>
  <si>
    <t>2015-0581-AFG</t>
  </si>
  <si>
    <t>2016-0112-AFG</t>
  </si>
  <si>
    <t>2016-0135-AFG</t>
  </si>
  <si>
    <t>2016-0191-AFG</t>
  </si>
  <si>
    <t>2016-0309-AFG</t>
  </si>
  <si>
    <t>2017-0288-AFG</t>
  </si>
  <si>
    <t>2017-0038-AFG</t>
  </si>
  <si>
    <t>2017-0071-AFG</t>
  </si>
  <si>
    <t>2018-9278-AFG</t>
  </si>
  <si>
    <t>2018-0156-AFG</t>
  </si>
  <si>
    <t>2018-0212-AFG</t>
  </si>
  <si>
    <t>2018-0350-AFG</t>
  </si>
  <si>
    <t>2019-0050-AFG</t>
  </si>
  <si>
    <t>2019-0082-AFG</t>
  </si>
  <si>
    <t>2019-0125-AFG</t>
  </si>
  <si>
    <t>2019-0143-AFG</t>
  </si>
  <si>
    <t>2019-0216-AFG</t>
  </si>
  <si>
    <t>2019-0255-AFG</t>
  </si>
  <si>
    <t>2020-0124-AFG</t>
  </si>
  <si>
    <t>2020-0142-AFG</t>
  </si>
  <si>
    <t>2020-0153-AFG</t>
  </si>
  <si>
    <t>2020-0311-AFG</t>
  </si>
  <si>
    <t>2020-0377-AFG</t>
  </si>
  <si>
    <t>2020-0009-AFG</t>
  </si>
  <si>
    <t>2021-9116-AFG</t>
  </si>
  <si>
    <t>2021-0263-AFG</t>
  </si>
  <si>
    <t>2021-0453-AFG</t>
  </si>
  <si>
    <t>2022-0027-AFG</t>
  </si>
  <si>
    <t>2022-0342-AFG</t>
  </si>
  <si>
    <t>2022-0264-AFG</t>
  </si>
  <si>
    <t>2022-0442-AFG</t>
  </si>
  <si>
    <t>2022-0453-AFG</t>
  </si>
  <si>
    <t>2022-0514-AFG</t>
  </si>
  <si>
    <t>2022-0523-AFG</t>
  </si>
  <si>
    <t>2023-0156-AFG</t>
  </si>
  <si>
    <t>2023-0636-AFG</t>
  </si>
  <si>
    <t>2023-0660-AFG</t>
  </si>
  <si>
    <t>2023-0291-AFG</t>
  </si>
  <si>
    <t>2023-0462-AFG</t>
  </si>
  <si>
    <t>2024-0120-AFG</t>
  </si>
  <si>
    <t>2024-0181-AFG</t>
  </si>
  <si>
    <t>2024-0285-AFG</t>
  </si>
  <si>
    <t>2024-0310-AFG</t>
  </si>
  <si>
    <t>2024-0486-AFG</t>
  </si>
  <si>
    <t>2001-0620-DZA</t>
  </si>
  <si>
    <t>2002-0540-DZA</t>
  </si>
  <si>
    <t>2002-0648-DZA</t>
  </si>
  <si>
    <t>2003-0245-DZA</t>
  </si>
  <si>
    <t>2003-0255-DZA</t>
  </si>
  <si>
    <t>2003-0160-DZA</t>
  </si>
  <si>
    <t>2003-0396-DZA</t>
  </si>
  <si>
    <t>2003-0503-DZA</t>
  </si>
  <si>
    <t>2003-0059-DZA</t>
  </si>
  <si>
    <t>2004-0011-DZA</t>
  </si>
  <si>
    <t>2004-0620-DZA</t>
  </si>
  <si>
    <t>2004-0201-DZA</t>
  </si>
  <si>
    <t>2004-0567-DZA</t>
  </si>
  <si>
    <t>2005-0095-DZA</t>
  </si>
  <si>
    <t>2005-0324-DZA</t>
  </si>
  <si>
    <t>2005-0078-DZA</t>
  </si>
  <si>
    <t>2006-0149-DZA</t>
  </si>
  <si>
    <t>2006-0088-DZA</t>
  </si>
  <si>
    <t>2007-0116-DZA</t>
  </si>
  <si>
    <t>2007-0141-DZA</t>
  </si>
  <si>
    <t>2007-0344-DZA</t>
  </si>
  <si>
    <t>2007-0353-DZA</t>
  </si>
  <si>
    <t>2007-0449-DZA</t>
  </si>
  <si>
    <t>2007-0568-DZA</t>
  </si>
  <si>
    <t>2008-0444-DZA</t>
  </si>
  <si>
    <t>2009-0019-DZA</t>
  </si>
  <si>
    <t>2009-0394-DZA</t>
  </si>
  <si>
    <t>2011-0408-DZA</t>
  </si>
  <si>
    <t>2012-0034-DZA</t>
  </si>
  <si>
    <t>2012-0441-DZA</t>
  </si>
  <si>
    <t>2014-0298-DZA</t>
  </si>
  <si>
    <t>2015-0437-DZA</t>
  </si>
  <si>
    <t>2015-0482-DZA</t>
  </si>
  <si>
    <t>2018-0162-DZA</t>
  </si>
  <si>
    <t>2020-0579-DZA</t>
  </si>
  <si>
    <t>2021-0132-DZA</t>
  </si>
  <si>
    <t>2021-0700-DZA</t>
  </si>
  <si>
    <t>2023-0580-DZA</t>
  </si>
  <si>
    <t>2024-0146-DZA</t>
  </si>
  <si>
    <t>2024-0672-DZA</t>
  </si>
  <si>
    <t>2001-9152-AGO</t>
  </si>
  <si>
    <t>2001-0146-AGO</t>
  </si>
  <si>
    <t>2003-0072-AGO</t>
  </si>
  <si>
    <t>2003-0570-AGO</t>
  </si>
  <si>
    <t>2004-9480-AGO</t>
  </si>
  <si>
    <t>2004-0019-AGO</t>
  </si>
  <si>
    <t>2004-0159-AGO</t>
  </si>
  <si>
    <t>2004-0661-AGO</t>
  </si>
  <si>
    <t>2005-0137-AGO</t>
  </si>
  <si>
    <t>2006-0023-AGO</t>
  </si>
  <si>
    <t>2007-0010-AGO</t>
  </si>
  <si>
    <t>2007-0027-AGO</t>
  </si>
  <si>
    <t>2008-0060-AGO</t>
  </si>
  <si>
    <t>2009-0037-AGO</t>
  </si>
  <si>
    <t>2009-0092-AGO</t>
  </si>
  <si>
    <t>2009-0550-AGO</t>
  </si>
  <si>
    <t>2010-0105-AGO</t>
  </si>
  <si>
    <t>2010-0126-AGO</t>
  </si>
  <si>
    <t>2010-0553-AGO</t>
  </si>
  <si>
    <t>2011-0003-AGO</t>
  </si>
  <si>
    <t>2011-0092-AGO</t>
  </si>
  <si>
    <t>2011-0523-AGO</t>
  </si>
  <si>
    <t>2011-0526-AGO</t>
  </si>
  <si>
    <t>2012-9065-AGO</t>
  </si>
  <si>
    <t>2013-0124-AGO</t>
  </si>
  <si>
    <t>2015-0075-AGO</t>
  </si>
  <si>
    <t>2015-0090-AGO</t>
  </si>
  <si>
    <t>2015-0091-AGO</t>
  </si>
  <si>
    <t>2016-0056-AGO</t>
  </si>
  <si>
    <t>2016-0088-AGO</t>
  </si>
  <si>
    <t>2016-0131-AGO</t>
  </si>
  <si>
    <t>2016-0247-AGO</t>
  </si>
  <si>
    <t>2017-9207-AGO</t>
  </si>
  <si>
    <t>2017-0109-AGO</t>
  </si>
  <si>
    <t>2018-0104-AGO</t>
  </si>
  <si>
    <t>2019-0070-AGO</t>
  </si>
  <si>
    <t>2019-0123-AGO</t>
  </si>
  <si>
    <t>2019-0666-AGO</t>
  </si>
  <si>
    <t>2020-9206-AGO</t>
  </si>
  <si>
    <t>2020-0104-AGO</t>
  </si>
  <si>
    <t>2020-0173-AGO</t>
  </si>
  <si>
    <t>2021-0164-AGO</t>
  </si>
  <si>
    <t>2021-0238-AGO</t>
  </si>
  <si>
    <t>2023-0247-AGO</t>
  </si>
  <si>
    <t>2023-0844-AGO</t>
  </si>
  <si>
    <t>2024-9592-AGO</t>
  </si>
  <si>
    <t>2003-0212-AZE</t>
  </si>
  <si>
    <t>2009-0425-AZE</t>
  </si>
  <si>
    <t>2010-0204-AZE</t>
  </si>
  <si>
    <t>2012-0191-AZE</t>
  </si>
  <si>
    <t>2012-0545-AZE</t>
  </si>
  <si>
    <t>2001-0393-BGD</t>
  </si>
  <si>
    <t>2001-0459-BGD</t>
  </si>
  <si>
    <t>2001-0198-BGD</t>
  </si>
  <si>
    <t>2001-0202-BGD</t>
  </si>
  <si>
    <t>2001-0273-BGD</t>
  </si>
  <si>
    <t>2001-0563-BGD</t>
  </si>
  <si>
    <t>2002-0402-BGD</t>
  </si>
  <si>
    <t>2002-0211-BGD</t>
  </si>
  <si>
    <t>2002-0233-BGD</t>
  </si>
  <si>
    <t>2002-0425-BGD</t>
  </si>
  <si>
    <t>2002-0705-BGD</t>
  </si>
  <si>
    <t>2003-0452-BGD</t>
  </si>
  <si>
    <t>2003-0283-BGD</t>
  </si>
  <si>
    <t>2003-0303-BGD</t>
  </si>
  <si>
    <t>2003-0211-BGD</t>
  </si>
  <si>
    <t>2003-0779-BGD</t>
  </si>
  <si>
    <t>2004-0659-BGD</t>
  </si>
  <si>
    <t>2004-0298-BGD</t>
  </si>
  <si>
    <t>2004-0470-BGD</t>
  </si>
  <si>
    <t>2004-0509-BGD</t>
  </si>
  <si>
    <t>2004-0166-BGD</t>
  </si>
  <si>
    <t>2004-0286-BGD</t>
  </si>
  <si>
    <t>2004-0678-BGD</t>
  </si>
  <si>
    <t>2004-0679-BGD</t>
  </si>
  <si>
    <t>2005-0261-BGD</t>
  </si>
  <si>
    <t>2005-0375-BGD</t>
  </si>
  <si>
    <t>2005-0590-BGD</t>
  </si>
  <si>
    <t>2005-0130-BGD</t>
  </si>
  <si>
    <t>2005-0190-BGD</t>
  </si>
  <si>
    <t>2005-0259-BGD</t>
  </si>
  <si>
    <t>2005-0273-BGD</t>
  </si>
  <si>
    <t>2005-0282-BGD</t>
  </si>
  <si>
    <t>2005-0391-BGD</t>
  </si>
  <si>
    <t>2005-0537-BGD</t>
  </si>
  <si>
    <t>2006-0262-BGD</t>
  </si>
  <si>
    <t>2006-0502-BGD</t>
  </si>
  <si>
    <t>2006-0146-BGD</t>
  </si>
  <si>
    <t>2006-0510-BGD</t>
  </si>
  <si>
    <t>2006-0737-BGD</t>
  </si>
  <si>
    <t>2006-0738-BGD</t>
  </si>
  <si>
    <t>2006-0739-BGD</t>
  </si>
  <si>
    <t>2007-0161-BGD</t>
  </si>
  <si>
    <t>2007-0311-BGD</t>
  </si>
  <si>
    <t>2007-0227-BGD</t>
  </si>
  <si>
    <t>2007-0556-BGD</t>
  </si>
  <si>
    <t>2008-0285-BGD</t>
  </si>
  <si>
    <t>2008-0385-BGD</t>
  </si>
  <si>
    <t>2008-0644-BGD</t>
  </si>
  <si>
    <t>2008-0648-BGD</t>
  </si>
  <si>
    <t>2009-9323-BGD</t>
  </si>
  <si>
    <t>2009-0294-BGD</t>
  </si>
  <si>
    <t>2009-0304-BGD</t>
  </si>
  <si>
    <t>2009-0157-BGD</t>
  </si>
  <si>
    <t>2009-0204-BGD</t>
  </si>
  <si>
    <t>2010-0269-BGD</t>
  </si>
  <si>
    <t>2010-0676-BGD</t>
  </si>
  <si>
    <t>2010-0171-BGD</t>
  </si>
  <si>
    <t>2010-0205-BGD</t>
  </si>
  <si>
    <t>2010-0686-BGD</t>
  </si>
  <si>
    <t>2011-0262-BGD</t>
  </si>
  <si>
    <t>2011-0591-BGD</t>
  </si>
  <si>
    <t>2012-0175-BGD</t>
  </si>
  <si>
    <t>2012-0382-BGD</t>
  </si>
  <si>
    <t>2012-0082-BGD</t>
  </si>
  <si>
    <t>2012-0385-BGD</t>
  </si>
  <si>
    <t>2013-0085-BGD</t>
  </si>
  <si>
    <t>2013-0090-BGD</t>
  </si>
  <si>
    <t>2013-0138-BGD</t>
  </si>
  <si>
    <t>2014-0290-BGD</t>
  </si>
  <si>
    <t>2014-0581-BGD</t>
  </si>
  <si>
    <t>2014-0135-BGD</t>
  </si>
  <si>
    <t>2014-0244-BGD</t>
  </si>
  <si>
    <t>2015-0144-BGD</t>
  </si>
  <si>
    <t>2015-0253-BGD</t>
  </si>
  <si>
    <t>2015-0293-BGD</t>
  </si>
  <si>
    <t>2015-0118-BGD</t>
  </si>
  <si>
    <t>2015-0213-BGD</t>
  </si>
  <si>
    <t>2015-0309-BGD</t>
  </si>
  <si>
    <t>2015-0601-BGD</t>
  </si>
  <si>
    <t>2016-0002-BGD</t>
  </si>
  <si>
    <t>2016-0288-BGD</t>
  </si>
  <si>
    <t>2016-0154-BGD</t>
  </si>
  <si>
    <t>2016-0175-BGD</t>
  </si>
  <si>
    <t>2017-0138-BGD</t>
  </si>
  <si>
    <t>2017-0342-BGD</t>
  </si>
  <si>
    <t>2017-0139-BGD</t>
  </si>
  <si>
    <t>2017-0152-BGD</t>
  </si>
  <si>
    <t>2018-0158-BGD</t>
  </si>
  <si>
    <t>2018-0203-BGD</t>
  </si>
  <si>
    <t>2018-0140-BGD</t>
  </si>
  <si>
    <t>2019-0337-BGD</t>
  </si>
  <si>
    <t>2019-0144-BGD</t>
  </si>
  <si>
    <t>2019-0164-BGD</t>
  </si>
  <si>
    <t>2019-0550-BGD</t>
  </si>
  <si>
    <t>2020-0323-BGD</t>
  </si>
  <si>
    <t>2020-0211-BGD</t>
  </si>
  <si>
    <t>2021-0455-BGD</t>
  </si>
  <si>
    <t>2021-0295-BGD</t>
  </si>
  <si>
    <t>2022-0340-BGD</t>
  </si>
  <si>
    <t>2022-0695-BGD</t>
  </si>
  <si>
    <t>2023-0512-BGD</t>
  </si>
  <si>
    <t>2023-0254-BGD</t>
  </si>
  <si>
    <t>2023-0294-BGD</t>
  </si>
  <si>
    <t>2023-0686-BGD</t>
  </si>
  <si>
    <t>2024-0399-BGD</t>
  </si>
  <si>
    <t>2024-0624-BGD</t>
  </si>
  <si>
    <t>2024-0719-BGD</t>
  </si>
  <si>
    <t>2024-0320-BGD</t>
  </si>
  <si>
    <t>2024-0778-BGD</t>
  </si>
  <si>
    <t>2001-0783-BIH</t>
  </si>
  <si>
    <t>2003-9784-BIH</t>
  </si>
  <si>
    <t>2004-0163-BIH</t>
  </si>
  <si>
    <t>2004-0169-BIH</t>
  </si>
  <si>
    <t>2005-0695-BIH</t>
  </si>
  <si>
    <t>2005-0045-BIH</t>
  </si>
  <si>
    <t>2009-0081-BIH</t>
  </si>
  <si>
    <t>2009-0268-BIH</t>
  </si>
  <si>
    <t>2010-0252-BIH</t>
  </si>
  <si>
    <t>2010-0619-BIH</t>
  </si>
  <si>
    <t>2014-0128-BIH</t>
  </si>
  <si>
    <t>2014-0164-BIH</t>
  </si>
  <si>
    <t>2014-0306-BIH</t>
  </si>
  <si>
    <t>2014-0329-BIH</t>
  </si>
  <si>
    <t>2015-0465-BIH</t>
  </si>
  <si>
    <t>2019-0194-BIH</t>
  </si>
  <si>
    <t>2019-0287-BIH</t>
  </si>
  <si>
    <t>2020-0285-BIH</t>
  </si>
  <si>
    <t>2021-0725-BIH</t>
  </si>
  <si>
    <t>2022-0231-BIH</t>
  </si>
  <si>
    <t>2022-0825-BIH</t>
  </si>
  <si>
    <t>2023-0321-BIH</t>
  </si>
  <si>
    <t>2023-0460-BIH</t>
  </si>
  <si>
    <t>2024-0718-BIH</t>
  </si>
  <si>
    <t>2001-0701-BGR</t>
  </si>
  <si>
    <t>2002-0552-BGR</t>
  </si>
  <si>
    <t>2005-0265-BGR</t>
  </si>
  <si>
    <t>2005-0338-BGR</t>
  </si>
  <si>
    <t>2005-0473-BGR</t>
  </si>
  <si>
    <t>2005-0545-BGR</t>
  </si>
  <si>
    <t>2005-0727-BGR</t>
  </si>
  <si>
    <t>2005-0045-BGR</t>
  </si>
  <si>
    <t>2006-0148-BGR</t>
  </si>
  <si>
    <t>2006-0156-BGR</t>
  </si>
  <si>
    <t>2006-0209-BGR</t>
  </si>
  <si>
    <t>2007-0171-BGR</t>
  </si>
  <si>
    <t>2007-0322-BGR</t>
  </si>
  <si>
    <t>2007-0554-BGR</t>
  </si>
  <si>
    <t>2010-0619-BGR</t>
  </si>
  <si>
    <t>2012-0152-BGR</t>
  </si>
  <si>
    <t>2012-0033-BGR</t>
  </si>
  <si>
    <t>2014-0128-BGR</t>
  </si>
  <si>
    <t>2014-0210-BGR</t>
  </si>
  <si>
    <t>2014-0280-BGR</t>
  </si>
  <si>
    <t>2014-0368-BGR</t>
  </si>
  <si>
    <t>2014-0404-BGR</t>
  </si>
  <si>
    <t>2015-0038-BGR</t>
  </si>
  <si>
    <t>2018-0220-BGR</t>
  </si>
  <si>
    <t>2021-0020-BGR</t>
  </si>
  <si>
    <t>2022-0585-BGR</t>
  </si>
  <si>
    <t>2023-0582-BGR</t>
  </si>
  <si>
    <t>2023-0761-BGR</t>
  </si>
  <si>
    <t>2023-0804-BGR</t>
  </si>
  <si>
    <t>2001-0738-CRI</t>
  </si>
  <si>
    <t>2002-0263-CRI</t>
  </si>
  <si>
    <t>2002-0755-CRI</t>
  </si>
  <si>
    <t>2003-0628-CRI</t>
  </si>
  <si>
    <t>2003-0659-CRI</t>
  </si>
  <si>
    <t>2004-0599-CRI</t>
  </si>
  <si>
    <t>2004-0214-CRI</t>
  </si>
  <si>
    <t>2004-0556-CRI</t>
  </si>
  <si>
    <t>2005-0021-CRI</t>
  </si>
  <si>
    <t>2005-0550-CRI</t>
  </si>
  <si>
    <t>2005-0567-CRI</t>
  </si>
  <si>
    <t>2007-0466-CRI</t>
  </si>
  <si>
    <t>2007-0503-CRI</t>
  </si>
  <si>
    <t>2008-0427-CRI</t>
  </si>
  <si>
    <t>2008-0484-CRI</t>
  </si>
  <si>
    <t>2008-0551-CRI</t>
  </si>
  <si>
    <t>2008-0234-CRI</t>
  </si>
  <si>
    <t>2009-0002-CRI</t>
  </si>
  <si>
    <t>2010-0470-CRI</t>
  </si>
  <si>
    <t>2010-0575-CRI</t>
  </si>
  <si>
    <t>2011-0386-CRI</t>
  </si>
  <si>
    <t>2012-0343-CRI</t>
  </si>
  <si>
    <t>2012-0281-CRI</t>
  </si>
  <si>
    <t>2014-9580-CRI</t>
  </si>
  <si>
    <t>2015-0237-CRI</t>
  </si>
  <si>
    <t>2016-0433-CRI</t>
  </si>
  <si>
    <t>2017-0410-CRI</t>
  </si>
  <si>
    <t>2018-0374-CRI</t>
  </si>
  <si>
    <t>2018-9277-CRI</t>
  </si>
  <si>
    <t>2020-0474-CRI</t>
  </si>
  <si>
    <t>2021-0446-CRI</t>
  </si>
  <si>
    <t>2022-0647-CRI</t>
  </si>
  <si>
    <t>2024-0877-CRI</t>
  </si>
  <si>
    <t>2024-0822-CRI</t>
  </si>
  <si>
    <t>2024-0857-CRI</t>
  </si>
  <si>
    <t>1999-9388-DJI</t>
  </si>
  <si>
    <t>2004-0158-DJI</t>
  </si>
  <si>
    <t>2005-9213-DJI</t>
  </si>
  <si>
    <t>2007-9676-DJI</t>
  </si>
  <si>
    <t>2008-9303-DJI</t>
  </si>
  <si>
    <t>2010-9082-DJI</t>
  </si>
  <si>
    <t>2018-0145-DJI</t>
  </si>
  <si>
    <t>2019-0579-DJI</t>
  </si>
  <si>
    <t>2020-0150-DJI</t>
  </si>
  <si>
    <t>2022-9370-DJI</t>
  </si>
  <si>
    <t>2001-9383-SLV</t>
  </si>
  <si>
    <t>2001-0013-SLV</t>
  </si>
  <si>
    <t>2001-0042-SLV</t>
  </si>
  <si>
    <t>2001-0561-SLV</t>
  </si>
  <si>
    <t>2002-0337-SLV</t>
  </si>
  <si>
    <t>2002-0851-SLV</t>
  </si>
  <si>
    <t>2005-0240-SLV</t>
  </si>
  <si>
    <t>2005-0348-SLV</t>
  </si>
  <si>
    <t>2005-0593-SLV</t>
  </si>
  <si>
    <t>2005-0567-SLV</t>
  </si>
  <si>
    <t>2005-0732-SLV</t>
  </si>
  <si>
    <t>2006-0699-SLV</t>
  </si>
  <si>
    <t>2007-0503-SLV</t>
  </si>
  <si>
    <t>2007-0439-SLV</t>
  </si>
  <si>
    <t>2008-0282-SLV</t>
  </si>
  <si>
    <t>2008-0484-SLV</t>
  </si>
  <si>
    <t>2009-9415-SLV</t>
  </si>
  <si>
    <t>2009-0477-SLV</t>
  </si>
  <si>
    <t>2010-0211-SLV</t>
  </si>
  <si>
    <t>2010-0260-SLV</t>
  </si>
  <si>
    <t>2010-0503-SLV</t>
  </si>
  <si>
    <t>2011-0386-SLV</t>
  </si>
  <si>
    <t>2014-9580-SLV</t>
  </si>
  <si>
    <t>2015-0446-SLV</t>
  </si>
  <si>
    <t>2015-0198-SLV</t>
  </si>
  <si>
    <t>2017-0410-SLV</t>
  </si>
  <si>
    <t>2018-9277-SLV</t>
  </si>
  <si>
    <t>2018-0321-SLV</t>
  </si>
  <si>
    <t>2018-0374-SLV</t>
  </si>
  <si>
    <t>2019-0233-SLV</t>
  </si>
  <si>
    <t>2020-0218-SLV</t>
  </si>
  <si>
    <t>2020-0474-SLV</t>
  </si>
  <si>
    <t>2020-0495-SLV</t>
  </si>
  <si>
    <t>2021-0590-SLV</t>
  </si>
  <si>
    <t>2022-0400-SLV</t>
  </si>
  <si>
    <t>2022-0647-SLV</t>
  </si>
  <si>
    <t>2023-0703-SLV</t>
  </si>
  <si>
    <t>2024-0395-SLV</t>
  </si>
  <si>
    <t>2024-0857-SLV</t>
  </si>
  <si>
    <t>2001-0448-ETH</t>
  </si>
  <si>
    <t>2001-0464-ETH</t>
  </si>
  <si>
    <t>2001-0769-ETH</t>
  </si>
  <si>
    <t>2002-0225-ETH</t>
  </si>
  <si>
    <t>2003-9772-ETH</t>
  </si>
  <si>
    <t>2003-0204-ETH</t>
  </si>
  <si>
    <t>2005-9747-ETH</t>
  </si>
  <si>
    <t>2005-0215-ETH</t>
  </si>
  <si>
    <t>2005-0258-ETH</t>
  </si>
  <si>
    <t>2005-0472-ETH</t>
  </si>
  <si>
    <t>2005-0485-ETH</t>
  </si>
  <si>
    <t>2006-0204-ETH</t>
  </si>
  <si>
    <t>2006-0422-ETH</t>
  </si>
  <si>
    <t>2006-0436-ETH</t>
  </si>
  <si>
    <t>2006-0438-ETH</t>
  </si>
  <si>
    <t>2006-0442-ETH</t>
  </si>
  <si>
    <t>2006-0489-ETH</t>
  </si>
  <si>
    <t>2006-0578-ETH</t>
  </si>
  <si>
    <t>2007-0273-ETH</t>
  </si>
  <si>
    <t>2007-0304-ETH</t>
  </si>
  <si>
    <t>2008-9200-ETH</t>
  </si>
  <si>
    <t>2008-0219-ETH</t>
  </si>
  <si>
    <t>2008-0386-ETH</t>
  </si>
  <si>
    <t>2008-0517-ETH</t>
  </si>
  <si>
    <t>2009-9615-ETH</t>
  </si>
  <si>
    <t>2010-0115-ETH</t>
  </si>
  <si>
    <t>2010-0450-ETH</t>
  </si>
  <si>
    <t>2010-9082-ETH</t>
  </si>
  <si>
    <t>2011-0631-ETH</t>
  </si>
  <si>
    <t>2011-9663-ETH</t>
  </si>
  <si>
    <t>2013-0125-ETH</t>
  </si>
  <si>
    <t>2015-9545-ETH</t>
  </si>
  <si>
    <t>2015-0548-ETH</t>
  </si>
  <si>
    <t>2016-0101-ETH</t>
  </si>
  <si>
    <t>2016-0186-ETH</t>
  </si>
  <si>
    <t>2019-0500-ETH</t>
  </si>
  <si>
    <t>2020-0159-ETH</t>
  </si>
  <si>
    <t>2020-0564-ETH</t>
  </si>
  <si>
    <t>2021-9546-ETH</t>
  </si>
  <si>
    <t>2021-0343-ETH</t>
  </si>
  <si>
    <t>2022-9174-ETH</t>
  </si>
  <si>
    <t>2022-0716-ETH</t>
  </si>
  <si>
    <t>2023-0187-ETH</t>
  </si>
  <si>
    <t>2023-0728-ETH</t>
  </si>
  <si>
    <t>2024-0341-ETH</t>
  </si>
  <si>
    <t>2001-9383-GTM</t>
  </si>
  <si>
    <t>2001-0023-GTM</t>
  </si>
  <si>
    <t>2001-0570-GTM</t>
  </si>
  <si>
    <t>2002-0103-GTM</t>
  </si>
  <si>
    <t>2002-0849-GTM</t>
  </si>
  <si>
    <t>2005-0593-GTM</t>
  </si>
  <si>
    <t>2005-0567-GTM</t>
  </si>
  <si>
    <t>2007-0468-GTM</t>
  </si>
  <si>
    <t>2007-0503-GTM</t>
  </si>
  <si>
    <t>2007-0439-GTM</t>
  </si>
  <si>
    <t>2008-0268-GTM</t>
  </si>
  <si>
    <t>2008-0484-GTM</t>
  </si>
  <si>
    <t>2008-0304-GTM</t>
  </si>
  <si>
    <t>2009-9415-GTM</t>
  </si>
  <si>
    <t>2009-0234-GTM</t>
  </si>
  <si>
    <t>2010-0442-GTM</t>
  </si>
  <si>
    <t>2010-0211-GTM</t>
  </si>
  <si>
    <t>2010-0260-GTM</t>
  </si>
  <si>
    <t>2010-0503-GTM</t>
  </si>
  <si>
    <t>2011-0373-GTM</t>
  </si>
  <si>
    <t>2011-0338-GTM</t>
  </si>
  <si>
    <t>2011-0386-GTM</t>
  </si>
  <si>
    <t>2011-0589-GTM</t>
  </si>
  <si>
    <t>2011-0267-GTM</t>
  </si>
  <si>
    <t>2012-9355-GTM</t>
  </si>
  <si>
    <t>2012-0407-GTM</t>
  </si>
  <si>
    <t>2013-0405-GTM</t>
  </si>
  <si>
    <t>2014-9277-GTM</t>
  </si>
  <si>
    <t>2014-0234-GTM</t>
  </si>
  <si>
    <t>2014-0447-GTM</t>
  </si>
  <si>
    <t>2014-0183-GTM</t>
  </si>
  <si>
    <t>2015-0353-GTM</t>
  </si>
  <si>
    <t>2015-0446-GTM</t>
  </si>
  <si>
    <t>2016-0284-GTM</t>
  </si>
  <si>
    <t>2017-0382-GTM</t>
  </si>
  <si>
    <t>2017-0196-GTM</t>
  </si>
  <si>
    <t>2017-0416-GTM</t>
  </si>
  <si>
    <t>2017-0449-GTM</t>
  </si>
  <si>
    <t>2017-0450-GTM</t>
  </si>
  <si>
    <t>2017-0410-GTM</t>
  </si>
  <si>
    <t>2018-9277-GTM</t>
  </si>
  <si>
    <t>2018-0157-GTM</t>
  </si>
  <si>
    <t>2018-0374-GTM</t>
  </si>
  <si>
    <t>2019-0395-GTM</t>
  </si>
  <si>
    <t>2019-0490-GTM</t>
  </si>
  <si>
    <t>2020-0183-GTM</t>
  </si>
  <si>
    <t>2020-0264-GTM</t>
  </si>
  <si>
    <t>2020-0218-GTM</t>
  </si>
  <si>
    <t>2020-0474-GTM</t>
  </si>
  <si>
    <t>2020-0495-GTM</t>
  </si>
  <si>
    <t>2021-0230-GTM</t>
  </si>
  <si>
    <t>2021-0300-GTM</t>
  </si>
  <si>
    <t>2021-0588-GTM</t>
  </si>
  <si>
    <t>2022-0092-GTM</t>
  </si>
  <si>
    <t>2022-0317-GTM</t>
  </si>
  <si>
    <t>2022-0647-GTM</t>
  </si>
  <si>
    <t>2023-0365-GTM</t>
  </si>
  <si>
    <t>2024-0363-GTM</t>
  </si>
  <si>
    <t>2024-0402-GTM</t>
  </si>
  <si>
    <t>2024-0857-GTM</t>
  </si>
  <si>
    <t>2001-0207-HTI</t>
  </si>
  <si>
    <t>2001-0611-HTI</t>
  </si>
  <si>
    <t>2002-0321-HTI</t>
  </si>
  <si>
    <t>2002-0657-HTI</t>
  </si>
  <si>
    <t>2003-9758-HTI</t>
  </si>
  <si>
    <t>2003-0439-HTI</t>
  </si>
  <si>
    <t>2003-0624-HTI</t>
  </si>
  <si>
    <t>2003-0759-HTI</t>
  </si>
  <si>
    <t>2003-0495-HTI</t>
  </si>
  <si>
    <t>2004-0231-HTI</t>
  </si>
  <si>
    <t>2004-0462-HTI</t>
  </si>
  <si>
    <t>2004-0473-HTI</t>
  </si>
  <si>
    <t>2005-0378-HTI</t>
  </si>
  <si>
    <t>2005-0586-HTI</t>
  </si>
  <si>
    <t>2005-0733-HTI</t>
  </si>
  <si>
    <t>2005-0351-HTI</t>
  </si>
  <si>
    <t>2005-0382-HTI</t>
  </si>
  <si>
    <t>2005-0567-HTI</t>
  </si>
  <si>
    <t>2005-0585-HTI</t>
  </si>
  <si>
    <t>2005-0597-HTI</t>
  </si>
  <si>
    <t>2006-0651-HTI</t>
  </si>
  <si>
    <t>2006-0716-HTI</t>
  </si>
  <si>
    <t>2006-0466-HTI</t>
  </si>
  <si>
    <t>2007-0134-HTI</t>
  </si>
  <si>
    <t>2007-0167-HTI</t>
  </si>
  <si>
    <t>2007-0281-HTI</t>
  </si>
  <si>
    <t>2007-0496-HTI</t>
  </si>
  <si>
    <t>2007-0360-HTI</t>
  </si>
  <si>
    <t>2007-0523-HTI</t>
  </si>
  <si>
    <t>2007-0612-HTI</t>
  </si>
  <si>
    <t>2008-0338-HTI</t>
  </si>
  <si>
    <t>2008-0352-HTI</t>
  </si>
  <si>
    <t>2008-0378-HTI</t>
  </si>
  <si>
    <t>2008-0384-HTI</t>
  </si>
  <si>
    <t>2009-0198-HTI</t>
  </si>
  <si>
    <t>2009-0418-HTI</t>
  </si>
  <si>
    <t>2009-0469-HTI</t>
  </si>
  <si>
    <t>2010-0017-HTI</t>
  </si>
  <si>
    <t>2010-0067-HTI</t>
  </si>
  <si>
    <t>2010-0092-HTI</t>
  </si>
  <si>
    <t>2010-0542-HTI</t>
  </si>
  <si>
    <t>2010-0508-HTI</t>
  </si>
  <si>
    <t>2010-0571-HTI</t>
  </si>
  <si>
    <t>2011-0199-HTI</t>
  </si>
  <si>
    <t>2011-0383-HTI</t>
  </si>
  <si>
    <t>2011-0303-HTI</t>
  </si>
  <si>
    <t>2011-0328-HTI</t>
  </si>
  <si>
    <t>2012-0114-HTI</t>
  </si>
  <si>
    <t>2012-0237-HTI</t>
  </si>
  <si>
    <t>2012-0596-HTI</t>
  </si>
  <si>
    <t>2012-0313-HTI</t>
  </si>
  <si>
    <t>2012-0410-HTI</t>
  </si>
  <si>
    <t>2013-0213-HTI</t>
  </si>
  <si>
    <t>2014-9102-HTI</t>
  </si>
  <si>
    <t>2014-0453-HTI</t>
  </si>
  <si>
    <t>2015-0116-HTI</t>
  </si>
  <si>
    <t>2015-0375-HTI</t>
  </si>
  <si>
    <t>2016-9052-HTI</t>
  </si>
  <si>
    <t>2016-0053-HTI</t>
  </si>
  <si>
    <t>2016-0126-HTI</t>
  </si>
  <si>
    <t>2016-0165-HTI</t>
  </si>
  <si>
    <t>2016-0184-HTI</t>
  </si>
  <si>
    <t>2016-0185-HTI</t>
  </si>
  <si>
    <t>2016-0418-HTI</t>
  </si>
  <si>
    <t>2016-0355-HTI</t>
  </si>
  <si>
    <t>2017-0209-HTI</t>
  </si>
  <si>
    <t>2017-0452-HTI</t>
  </si>
  <si>
    <t>2017-0137-HTI</t>
  </si>
  <si>
    <t>2017-0381-HTI</t>
  </si>
  <si>
    <t>2017-0383-HTI</t>
  </si>
  <si>
    <t>2018-0360-HTI</t>
  </si>
  <si>
    <t>2019-0215-HTI</t>
  </si>
  <si>
    <t>2019-0445-HTI</t>
  </si>
  <si>
    <t>2020-0376-HTI</t>
  </si>
  <si>
    <t>2021-0511-HTI</t>
  </si>
  <si>
    <t>2021-0184-HTI</t>
  </si>
  <si>
    <t>2021-0373-HTI</t>
  </si>
  <si>
    <t>2021-0510-HTI</t>
  </si>
  <si>
    <t>2022-0057-HTI</t>
  </si>
  <si>
    <t>2022-0069-HTI</t>
  </si>
  <si>
    <t>2022-0130-HTI</t>
  </si>
  <si>
    <t>2023-0339-HTI</t>
  </si>
  <si>
    <t>2023-0763-HTI</t>
  </si>
  <si>
    <t>2024-0856-HTI</t>
  </si>
  <si>
    <t>2024-0901-HTI</t>
  </si>
  <si>
    <t>2024-0953-HTI</t>
  </si>
  <si>
    <t>2024-0857-HTI</t>
  </si>
  <si>
    <t>2001-9383-HND</t>
  </si>
  <si>
    <t>2001-0603-HND</t>
  </si>
  <si>
    <t>2002-9838-HND</t>
  </si>
  <si>
    <t>2002-0329-HND</t>
  </si>
  <si>
    <t>2002-0598-HND</t>
  </si>
  <si>
    <t>2003-0481-HND</t>
  </si>
  <si>
    <t>2003-0661-HND</t>
  </si>
  <si>
    <t>2004-9363-HND</t>
  </si>
  <si>
    <t>2005-0348-HND</t>
  </si>
  <si>
    <t>2005-0567-HND</t>
  </si>
  <si>
    <t>2005-0585-HND</t>
  </si>
  <si>
    <t>2005-0625-HND</t>
  </si>
  <si>
    <t>2005-0640-HND</t>
  </si>
  <si>
    <t>2006-0338-HND</t>
  </si>
  <si>
    <t>2007-0461-HND</t>
  </si>
  <si>
    <t>2007-0503-HND</t>
  </si>
  <si>
    <t>2007-0543-HND</t>
  </si>
  <si>
    <t>2007-0439-HND</t>
  </si>
  <si>
    <t>2008-0484-HND</t>
  </si>
  <si>
    <t>2008-0234-HND</t>
  </si>
  <si>
    <t>2009-9559-HND</t>
  </si>
  <si>
    <t>2009-0205-HND</t>
  </si>
  <si>
    <t>2010-0443-HND</t>
  </si>
  <si>
    <t>2010-0447-HND</t>
  </si>
  <si>
    <t>2010-0211-HND</t>
  </si>
  <si>
    <t>2010-0503-HND</t>
  </si>
  <si>
    <t>2011-0386-HND</t>
  </si>
  <si>
    <t>2012-9379-HND</t>
  </si>
  <si>
    <t>2014-9332-HND</t>
  </si>
  <si>
    <t>2014-0007-HND</t>
  </si>
  <si>
    <t>2014-0447-HND</t>
  </si>
  <si>
    <t>2016-0356-HND</t>
  </si>
  <si>
    <t>2016-0284-HND</t>
  </si>
  <si>
    <t>2017-0196-HND</t>
  </si>
  <si>
    <t>2017-0227-HND</t>
  </si>
  <si>
    <t>2017-0449-HND</t>
  </si>
  <si>
    <t>2017-0410-HND</t>
  </si>
  <si>
    <t>2018-9277-HND</t>
  </si>
  <si>
    <t>2018-0374-HND</t>
  </si>
  <si>
    <t>2020-0075-HND</t>
  </si>
  <si>
    <t>2020-0218-HND</t>
  </si>
  <si>
    <t>2020-0474-HND</t>
  </si>
  <si>
    <t>2020-0495-HND</t>
  </si>
  <si>
    <t>2022-0086-HND</t>
  </si>
  <si>
    <t>2022-0655-HND</t>
  </si>
  <si>
    <t>2022-0647-HND</t>
  </si>
  <si>
    <t>2023-9167-HND</t>
  </si>
  <si>
    <t>2023-0703-HND</t>
  </si>
  <si>
    <t>2023-0732-HND</t>
  </si>
  <si>
    <t>2024-0402-HND</t>
  </si>
  <si>
    <t>2024-0857-HND</t>
  </si>
  <si>
    <t>2001-0033-IND</t>
  </si>
  <si>
    <t>2001-0243-IND</t>
  </si>
  <si>
    <t>2001-0332-IND</t>
  </si>
  <si>
    <t>2001-0349-IND</t>
  </si>
  <si>
    <t>2001-0387-IND</t>
  </si>
  <si>
    <t>2001-0465-IND</t>
  </si>
  <si>
    <t>2001-0502-IND</t>
  </si>
  <si>
    <t>2001-0515-IND</t>
  </si>
  <si>
    <t>2001-0527-IND</t>
  </si>
  <si>
    <t>2001-0794-IND</t>
  </si>
  <si>
    <t>2001-0337-IND</t>
  </si>
  <si>
    <t>2001-0584-IND</t>
  </si>
  <si>
    <t>2002-9349-IND</t>
  </si>
  <si>
    <t>2002-0584-IND</t>
  </si>
  <si>
    <t>2002-0374-IND</t>
  </si>
  <si>
    <t>2002-0490-IND</t>
  </si>
  <si>
    <t>2002-0539-IND</t>
  </si>
  <si>
    <t>2002-0568-IND</t>
  </si>
  <si>
    <t>2002-0650-IND</t>
  </si>
  <si>
    <t>2002-0729-IND</t>
  </si>
  <si>
    <t>2002-0204-IND</t>
  </si>
  <si>
    <t>2002-0216-IND</t>
  </si>
  <si>
    <t>2002-0308-IND</t>
  </si>
  <si>
    <t>2002-0702-IND</t>
  </si>
  <si>
    <t>2003-0283-IND</t>
  </si>
  <si>
    <t>2003-0387-IND</t>
  </si>
  <si>
    <t>2003-0683-IND</t>
  </si>
  <si>
    <t>2003-0719-IND</t>
  </si>
  <si>
    <t>2003-0720-IND</t>
  </si>
  <si>
    <t>2003-0775-IND</t>
  </si>
  <si>
    <t>2003-0089-IND</t>
  </si>
  <si>
    <t>2003-0099-IND</t>
  </si>
  <si>
    <t>2003-0100-IND</t>
  </si>
  <si>
    <t>2003-0134-IND</t>
  </si>
  <si>
    <t>2003-0182-IND</t>
  </si>
  <si>
    <t>2003-0234-IND</t>
  </si>
  <si>
    <t>2003-0605-IND</t>
  </si>
  <si>
    <t>2004-0659-IND</t>
  </si>
  <si>
    <t>2004-0178-IND</t>
  </si>
  <si>
    <t>2004-0298-IND</t>
  </si>
  <si>
    <t>2004-0321-IND</t>
  </si>
  <si>
    <t>2004-0489-IND</t>
  </si>
  <si>
    <t>2004-0509-IND</t>
  </si>
  <si>
    <t>2004-0734-IND</t>
  </si>
  <si>
    <t>2005-0575-IND</t>
  </si>
  <si>
    <t>2005-0314-IND</t>
  </si>
  <si>
    <t>2005-0335-IND</t>
  </si>
  <si>
    <t>2005-0354-IND</t>
  </si>
  <si>
    <t>2005-0361-IND</t>
  </si>
  <si>
    <t>2005-0375-IND</t>
  </si>
  <si>
    <t>2005-0398-IND</t>
  </si>
  <si>
    <t>2005-0399-IND</t>
  </si>
  <si>
    <t>2005-0409-IND</t>
  </si>
  <si>
    <t>2005-0471-IND</t>
  </si>
  <si>
    <t>2005-0504-IND</t>
  </si>
  <si>
    <t>2005-0539-IND</t>
  </si>
  <si>
    <t>2005-0541-IND</t>
  </si>
  <si>
    <t>2005-0599-IND</t>
  </si>
  <si>
    <t>2005-0603-IND</t>
  </si>
  <si>
    <t>2005-0627-IND</t>
  </si>
  <si>
    <t>2005-0677-IND</t>
  </si>
  <si>
    <t>2005-0746-IND</t>
  </si>
  <si>
    <t>2005-0191-IND</t>
  </si>
  <si>
    <t>2005-0290-IND</t>
  </si>
  <si>
    <t>2005-0291-IND</t>
  </si>
  <si>
    <t>2005-0537-IND</t>
  </si>
  <si>
    <t>2006-0207-IND</t>
  </si>
  <si>
    <t>2006-0262-IND</t>
  </si>
  <si>
    <t>2006-0263-IND</t>
  </si>
  <si>
    <t>2006-0265-IND</t>
  </si>
  <si>
    <t>2006-0342-IND</t>
  </si>
  <si>
    <t>2006-0369-IND</t>
  </si>
  <si>
    <t>2006-0370-IND</t>
  </si>
  <si>
    <t>2006-0389-IND</t>
  </si>
  <si>
    <t>2006-0417-IND</t>
  </si>
  <si>
    <t>2006-0443-IND</t>
  </si>
  <si>
    <t>2006-0469-IND</t>
  </si>
  <si>
    <t>2006-0548-IND</t>
  </si>
  <si>
    <t>2006-0549-IND</t>
  </si>
  <si>
    <t>2006-0601-IND</t>
  </si>
  <si>
    <t>2006-0712-IND</t>
  </si>
  <si>
    <t>2006-0731-IND</t>
  </si>
  <si>
    <t>2006-0734-IND</t>
  </si>
  <si>
    <t>2006-0510-IND</t>
  </si>
  <si>
    <t>2006-0740-IND</t>
  </si>
  <si>
    <t>2007-0225-IND</t>
  </si>
  <si>
    <t>2007-0238-IND</t>
  </si>
  <si>
    <t>2007-0239-IND</t>
  </si>
  <si>
    <t>2007-0240-IND</t>
  </si>
  <si>
    <t>2007-0250-IND</t>
  </si>
  <si>
    <t>2007-0311-IND</t>
  </si>
  <si>
    <t>2007-0320-IND</t>
  </si>
  <si>
    <t>2007-0364-IND</t>
  </si>
  <si>
    <t>2007-0415-IND</t>
  </si>
  <si>
    <t>2007-0467-IND</t>
  </si>
  <si>
    <t>2007-0469-IND</t>
  </si>
  <si>
    <t>2007-0524-IND</t>
  </si>
  <si>
    <t>2007-0596-IND</t>
  </si>
  <si>
    <t>2007-0602-IND</t>
  </si>
  <si>
    <t>2007-0603-IND</t>
  </si>
  <si>
    <t>2007-0683-IND</t>
  </si>
  <si>
    <t>2007-0556-IND</t>
  </si>
  <si>
    <t>2008-0130-IND</t>
  </si>
  <si>
    <t>2008-0246-IND</t>
  </si>
  <si>
    <t>2008-0285-IND</t>
  </si>
  <si>
    <t>2008-0415-IND</t>
  </si>
  <si>
    <t>2008-0423-IND</t>
  </si>
  <si>
    <t>2008-0486-IND</t>
  </si>
  <si>
    <t>2008-0560-IND</t>
  </si>
  <si>
    <t>2008-0615-IND</t>
  </si>
  <si>
    <t>2008-0646-IND</t>
  </si>
  <si>
    <t>2009-9323-IND</t>
  </si>
  <si>
    <t>2009-0303-IND</t>
  </si>
  <si>
    <t>2009-0409-IND</t>
  </si>
  <si>
    <t>2009-0429-IND</t>
  </si>
  <si>
    <t>2009-0443-IND</t>
  </si>
  <si>
    <t>2009-0483-IND</t>
  </si>
  <si>
    <t>2009-0638-IND</t>
  </si>
  <si>
    <t>2009-0130-IND</t>
  </si>
  <si>
    <t>2009-0204-IND</t>
  </si>
  <si>
    <t>2009-0240-IND</t>
  </si>
  <si>
    <t>2009-0609-IND</t>
  </si>
  <si>
    <t>2009-0640-IND</t>
  </si>
  <si>
    <t>2009-0641-IND</t>
  </si>
  <si>
    <t>2010-0276-IND</t>
  </si>
  <si>
    <t>2010-0283-IND</t>
  </si>
  <si>
    <t>2010-0321-IND</t>
  </si>
  <si>
    <t>2010-0373-IND</t>
  </si>
  <si>
    <t>2010-0416-IND</t>
  </si>
  <si>
    <t>2010-0492-IND</t>
  </si>
  <si>
    <t>2010-0493-IND</t>
  </si>
  <si>
    <t>2010-0629-IND</t>
  </si>
  <si>
    <t>2010-0171-IND</t>
  </si>
  <si>
    <t>2010-0177-IND</t>
  </si>
  <si>
    <t>2010-0198-IND</t>
  </si>
  <si>
    <t>2010-0428-IND</t>
  </si>
  <si>
    <t>2010-0688-IND</t>
  </si>
  <si>
    <t>2010-0693-IND</t>
  </si>
  <si>
    <t>2010-0694-IND</t>
  </si>
  <si>
    <t>2011-0351-IND</t>
  </si>
  <si>
    <t>2011-0327-IND</t>
  </si>
  <si>
    <t>2011-0371-IND</t>
  </si>
  <si>
    <t>2011-0422-IND</t>
  </si>
  <si>
    <t>2011-0424-IND</t>
  </si>
  <si>
    <t>2011-0428-IND</t>
  </si>
  <si>
    <t>2011-0473-IND</t>
  </si>
  <si>
    <t>2011-0647-IND</t>
  </si>
  <si>
    <t>2011-0176-IND</t>
  </si>
  <si>
    <t>2011-0566-IND</t>
  </si>
  <si>
    <t>2011-0593-IND</t>
  </si>
  <si>
    <t>2012-0179-IND</t>
  </si>
  <si>
    <t>2012-0322-IND</t>
  </si>
  <si>
    <t>2012-0334-IND</t>
  </si>
  <si>
    <t>2012-0354-IND</t>
  </si>
  <si>
    <t>2012-0382-IND</t>
  </si>
  <si>
    <t>2012-0584-IND</t>
  </si>
  <si>
    <t>2012-0425-IND</t>
  </si>
  <si>
    <t>2013-0140-IND</t>
  </si>
  <si>
    <t>2013-0192-IND</t>
  </si>
  <si>
    <t>2013-0260-IND</t>
  </si>
  <si>
    <t>2013-0282-IND</t>
  </si>
  <si>
    <t>2013-0345-IND</t>
  </si>
  <si>
    <t>2013-0400-IND</t>
  </si>
  <si>
    <t>2013-0090-IND</t>
  </si>
  <si>
    <t>2013-0138-IND</t>
  </si>
  <si>
    <t>2013-0401-IND</t>
  </si>
  <si>
    <t>2013-0482-IND</t>
  </si>
  <si>
    <t>2013-0515-IND</t>
  </si>
  <si>
    <t>2014-0218-IND</t>
  </si>
  <si>
    <t>2014-0268-IND</t>
  </si>
  <si>
    <t>2014-0313-IND</t>
  </si>
  <si>
    <t>2014-0343-IND</t>
  </si>
  <si>
    <t>2014-0391-IND</t>
  </si>
  <si>
    <t>2014-0408-IND</t>
  </si>
  <si>
    <t>2014-0409-IND</t>
  </si>
  <si>
    <t>2014-0106-IND</t>
  </si>
  <si>
    <t>2014-0182-IND</t>
  </si>
  <si>
    <t>2014-0392-IND</t>
  </si>
  <si>
    <t>2014-0538-IND</t>
  </si>
  <si>
    <t>2014-0551-IND</t>
  </si>
  <si>
    <t>2015-9618-IND</t>
  </si>
  <si>
    <t>2015-0144-IND</t>
  </si>
  <si>
    <t>2015-0175-IND</t>
  </si>
  <si>
    <t>2015-0476-IND</t>
  </si>
  <si>
    <t>2015-0107-IND</t>
  </si>
  <si>
    <t>2015-0207-IND</t>
  </si>
  <si>
    <t>2015-0249-IND</t>
  </si>
  <si>
    <t>2015-0253-IND</t>
  </si>
  <si>
    <t>2015-0317-IND</t>
  </si>
  <si>
    <t>2015-0333-IND</t>
  </si>
  <si>
    <t>2015-0374-IND</t>
  </si>
  <si>
    <t>2015-0406-IND</t>
  </si>
  <si>
    <t>2015-0413-IND</t>
  </si>
  <si>
    <t>2015-0504-IND</t>
  </si>
  <si>
    <t>2015-0118-IND</t>
  </si>
  <si>
    <t>2015-0126-IND</t>
  </si>
  <si>
    <t>2015-0164-IND</t>
  </si>
  <si>
    <t>2015-0450-IND</t>
  </si>
  <si>
    <t>2015-0600-IND</t>
  </si>
  <si>
    <t>2015-0604-IND</t>
  </si>
  <si>
    <t>2016-0002-IND</t>
  </si>
  <si>
    <t>2016-0139-IND</t>
  </si>
  <si>
    <t>2016-0239-IND</t>
  </si>
  <si>
    <t>2016-0267-IND</t>
  </si>
  <si>
    <t>2016-0271-IND</t>
  </si>
  <si>
    <t>2016-0276-IND</t>
  </si>
  <si>
    <t>2016-0304-IND</t>
  </si>
  <si>
    <t>2016-0391-IND</t>
  </si>
  <si>
    <t>2016-0554-IND</t>
  </si>
  <si>
    <t>2016-0234-IND</t>
  </si>
  <si>
    <t>2016-0237-IND</t>
  </si>
  <si>
    <t>2016-0485-IND</t>
  </si>
  <si>
    <t>2017-0180-IND</t>
  </si>
  <si>
    <t>2017-0257-IND</t>
  </si>
  <si>
    <t>2017-0289-IND</t>
  </si>
  <si>
    <t>2017-0290-IND</t>
  </si>
  <si>
    <t>2017-0294-IND</t>
  </si>
  <si>
    <t>2017-0342-IND</t>
  </si>
  <si>
    <t>2017-0364-IND</t>
  </si>
  <si>
    <t>2017-0495-IND</t>
  </si>
  <si>
    <t>2017-0517-IND</t>
  </si>
  <si>
    <t>2017-0152-IND</t>
  </si>
  <si>
    <t>2017-0265-IND</t>
  </si>
  <si>
    <t>2017-0508-IND</t>
  </si>
  <si>
    <t>2017-0569-IND</t>
  </si>
  <si>
    <t>2017-0570-IND</t>
  </si>
  <si>
    <t>2018-9372-IND</t>
  </si>
  <si>
    <t>2018-0205-IND</t>
  </si>
  <si>
    <t>2018-0213-IND</t>
  </si>
  <si>
    <t>2018-0216-IND</t>
  </si>
  <si>
    <t>2018-0267-IND</t>
  </si>
  <si>
    <t>2018-0286-IND</t>
  </si>
  <si>
    <t>2018-0295-IND</t>
  </si>
  <si>
    <t>2018-0345-IND</t>
  </si>
  <si>
    <t>2018-0370-IND</t>
  </si>
  <si>
    <t>2018-0372-IND</t>
  </si>
  <si>
    <t>2018-0137-IND</t>
  </si>
  <si>
    <t>2018-0138-IND</t>
  </si>
  <si>
    <t>2018-0149-IND</t>
  </si>
  <si>
    <t>2018-0150-IND</t>
  </si>
  <si>
    <t>2018-0199-IND</t>
  </si>
  <si>
    <t>2018-0202-IND</t>
  </si>
  <si>
    <t>2018-0209-IND</t>
  </si>
  <si>
    <t>2018-0214-IND</t>
  </si>
  <si>
    <t>2018-0385-IND</t>
  </si>
  <si>
    <t>2018-0431-IND</t>
  </si>
  <si>
    <t>2018-0473-IND</t>
  </si>
  <si>
    <t>2019-0288-IND</t>
  </si>
  <si>
    <t>2019-0331-IND</t>
  </si>
  <si>
    <t>2019-0383-IND</t>
  </si>
  <si>
    <t>2019-0499-IND</t>
  </si>
  <si>
    <t>2019-0574-IND</t>
  </si>
  <si>
    <t>2019-0155-IND</t>
  </si>
  <si>
    <t>2019-0164-IND</t>
  </si>
  <si>
    <t>2019-0311-IND</t>
  </si>
  <si>
    <t>2019-0321-IND</t>
  </si>
  <si>
    <t>2019-0550-IND</t>
  </si>
  <si>
    <t>2020-0198-IND</t>
  </si>
  <si>
    <t>2020-0206-IND</t>
  </si>
  <si>
    <t>2020-0249-IND</t>
  </si>
  <si>
    <t>2020-0304-IND</t>
  </si>
  <si>
    <t>2020-0446-IND</t>
  </si>
  <si>
    <t>2020-0057-IND</t>
  </si>
  <si>
    <t>2020-0211-IND</t>
  </si>
  <si>
    <t>2020-0217-IND</t>
  </si>
  <si>
    <t>2020-0524-IND</t>
  </si>
  <si>
    <t>2021-0225-IND</t>
  </si>
  <si>
    <t>2021-0316-IND</t>
  </si>
  <si>
    <t>2021-0366-IND</t>
  </si>
  <si>
    <t>2021-0435-IND</t>
  </si>
  <si>
    <t>2021-0458-IND</t>
  </si>
  <si>
    <t>2021-0585-IND</t>
  </si>
  <si>
    <t>2021-0677-IND</t>
  </si>
  <si>
    <t>2021-0681-IND</t>
  </si>
  <si>
    <t>2021-0722-IND</t>
  </si>
  <si>
    <t>2021-0748-IND</t>
  </si>
  <si>
    <t>2021-0252-IND</t>
  </si>
  <si>
    <t>2021-0295-IND</t>
  </si>
  <si>
    <t>2021-0630-IND</t>
  </si>
  <si>
    <t>2021-0645-IND</t>
  </si>
  <si>
    <t>2021-0777-IND</t>
  </si>
  <si>
    <t>2022-0293-IND</t>
  </si>
  <si>
    <t>2022-0539-IND</t>
  </si>
  <si>
    <t>2022-0590-IND</t>
  </si>
  <si>
    <t>2022-0219-IND</t>
  </si>
  <si>
    <t>2022-0798-IND</t>
  </si>
  <si>
    <t>2023-0330-IND</t>
  </si>
  <si>
    <t>2023-0359-IND</t>
  </si>
  <si>
    <t>2023-0428-IND</t>
  </si>
  <si>
    <t>2023-0486-IND</t>
  </si>
  <si>
    <t>2023-0846-IND</t>
  </si>
  <si>
    <t>2023-0161-IND</t>
  </si>
  <si>
    <t>2023-0294-IND</t>
  </si>
  <si>
    <t>2023-0331-IND</t>
  </si>
  <si>
    <t>2023-0606-IND</t>
  </si>
  <si>
    <t>2023-0792-IND</t>
  </si>
  <si>
    <t>2023-0812-IND</t>
  </si>
  <si>
    <t>2024-0399-IND</t>
  </si>
  <si>
    <t>2024-0481-IND</t>
  </si>
  <si>
    <t>2024-0561-IND</t>
  </si>
  <si>
    <t>2024-0624-IND</t>
  </si>
  <si>
    <t>2024-0647-IND</t>
  </si>
  <si>
    <t>2024-0719-IND</t>
  </si>
  <si>
    <t>2024-0149-IND</t>
  </si>
  <si>
    <t>2024-0280-IND</t>
  </si>
  <si>
    <t>2024-0290-IND</t>
  </si>
  <si>
    <t>2024-0320-IND</t>
  </si>
  <si>
    <t>2024-0778-IND</t>
  </si>
  <si>
    <t>2024-0881-IND</t>
  </si>
  <si>
    <t>2001-0546-IDN</t>
  </si>
  <si>
    <t>2001-0669-IDN</t>
  </si>
  <si>
    <t>2001-0051-IDN</t>
  </si>
  <si>
    <t>2001-0407-IDN</t>
  </si>
  <si>
    <t>2001-0719-IDN</t>
  </si>
  <si>
    <t>2002-0512-IDN</t>
  </si>
  <si>
    <t>2002-0643-IDN</t>
  </si>
  <si>
    <t>2002-0820-IDN</t>
  </si>
  <si>
    <t>2002-0822-IDN</t>
  </si>
  <si>
    <t>2002-0018-IDN</t>
  </si>
  <si>
    <t>2002-0035-IDN</t>
  </si>
  <si>
    <t>2002-0054-IDN</t>
  </si>
  <si>
    <t>2002-0186-IDN</t>
  </si>
  <si>
    <t>2002-0236-IDN</t>
  </si>
  <si>
    <t>2002-0291-IDN</t>
  </si>
  <si>
    <t>2002-0732-IDN</t>
  </si>
  <si>
    <t>2003-9760-IDN</t>
  </si>
  <si>
    <t>2003-0069-IDN</t>
  </si>
  <si>
    <t>2003-0254-IDN</t>
  </si>
  <si>
    <t>2003-0414-IDN</t>
  </si>
  <si>
    <t>2003-0016-IDN</t>
  </si>
  <si>
    <t>2003-0021-IDN</t>
  </si>
  <si>
    <t>2003-0067-IDN</t>
  </si>
  <si>
    <t>2003-0074-IDN</t>
  </si>
  <si>
    <t>2003-0118-IDN</t>
  </si>
  <si>
    <t>2003-0531-IDN</t>
  </si>
  <si>
    <t>2003-0593-IDN</t>
  </si>
  <si>
    <t>2003-0776-IDN</t>
  </si>
  <si>
    <t>2004-0001-IDN</t>
  </si>
  <si>
    <t>2004-0040-IDN</t>
  </si>
  <si>
    <t>2004-0088-IDN</t>
  </si>
  <si>
    <t>2004-0562-IDN</t>
  </si>
  <si>
    <t>2004-0607-IDN</t>
  </si>
  <si>
    <t>2004-0659-IDN</t>
  </si>
  <si>
    <t>2004-0098-IDN</t>
  </si>
  <si>
    <t>2004-0062-IDN</t>
  </si>
  <si>
    <t>2004-0144-IDN</t>
  </si>
  <si>
    <t>2005-0031-IDN</t>
  </si>
  <si>
    <t>2005-0160-IDN</t>
  </si>
  <si>
    <t>2005-0223-IDN</t>
  </si>
  <si>
    <t>2005-0589-IDN</t>
  </si>
  <si>
    <t>2005-0718-IDN</t>
  </si>
  <si>
    <t>2006-0231-IDN</t>
  </si>
  <si>
    <t>2006-0279-IDN</t>
  </si>
  <si>
    <t>2006-0372-IDN</t>
  </si>
  <si>
    <t>2006-0678-IDN</t>
  </si>
  <si>
    <t>2006-0705-IDN</t>
  </si>
  <si>
    <t>2006-0074-IDN</t>
  </si>
  <si>
    <t>2006-0099-IDN</t>
  </si>
  <si>
    <t>2006-0192-IDN</t>
  </si>
  <si>
    <t>2006-0311-IDN</t>
  </si>
  <si>
    <t>2006-0328-IDN</t>
  </si>
  <si>
    <t>2006-0332-IDN</t>
  </si>
  <si>
    <t>2006-0343-IDN</t>
  </si>
  <si>
    <t>2006-0680-IDN</t>
  </si>
  <si>
    <t>2007-0087-IDN</t>
  </si>
  <si>
    <t>2007-0440-IDN</t>
  </si>
  <si>
    <t>2007-0485-IDN</t>
  </si>
  <si>
    <t>2007-0565-IDN</t>
  </si>
  <si>
    <t>2007-0050-IDN</t>
  </si>
  <si>
    <t>2007-0086-IDN</t>
  </si>
  <si>
    <t>2007-0175-IDN</t>
  </si>
  <si>
    <t>2007-0283-IDN</t>
  </si>
  <si>
    <t>2007-0309-IDN</t>
  </si>
  <si>
    <t>2007-0312-IDN</t>
  </si>
  <si>
    <t>2007-0447-IDN</t>
  </si>
  <si>
    <t>2007-0610-IDN</t>
  </si>
  <si>
    <t>2008-0403-IDN</t>
  </si>
  <si>
    <t>2008-0536-IDN</t>
  </si>
  <si>
    <t>2008-0013-IDN</t>
  </si>
  <si>
    <t>2008-0042-IDN</t>
  </si>
  <si>
    <t>2008-0052-IDN</t>
  </si>
  <si>
    <t>2008-0067-IDN</t>
  </si>
  <si>
    <t>2008-0092-IDN</t>
  </si>
  <si>
    <t>2008-0108-IDN</t>
  </si>
  <si>
    <t>2008-0128-IDN</t>
  </si>
  <si>
    <t>2008-0176-IDN</t>
  </si>
  <si>
    <t>2008-0383-IDN</t>
  </si>
  <si>
    <t>2008-0526-IDN</t>
  </si>
  <si>
    <t>2008-0618-IDN</t>
  </si>
  <si>
    <t>2008-0635-IDN</t>
  </si>
  <si>
    <t>2009-0001-IDN</t>
  </si>
  <si>
    <t>2009-0112-IDN</t>
  </si>
  <si>
    <t>2009-0354-IDN</t>
  </si>
  <si>
    <t>2009-0421-IDN</t>
  </si>
  <si>
    <t>2009-0479-IDN</t>
  </si>
  <si>
    <t>2009-0063-IDN</t>
  </si>
  <si>
    <t>2009-0121-IDN</t>
  </si>
  <si>
    <t>2009-0352-IDN</t>
  </si>
  <si>
    <t>2009-0436-IDN</t>
  </si>
  <si>
    <t>2009-0540-IDN</t>
  </si>
  <si>
    <t>2010-0238-IDN</t>
  </si>
  <si>
    <t>2010-0563-IDN</t>
  </si>
  <si>
    <t>2010-0026-IDN</t>
  </si>
  <si>
    <t>2010-0034-IDN</t>
  </si>
  <si>
    <t>2010-0075-IDN</t>
  </si>
  <si>
    <t>2010-0301-IDN</t>
  </si>
  <si>
    <t>2010-0512-IDN</t>
  </si>
  <si>
    <t>2010-0576-IDN</t>
  </si>
  <si>
    <t>2010-0684-IDN</t>
  </si>
  <si>
    <t>2011-0082-IDN</t>
  </si>
  <si>
    <t>2011-0389-IDN</t>
  </si>
  <si>
    <t>2011-0023-IDN</t>
  </si>
  <si>
    <t>2011-0088-IDN</t>
  </si>
  <si>
    <t>2011-0094-IDN</t>
  </si>
  <si>
    <t>2011-0575-IDN</t>
  </si>
  <si>
    <t>2011-0603-IDN</t>
  </si>
  <si>
    <t>2011-0645-IDN</t>
  </si>
  <si>
    <t>2012-0097-IDN</t>
  </si>
  <si>
    <t>2012-0398-IDN</t>
  </si>
  <si>
    <t>2012-0266-IDN</t>
  </si>
  <si>
    <t>2012-0378-IDN</t>
  </si>
  <si>
    <t>2012-0426-IDN</t>
  </si>
  <si>
    <t>2012-0432-IDN</t>
  </si>
  <si>
    <t>2012-0539-IDN</t>
  </si>
  <si>
    <t>2012-0575-IDN</t>
  </si>
  <si>
    <t>2012-0582-IDN</t>
  </si>
  <si>
    <t>2012-0558-IDN</t>
  </si>
  <si>
    <t>2012-0561-IDN</t>
  </si>
  <si>
    <t>2013-0020-IDN</t>
  </si>
  <si>
    <t>2013-0235-IDN</t>
  </si>
  <si>
    <t>2013-0436-IDN</t>
  </si>
  <si>
    <t>2013-0007-IDN</t>
  </si>
  <si>
    <t>2013-0034-IDN</t>
  </si>
  <si>
    <t>2013-0063-IDN</t>
  </si>
  <si>
    <t>2013-0126-IDN</t>
  </si>
  <si>
    <t>2013-0267-IDN</t>
  </si>
  <si>
    <t>2013-0364-IDN</t>
  </si>
  <si>
    <t>2013-0428-IDN</t>
  </si>
  <si>
    <t>2013-0541-IDN</t>
  </si>
  <si>
    <t>2013-0553-IDN</t>
  </si>
  <si>
    <t>2013-0560-IDN</t>
  </si>
  <si>
    <t>2014-0018-IDN</t>
  </si>
  <si>
    <t>2014-0038-IDN</t>
  </si>
  <si>
    <t>2014-0056-IDN</t>
  </si>
  <si>
    <t>2014-0057-IDN</t>
  </si>
  <si>
    <t>2014-0081-IDN</t>
  </si>
  <si>
    <t>2014-0473-IDN</t>
  </si>
  <si>
    <t>2015-9411-IDN</t>
  </si>
  <si>
    <t>2015-0415-IDN</t>
  </si>
  <si>
    <t>2015-0036-IDN</t>
  </si>
  <si>
    <t>2015-0056-IDN</t>
  </si>
  <si>
    <t>2015-0076-IDN</t>
  </si>
  <si>
    <t>2015-0077-IDN</t>
  </si>
  <si>
    <t>2015-0129-IDN</t>
  </si>
  <si>
    <t>2015-0412-IDN</t>
  </si>
  <si>
    <t>2016-0019-IDN</t>
  </si>
  <si>
    <t>2016-0458-IDN</t>
  </si>
  <si>
    <t>2016-0475-IDN</t>
  </si>
  <si>
    <t>2016-0040-IDN</t>
  </si>
  <si>
    <t>2016-0057-IDN</t>
  </si>
  <si>
    <t>2016-0092-IDN</t>
  </si>
  <si>
    <t>2016-0094-IDN</t>
  </si>
  <si>
    <t>2016-0306-IDN</t>
  </si>
  <si>
    <t>2016-0345-IDN</t>
  </si>
  <si>
    <t>2016-0425-IDN</t>
  </si>
  <si>
    <t>2016-0479-IDN</t>
  </si>
  <si>
    <t>2016-0525-IDN</t>
  </si>
  <si>
    <t>2016-0527-IDN</t>
  </si>
  <si>
    <t>2017-0530-IDN</t>
  </si>
  <si>
    <t>2017-0059-IDN</t>
  </si>
  <si>
    <t>2017-0111-IDN</t>
  </si>
  <si>
    <t>2017-0147-IDN</t>
  </si>
  <si>
    <t>2017-0177-IDN</t>
  </si>
  <si>
    <t>2017-0206-IDN</t>
  </si>
  <si>
    <t>2017-0494-IDN</t>
  </si>
  <si>
    <t>2017-0576-IDN</t>
  </si>
  <si>
    <t>2017-0515-IDN</t>
  </si>
  <si>
    <t>2018-0031-IDN</t>
  </si>
  <si>
    <t>2018-0254-IDN</t>
  </si>
  <si>
    <t>2018-0257-IDN</t>
  </si>
  <si>
    <t>2018-0302-IDN</t>
  </si>
  <si>
    <t>2018-0352-IDN</t>
  </si>
  <si>
    <t>2018-0121-IDN</t>
  </si>
  <si>
    <t>2018-0166-IDN</t>
  </si>
  <si>
    <t>2018-0425-IDN</t>
  </si>
  <si>
    <t>2018-0471-IDN</t>
  </si>
  <si>
    <t>2018-0472-IDN</t>
  </si>
  <si>
    <t>2018-0483-IDN</t>
  </si>
  <si>
    <t>2019-0085-IDN</t>
  </si>
  <si>
    <t>2019-0109-IDN</t>
  </si>
  <si>
    <t>2019-0334-IDN</t>
  </si>
  <si>
    <t>2019-0377-IDN</t>
  </si>
  <si>
    <t>2019-0451-IDN</t>
  </si>
  <si>
    <t>2019-0022-IDN</t>
  </si>
  <si>
    <t>2019-0107-IDN</t>
  </si>
  <si>
    <t>2019-0111-IDN</t>
  </si>
  <si>
    <t>2019-0167-IDN</t>
  </si>
  <si>
    <t>2019-0168-IDN</t>
  </si>
  <si>
    <t>2019-0210-IDN</t>
  </si>
  <si>
    <t>2019-0281-IDN</t>
  </si>
  <si>
    <t>2019-0523-IDN</t>
  </si>
  <si>
    <t>2019-0620-IDN</t>
  </si>
  <si>
    <t>2019-0632-IDN</t>
  </si>
  <si>
    <t>2019-0657-IDN</t>
  </si>
  <si>
    <t>2020-0225-IDN</t>
  </si>
  <si>
    <t>2020-0014-IDN</t>
  </si>
  <si>
    <t>2020-0018-IDN</t>
  </si>
  <si>
    <t>2020-0033-IDN</t>
  </si>
  <si>
    <t>2020-0036-IDN</t>
  </si>
  <si>
    <t>2020-0052-IDN</t>
  </si>
  <si>
    <t>2020-0059-IDN</t>
  </si>
  <si>
    <t>2020-0068-IDN</t>
  </si>
  <si>
    <t>2020-0086-IDN</t>
  </si>
  <si>
    <t>2020-0115-IDN</t>
  </si>
  <si>
    <t>2020-0121-IDN</t>
  </si>
  <si>
    <t>2020-0134-IDN</t>
  </si>
  <si>
    <t>2020-0144-IDN</t>
  </si>
  <si>
    <t>2020-0151-IDN</t>
  </si>
  <si>
    <t>2020-0161-IDN</t>
  </si>
  <si>
    <t>2020-0185-IDN</t>
  </si>
  <si>
    <t>2020-0224-IDN</t>
  </si>
  <si>
    <t>2020-0245-IDN</t>
  </si>
  <si>
    <t>2020-0250-IDN</t>
  </si>
  <si>
    <t>2020-0265-IDN</t>
  </si>
  <si>
    <t>2020-0310-IDN</t>
  </si>
  <si>
    <t>2020-0325-IDN</t>
  </si>
  <si>
    <t>2020-0486-IDN</t>
  </si>
  <si>
    <t>2020-0532-IDN</t>
  </si>
  <si>
    <t>2020-0544-IDN</t>
  </si>
  <si>
    <t>2020-0551-IDN</t>
  </si>
  <si>
    <t>2021-0003-IDN</t>
  </si>
  <si>
    <t>2021-0200-IDN</t>
  </si>
  <si>
    <t>2021-0323-IDN</t>
  </si>
  <si>
    <t>2021-0720-IDN</t>
  </si>
  <si>
    <t>2021-0801-IDN</t>
  </si>
  <si>
    <t>2021-0005-IDN</t>
  </si>
  <si>
    <t>2021-0023-IDN</t>
  </si>
  <si>
    <t>2021-0062-IDN</t>
  </si>
  <si>
    <t>2021-0088-IDN</t>
  </si>
  <si>
    <t>2021-0104-IDN</t>
  </si>
  <si>
    <t>2021-0165-IDN</t>
  </si>
  <si>
    <t>2021-0185-IDN</t>
  </si>
  <si>
    <t>2021-0302-IDN</t>
  </si>
  <si>
    <t>2021-0379-IDN</t>
  </si>
  <si>
    <t>2021-0530-IDN</t>
  </si>
  <si>
    <t>2021-0584-IDN</t>
  </si>
  <si>
    <t>2021-0653-IDN</t>
  </si>
  <si>
    <t>2021-0695-IDN</t>
  </si>
  <si>
    <t>2021-0719-IDN</t>
  </si>
  <si>
    <t>2021-0768-IDN</t>
  </si>
  <si>
    <t>2021-0788-IDN</t>
  </si>
  <si>
    <t>2021-0823-IDN</t>
  </si>
  <si>
    <t>2021-0835-IDN</t>
  </si>
  <si>
    <t>2021-0173-IDN</t>
  </si>
  <si>
    <t>2022-0012-IDN</t>
  </si>
  <si>
    <t>2022-0042-IDN</t>
  </si>
  <si>
    <t>2022-0115-IDN</t>
  </si>
  <si>
    <t>2022-0595-IDN</t>
  </si>
  <si>
    <t>2022-0755-IDN</t>
  </si>
  <si>
    <t>2022-0011-IDN</t>
  </si>
  <si>
    <t>2022-0087-IDN</t>
  </si>
  <si>
    <t>2022-0120-IDN</t>
  </si>
  <si>
    <t>2022-0136-IDN</t>
  </si>
  <si>
    <t>2022-0324-IDN</t>
  </si>
  <si>
    <t>2022-0418-IDN</t>
  </si>
  <si>
    <t>2022-0642-IDN</t>
  </si>
  <si>
    <t>2022-0694-IDN</t>
  </si>
  <si>
    <t>2022-0732-IDN</t>
  </si>
  <si>
    <t>2022-0736-IDN</t>
  </si>
  <si>
    <t>2022-0782-IDN</t>
  </si>
  <si>
    <t>2022-0845-IDN</t>
  </si>
  <si>
    <t>2022-0847-IDN</t>
  </si>
  <si>
    <t>2023-9494-IDN</t>
  </si>
  <si>
    <t>2023-0006-IDN</t>
  </si>
  <si>
    <t>2023-0073-IDN</t>
  </si>
  <si>
    <t>2023-0378-IDN</t>
  </si>
  <si>
    <t>2023-0041-IDN</t>
  </si>
  <si>
    <t>2023-0044-IDN</t>
  </si>
  <si>
    <t>2023-0437-IDN</t>
  </si>
  <si>
    <t>2023-0601-IDN</t>
  </si>
  <si>
    <t>2023-0803-IDN</t>
  </si>
  <si>
    <t>2023-0127-IDN</t>
  </si>
  <si>
    <t>2023-0366-IDN</t>
  </si>
  <si>
    <t>2024-0154-IDN</t>
  </si>
  <si>
    <t>2024-0262-IDN</t>
  </si>
  <si>
    <t>2024-0688-IDN</t>
  </si>
  <si>
    <t>2024-0101-IDN</t>
  </si>
  <si>
    <t>2024-0204-IDN</t>
  </si>
  <si>
    <t>2024-0249-IDN</t>
  </si>
  <si>
    <t>2024-0289-IDN</t>
  </si>
  <si>
    <t>2024-0327-IDN</t>
  </si>
  <si>
    <t>2024-0644-IDN</t>
  </si>
  <si>
    <t>2024-0865-IDN</t>
  </si>
  <si>
    <t>2024-0898-IDN</t>
  </si>
  <si>
    <t>2001-0750-IRN</t>
  </si>
  <si>
    <t>2001-0180-IRN</t>
  </si>
  <si>
    <t>2001-0375-IRN</t>
  </si>
  <si>
    <t>2001-0453-IRN</t>
  </si>
  <si>
    <t>2001-0545-IRN</t>
  </si>
  <si>
    <t>2002-0107-IRN</t>
  </si>
  <si>
    <t>2002-0246-IRN</t>
  </si>
  <si>
    <t>2002-0378-IRN</t>
  </si>
  <si>
    <t>2002-0804-IRN</t>
  </si>
  <si>
    <t>2002-0821-IRN</t>
  </si>
  <si>
    <t>2002-0020-IRN</t>
  </si>
  <si>
    <t>2002-0218-IRN</t>
  </si>
  <si>
    <t>2002-0500-IRN</t>
  </si>
  <si>
    <t>2003-0068-IRN</t>
  </si>
  <si>
    <t>2003-0322-IRN</t>
  </si>
  <si>
    <t>2003-0438-IRN</t>
  </si>
  <si>
    <t>2003-0630-IRN</t>
  </si>
  <si>
    <t>2003-0649-IRN</t>
  </si>
  <si>
    <t>2003-0232-IRN</t>
  </si>
  <si>
    <t>2004-0234-IRN</t>
  </si>
  <si>
    <t>2004-0626-IRN</t>
  </si>
  <si>
    <t>2004-0084-IRN</t>
  </si>
  <si>
    <t>2005-0016-IRN</t>
  </si>
  <si>
    <t>2005-0092-IRN</t>
  </si>
  <si>
    <t>2005-0654-IRN</t>
  </si>
  <si>
    <t>2005-0738-IRN</t>
  </si>
  <si>
    <t>2005-0113-IRN</t>
  </si>
  <si>
    <t>2005-0414-IRN</t>
  </si>
  <si>
    <t>2005-0426-IRN</t>
  </si>
  <si>
    <t>2005-0436-IRN</t>
  </si>
  <si>
    <t>2005-0084-IRN</t>
  </si>
  <si>
    <t>2006-0123-IRN</t>
  </si>
  <si>
    <t>2006-0153-IRN</t>
  </si>
  <si>
    <t>2006-0239-IRN</t>
  </si>
  <si>
    <t>2006-0245-IRN</t>
  </si>
  <si>
    <t>2007-0242-IRN</t>
  </si>
  <si>
    <t>2007-0164-IRN</t>
  </si>
  <si>
    <t>2008-0178-IRN</t>
  </si>
  <si>
    <t>2008-0401-IRN</t>
  </si>
  <si>
    <t>2008-0380-IRN</t>
  </si>
  <si>
    <t>2008-0417-IRN</t>
  </si>
  <si>
    <t>2008-0008-IRN</t>
  </si>
  <si>
    <t>2009-0493-IRN</t>
  </si>
  <si>
    <t>2010-0018-IRN</t>
  </si>
  <si>
    <t>2010-0361-IRN</t>
  </si>
  <si>
    <t>2010-0591-IRN</t>
  </si>
  <si>
    <t>2010-0645-IRN</t>
  </si>
  <si>
    <t>2010-0672-IRN</t>
  </si>
  <si>
    <t>2012-0275-IRN</t>
  </si>
  <si>
    <t>2012-0502-IRN</t>
  </si>
  <si>
    <t>2012-0597-IRN</t>
  </si>
  <si>
    <t>2012-0471-IRN</t>
  </si>
  <si>
    <t>2013-0098-IRN</t>
  </si>
  <si>
    <t>2013-0099-IRN</t>
  </si>
  <si>
    <t>2013-0516-IRN</t>
  </si>
  <si>
    <t>2014-0054-IRN</t>
  </si>
  <si>
    <t>2014-0287-IRN</t>
  </si>
  <si>
    <t>2014-0171-IRN</t>
  </si>
  <si>
    <t>2015-0088-IRN</t>
  </si>
  <si>
    <t>2015-0127-IRN</t>
  </si>
  <si>
    <t>2015-0258-IRN</t>
  </si>
  <si>
    <t>2015-0438-IRN</t>
  </si>
  <si>
    <t>2015-0499-IRN</t>
  </si>
  <si>
    <t>2016-0544-IRN</t>
  </si>
  <si>
    <t>2017-0204-IRN</t>
  </si>
  <si>
    <t>2017-0446-IRN</t>
  </si>
  <si>
    <t>2017-0521-IRN</t>
  </si>
  <si>
    <t>2017-0096-IRN</t>
  </si>
  <si>
    <t>2017-0472-IRN</t>
  </si>
  <si>
    <t>2018-0281-IRN</t>
  </si>
  <si>
    <t>2018-0310-IRN</t>
  </si>
  <si>
    <t>2018-0426-IRN</t>
  </si>
  <si>
    <t>2018-0383-IRN</t>
  </si>
  <si>
    <t>2019-0299-IRN</t>
  </si>
  <si>
    <t>2019-0553-IRN</t>
  </si>
  <si>
    <t>2019-0082-IRN</t>
  </si>
  <si>
    <t>2019-0125-IRN</t>
  </si>
  <si>
    <t>2019-0495-IRN</t>
  </si>
  <si>
    <t>2020-0073-IRN</t>
  </si>
  <si>
    <t>2020-0017-IRN</t>
  </si>
  <si>
    <t>2020-0076-IRN</t>
  </si>
  <si>
    <t>2020-0118-IRN</t>
  </si>
  <si>
    <t>2020-0142-IRN</t>
  </si>
  <si>
    <t>2020-0519-IRN</t>
  </si>
  <si>
    <t>2020-0535-IRN</t>
  </si>
  <si>
    <t>2021-9510-IRN</t>
  </si>
  <si>
    <t>2021-0095-IRN</t>
  </si>
  <si>
    <t>2021-0215-IRN</t>
  </si>
  <si>
    <t>2021-0738-IRN</t>
  </si>
  <si>
    <t>2021-0259-IRN</t>
  </si>
  <si>
    <t>2021-0430-IRN</t>
  </si>
  <si>
    <t>2021-0645-IRN</t>
  </si>
  <si>
    <t>2022-0402-IRN</t>
  </si>
  <si>
    <t>2022-0634-IRN</t>
  </si>
  <si>
    <t>2022-0002-IRN</t>
  </si>
  <si>
    <t>2022-0044-IRN</t>
  </si>
  <si>
    <t>2022-0476-IRN</t>
  </si>
  <si>
    <t>2023-0012-IRN</t>
  </si>
  <si>
    <t>2023-0047-IRN</t>
  </si>
  <si>
    <t>2023-0169-IRN</t>
  </si>
  <si>
    <t>2023-0229-IRN</t>
  </si>
  <si>
    <t>2023-0353-IRN</t>
  </si>
  <si>
    <t>2023-0659-IRN</t>
  </si>
  <si>
    <t>2024-0392-IRN</t>
  </si>
  <si>
    <t>2024-0120-IRN</t>
  </si>
  <si>
    <t>2024-0233-IRN</t>
  </si>
  <si>
    <t>2024-0357-IRN</t>
  </si>
  <si>
    <t>2024-0707-IRN</t>
  </si>
  <si>
    <t>2001-0615-JAM</t>
  </si>
  <si>
    <t>2002-0325-JAM</t>
  </si>
  <si>
    <t>2002-0627-JAM</t>
  </si>
  <si>
    <t>2002-0656-JAM</t>
  </si>
  <si>
    <t>2004-0415-JAM</t>
  </si>
  <si>
    <t>2004-0462-JAM</t>
  </si>
  <si>
    <t>2005-0351-JAM</t>
  </si>
  <si>
    <t>2005-0382-JAM</t>
  </si>
  <si>
    <t>2005-0585-JAM</t>
  </si>
  <si>
    <t>2006-0656-JAM</t>
  </si>
  <si>
    <t>2007-0360-JAM</t>
  </si>
  <si>
    <t>2007-0523-JAM</t>
  </si>
  <si>
    <t>2008-0338-JAM</t>
  </si>
  <si>
    <t>2008-0352-JAM</t>
  </si>
  <si>
    <t>2010-0501-JAM</t>
  </si>
  <si>
    <t>2012-0410-JAM</t>
  </si>
  <si>
    <t>2014-9469-JAM</t>
  </si>
  <si>
    <t>2016-0355-JAM</t>
  </si>
  <si>
    <t>2017-0137-JAM</t>
  </si>
  <si>
    <t>2024-0422-JAM</t>
  </si>
  <si>
    <t>2024-0822-JAM</t>
  </si>
  <si>
    <t>2002-0265-KEN</t>
  </si>
  <si>
    <t>2002-0689-KEN</t>
  </si>
  <si>
    <t>2002-0711-KEN</t>
  </si>
  <si>
    <t>2002-0800-KEN</t>
  </si>
  <si>
    <t>2003-0204-KEN</t>
  </si>
  <si>
    <t>2003-0729-KEN</t>
  </si>
  <si>
    <t>2004-9288-KEN</t>
  </si>
  <si>
    <t>2004-0659-KEN</t>
  </si>
  <si>
    <t>2004-0152-KEN</t>
  </si>
  <si>
    <t>2004-0194-KEN</t>
  </si>
  <si>
    <t>2005-9719-KEN</t>
  </si>
  <si>
    <t>2005-0215-KEN</t>
  </si>
  <si>
    <t>2005-0260-KEN</t>
  </si>
  <si>
    <t>2005-0526-KEN</t>
  </si>
  <si>
    <t>2006-0178-KEN</t>
  </si>
  <si>
    <t>2006-0234-KEN</t>
  </si>
  <si>
    <t>2006-0587-KEN</t>
  </si>
  <si>
    <t>2006-0624-KEN</t>
  </si>
  <si>
    <t>2007-0177-KEN</t>
  </si>
  <si>
    <t>2007-0408-KEN</t>
  </si>
  <si>
    <t>2007-0613-KEN</t>
  </si>
  <si>
    <t>2008-9302-KEN</t>
  </si>
  <si>
    <t>2008-0127-KEN</t>
  </si>
  <si>
    <t>2008-0129-KEN</t>
  </si>
  <si>
    <t>2008-0260-KEN</t>
  </si>
  <si>
    <t>2008-0482-KEN</t>
  </si>
  <si>
    <t>2008-0483-KEN</t>
  </si>
  <si>
    <t>2008-0518-KEN</t>
  </si>
  <si>
    <t>2009-0494-KEN</t>
  </si>
  <si>
    <t>2009-0597-KEN</t>
  </si>
  <si>
    <t>2010-0094-KEN</t>
  </si>
  <si>
    <t>2010-0285-KEN</t>
  </si>
  <si>
    <t>2010-9082-KEN</t>
  </si>
  <si>
    <t>2011-9663-KEN</t>
  </si>
  <si>
    <t>2011-0423-KEN</t>
  </si>
  <si>
    <t>2011-0476-KEN</t>
  </si>
  <si>
    <t>2011-0504-KEN</t>
  </si>
  <si>
    <t>2012-0166-KEN</t>
  </si>
  <si>
    <t>2013-0123-KEN</t>
  </si>
  <si>
    <t>2013-0281-KEN</t>
  </si>
  <si>
    <t>2013-0305-KEN</t>
  </si>
  <si>
    <t>2013-0545-KEN</t>
  </si>
  <si>
    <t>2014-9404-KEN</t>
  </si>
  <si>
    <t>2015-0158-KEN</t>
  </si>
  <si>
    <t>2015-0159-KEN</t>
  </si>
  <si>
    <t>2015-0564-KEN</t>
  </si>
  <si>
    <t>2016-9452-KEN</t>
  </si>
  <si>
    <t>2016-0089-KEN</t>
  </si>
  <si>
    <t>2016-0161-KEN</t>
  </si>
  <si>
    <t>2017-0205-KEN</t>
  </si>
  <si>
    <t>2018-0116-KEN</t>
  </si>
  <si>
    <t>2018-0132-KEN</t>
  </si>
  <si>
    <t>2018-0148-KEN</t>
  </si>
  <si>
    <t>2019-9145-KEN</t>
  </si>
  <si>
    <t>2019-0500-KEN</t>
  </si>
  <si>
    <t>2020-9609-KEN</t>
  </si>
  <si>
    <t>2020-0164-KEN</t>
  </si>
  <si>
    <t>2021-0227-KEN</t>
  </si>
  <si>
    <t>2023-0187-KEN</t>
  </si>
  <si>
    <t>2023-0259-KEN</t>
  </si>
  <si>
    <t>2023-0721-KEN</t>
  </si>
  <si>
    <t>2024-0150-KEN</t>
  </si>
  <si>
    <t>2024-0210-KEN</t>
  </si>
  <si>
    <t>2024-0247-KEN</t>
  </si>
  <si>
    <t>2024-0892-KEN</t>
  </si>
  <si>
    <t>2005-0359-KGZ</t>
  </si>
  <si>
    <t>2006-0694-KGZ</t>
  </si>
  <si>
    <t>2006-0142-KGZ</t>
  </si>
  <si>
    <t>2007-0195-KGZ</t>
  </si>
  <si>
    <t>2008-0001-KGZ</t>
  </si>
  <si>
    <t>2008-0454-KGZ</t>
  </si>
  <si>
    <t>2009-9661-KGZ</t>
  </si>
  <si>
    <t>2011-0243-KGZ</t>
  </si>
  <si>
    <t>2012-0416-KGZ</t>
  </si>
  <si>
    <t>2014-0084-KGZ</t>
  </si>
  <si>
    <t>2015-0512-KGZ</t>
  </si>
  <si>
    <t>2017-0451-KGZ</t>
  </si>
  <si>
    <t>2024-0250-KGZ</t>
  </si>
  <si>
    <t>2024-0284-KGZ</t>
  </si>
  <si>
    <t>2024-0487-KGZ</t>
  </si>
  <si>
    <t>2002-9707-MDG</t>
  </si>
  <si>
    <t>2002-0004-MDG</t>
  </si>
  <si>
    <t>2002-0281-MDG</t>
  </si>
  <si>
    <t>2003-0037-MDG</t>
  </si>
  <si>
    <t>2003-0065-MDG</t>
  </si>
  <si>
    <t>2003-0218-MDG</t>
  </si>
  <si>
    <t>2003-0602-MDG</t>
  </si>
  <si>
    <t>2004-0029-MDG</t>
  </si>
  <si>
    <t>2004-0103-MDG</t>
  </si>
  <si>
    <t>2005-9637-MDG</t>
  </si>
  <si>
    <t>2005-0097-MDG</t>
  </si>
  <si>
    <t>2005-0165-MDG</t>
  </si>
  <si>
    <t>2005-0048-MDG</t>
  </si>
  <si>
    <t>2006-0089-MDG</t>
  </si>
  <si>
    <t>2006-0687-MDG</t>
  </si>
  <si>
    <t>2007-0069-MDG</t>
  </si>
  <si>
    <t>2007-0032-MDG</t>
  </si>
  <si>
    <t>2007-0095-MDG</t>
  </si>
  <si>
    <t>2008-9644-MDG</t>
  </si>
  <si>
    <t>2008-0043-MDG</t>
  </si>
  <si>
    <t>2008-0070-MDG</t>
  </si>
  <si>
    <t>2008-0111-MDG</t>
  </si>
  <si>
    <t>2009-0047-MDG</t>
  </si>
  <si>
    <t>2009-0123-MDG</t>
  </si>
  <si>
    <t>2009-0137-MDG</t>
  </si>
  <si>
    <t>2010-0104-MDG</t>
  </si>
  <si>
    <t>2011-0057-MDG</t>
  </si>
  <si>
    <t>2012-0005-MDG</t>
  </si>
  <si>
    <t>2012-0043-MDG</t>
  </si>
  <si>
    <t>2012-0056-MDG</t>
  </si>
  <si>
    <t>2013-0026-MDG</t>
  </si>
  <si>
    <t>2013-0032-MDG</t>
  </si>
  <si>
    <t>2014-9533-MDG</t>
  </si>
  <si>
    <t>2014-0092-MDG</t>
  </si>
  <si>
    <t>2015-0057-MDG</t>
  </si>
  <si>
    <t>2015-0016-MDG</t>
  </si>
  <si>
    <t>2015-0074-MDG</t>
  </si>
  <si>
    <t>2016-9020-MDG</t>
  </si>
  <si>
    <t>2017-9468-MDG</t>
  </si>
  <si>
    <t>2017-0075-MDG</t>
  </si>
  <si>
    <t>2018-0008-MDG</t>
  </si>
  <si>
    <t>2018-0086-MDG</t>
  </si>
  <si>
    <t>2019-0020-MDG</t>
  </si>
  <si>
    <t>2019-0110-MDG</t>
  </si>
  <si>
    <t>2019-0601-MDG</t>
  </si>
  <si>
    <t>2020-9424-MDG</t>
  </si>
  <si>
    <t>2020-0016-MDG</t>
  </si>
  <si>
    <t>2020-0103-MDG</t>
  </si>
  <si>
    <t>2021-0090-MDG</t>
  </si>
  <si>
    <t>2021-0036-MDG</t>
  </si>
  <si>
    <t>2022-0032-MDG</t>
  </si>
  <si>
    <t>2022-0052-MDG</t>
  </si>
  <si>
    <t>2022-0061-MDG</t>
  </si>
  <si>
    <t>2022-0099-MDG</t>
  </si>
  <si>
    <t>2022-0101-MDG</t>
  </si>
  <si>
    <t>2022-0137-MDG</t>
  </si>
  <si>
    <t>2022-0239-MDG</t>
  </si>
  <si>
    <t>2023-0020-MDG</t>
  </si>
  <si>
    <t>2023-0095-MDG</t>
  </si>
  <si>
    <t>2024-0002-MDG</t>
  </si>
  <si>
    <t>2024-0172-MDG</t>
  </si>
  <si>
    <t>2024-0910-MDG</t>
  </si>
  <si>
    <t>2001-0559-MEX</t>
  </si>
  <si>
    <t>2001-0488-MEX</t>
  </si>
  <si>
    <t>2001-0562-MEX</t>
  </si>
  <si>
    <t>2001-0570-MEX</t>
  </si>
  <si>
    <t>2001-0735-MEX</t>
  </si>
  <si>
    <t>2002-9292-MEX</t>
  </si>
  <si>
    <t>2002-0510-MEX</t>
  </si>
  <si>
    <t>2002-0638-MEX</t>
  </si>
  <si>
    <t>2002-0609-MEX</t>
  </si>
  <si>
    <t>2002-0647-MEX</t>
  </si>
  <si>
    <t>2002-0669-MEX</t>
  </si>
  <si>
    <t>2003-0039-MEX</t>
  </si>
  <si>
    <t>2003-0482-MEX</t>
  </si>
  <si>
    <t>2003-0710-MEX</t>
  </si>
  <si>
    <t>2003-0712-MEX</t>
  </si>
  <si>
    <t>2003-0474-MEX</t>
  </si>
  <si>
    <t>2003-0688-MEX</t>
  </si>
  <si>
    <t>2004-0141-MEX</t>
  </si>
  <si>
    <t>2004-0259-MEX</t>
  </si>
  <si>
    <t>2005-0283-MEX</t>
  </si>
  <si>
    <t>2005-0470-MEX</t>
  </si>
  <si>
    <t>2005-0601-MEX</t>
  </si>
  <si>
    <t>2005-0382-MEX</t>
  </si>
  <si>
    <t>2005-0524-MEX</t>
  </si>
  <si>
    <t>2005-0567-MEX</t>
  </si>
  <si>
    <t>2005-0585-MEX</t>
  </si>
  <si>
    <t>2006-0413-MEX</t>
  </si>
  <si>
    <t>2006-0483-MEX</t>
  </si>
  <si>
    <t>2006-0505-MEX</t>
  </si>
  <si>
    <t>2006-0604-MEX</t>
  </si>
  <si>
    <t>2007-0435-MEX</t>
  </si>
  <si>
    <t>2007-0521-MEX</t>
  </si>
  <si>
    <t>2007-0360-MEX</t>
  </si>
  <si>
    <t>2007-0439-MEX</t>
  </si>
  <si>
    <t>2007-0464-MEX</t>
  </si>
  <si>
    <t>2007-0671-MEX</t>
  </si>
  <si>
    <t>2008-0288-MEX</t>
  </si>
  <si>
    <t>2008-0304-MEX</t>
  </si>
  <si>
    <t>2009-0367-MEX</t>
  </si>
  <si>
    <t>2009-0377-MEX</t>
  </si>
  <si>
    <t>2009-0515-MEX</t>
  </si>
  <si>
    <t>2009-0561-MEX</t>
  </si>
  <si>
    <t>2009-0614-MEX</t>
  </si>
  <si>
    <t>2009-0384-MEX</t>
  </si>
  <si>
    <t>2009-0477-MEX</t>
  </si>
  <si>
    <t>2010-0158-MEX</t>
  </si>
  <si>
    <t>2010-0058-MEX</t>
  </si>
  <si>
    <t>2010-0467-MEX</t>
  </si>
  <si>
    <t>2010-0260-MEX</t>
  </si>
  <si>
    <t>2010-0426-MEX</t>
  </si>
  <si>
    <t>2010-0494-MEX</t>
  </si>
  <si>
    <t>2010-0503-MEX</t>
  </si>
  <si>
    <t>2011-9363-MEX</t>
  </si>
  <si>
    <t>2011-0512-MEX</t>
  </si>
  <si>
    <t>2011-0392-MEX</t>
  </si>
  <si>
    <t>2011-0589-MEX</t>
  </si>
  <si>
    <t>2011-0633-MEX</t>
  </si>
  <si>
    <t>2011-0228-MEX</t>
  </si>
  <si>
    <t>2011-0241-MEX</t>
  </si>
  <si>
    <t>2011-0267-MEX</t>
  </si>
  <si>
    <t>2011-0385-MEX</t>
  </si>
  <si>
    <t>2011-0460-MEX</t>
  </si>
  <si>
    <t>2012-0124-MEX</t>
  </si>
  <si>
    <t>2012-0276-MEX</t>
  </si>
  <si>
    <t>2012-0401-MEX</t>
  </si>
  <si>
    <t>2013-0348-MEX</t>
  </si>
  <si>
    <t>2013-0188-MEX</t>
  </si>
  <si>
    <t>2013-0335-MEX</t>
  </si>
  <si>
    <t>2013-0358-MEX</t>
  </si>
  <si>
    <t>2013-0406-MEX</t>
  </si>
  <si>
    <t>2014-0127-MEX</t>
  </si>
  <si>
    <t>2014-0234-MEX</t>
  </si>
  <si>
    <t>2014-0183-MEX</t>
  </si>
  <si>
    <t>2014-0325-MEX</t>
  </si>
  <si>
    <t>2014-0333-MEX</t>
  </si>
  <si>
    <t>2014-0385-MEX</t>
  </si>
  <si>
    <t>2014-0386-MEX</t>
  </si>
  <si>
    <t>2014-0417-MEX</t>
  </si>
  <si>
    <t>2015-0382-MEX</t>
  </si>
  <si>
    <t>2015-0121-MEX</t>
  </si>
  <si>
    <t>2015-0187-MEX</t>
  </si>
  <si>
    <t>2015-0470-MEX</t>
  </si>
  <si>
    <t>2016-0325-MEX</t>
  </si>
  <si>
    <t>2016-0332-MEX</t>
  </si>
  <si>
    <t>2016-0333-MEX</t>
  </si>
  <si>
    <t>2016-0424-MEX</t>
  </si>
  <si>
    <t>2016-0532-MEX</t>
  </si>
  <si>
    <t>2016-0284-MEX</t>
  </si>
  <si>
    <t>2016-0319-MEX</t>
  </si>
  <si>
    <t>2017-0382-MEX</t>
  </si>
  <si>
    <t>2017-0387-MEX</t>
  </si>
  <si>
    <t>2017-0498-MEX</t>
  </si>
  <si>
    <t>2017-0168-MEX</t>
  </si>
  <si>
    <t>2017-0334-MEX</t>
  </si>
  <si>
    <t>2017-0376-MEX</t>
  </si>
  <si>
    <t>2017-0392-MEX</t>
  </si>
  <si>
    <t>2018-0315-MEX</t>
  </si>
  <si>
    <t>2018-0367-MEX</t>
  </si>
  <si>
    <t>2018-0406-MEX</t>
  </si>
  <si>
    <t>2018-0421-MEX</t>
  </si>
  <si>
    <t>2019-0225-MEX</t>
  </si>
  <si>
    <t>2019-0297-MEX</t>
  </si>
  <si>
    <t>2019-0596-MEX</t>
  </si>
  <si>
    <t>2019-0418-MEX</t>
  </si>
  <si>
    <t>2019-0450-MEX</t>
  </si>
  <si>
    <t>2019-0519-MEX</t>
  </si>
  <si>
    <t>2020-0281-MEX</t>
  </si>
  <si>
    <t>2020-0353-MEX</t>
  </si>
  <si>
    <t>2020-0506-MEX</t>
  </si>
  <si>
    <t>2020-0219-MEX</t>
  </si>
  <si>
    <t>2020-0316-MEX</t>
  </si>
  <si>
    <t>2020-0416-MEX</t>
  </si>
  <si>
    <t>2020-0474-MEX</t>
  </si>
  <si>
    <t>2020-0483-MEX</t>
  </si>
  <si>
    <t>2021-0602-MEX</t>
  </si>
  <si>
    <t>2021-0600-MEX</t>
  </si>
  <si>
    <t>2021-0607-MEX</t>
  </si>
  <si>
    <t>2021-0647-MEX</t>
  </si>
  <si>
    <t>2021-0122-MEX</t>
  </si>
  <si>
    <t>2021-0325-MEX</t>
  </si>
  <si>
    <t>2021-0359-MEX</t>
  </si>
  <si>
    <t>2021-0528-MEX</t>
  </si>
  <si>
    <t>2021-0552-MEX</t>
  </si>
  <si>
    <t>2021-0702-MEX</t>
  </si>
  <si>
    <t>2022-0622-MEX</t>
  </si>
  <si>
    <t>2022-0623-MEX</t>
  </si>
  <si>
    <t>2022-0572-MEX</t>
  </si>
  <si>
    <t>2022-0579-MEX</t>
  </si>
  <si>
    <t>2022-0333-MEX</t>
  </si>
  <si>
    <t>2022-0675-MEX</t>
  </si>
  <si>
    <t>2022-0698-MEX</t>
  </si>
  <si>
    <t>2023-0647-MEX</t>
  </si>
  <si>
    <t>2023-0675-MEX</t>
  </si>
  <si>
    <t>2024-0402-MEX</t>
  </si>
  <si>
    <t>2024-0471-MEX</t>
  </si>
  <si>
    <t>2024-0685-MEX</t>
  </si>
  <si>
    <t>2024-0693-MEX</t>
  </si>
  <si>
    <t>2024-0722-MEX</t>
  </si>
  <si>
    <t>2024-0795-MEX</t>
  </si>
  <si>
    <t>2001-0694-MAR</t>
  </si>
  <si>
    <t>2002-0734-MAR</t>
  </si>
  <si>
    <t>2003-0556-MAR</t>
  </si>
  <si>
    <t>2004-0073-MAR</t>
  </si>
  <si>
    <t>2005-0662-MAR</t>
  </si>
  <si>
    <t>2006-0267-MAR</t>
  </si>
  <si>
    <t>2006-0575-MAR</t>
  </si>
  <si>
    <t>2006-0585-MAR</t>
  </si>
  <si>
    <t>2008-0498-MAR</t>
  </si>
  <si>
    <t>2009-0043-MAR</t>
  </si>
  <si>
    <t>2009-0590-MAR</t>
  </si>
  <si>
    <t>2010-0112-MAR</t>
  </si>
  <si>
    <t>2010-0613-MAR</t>
  </si>
  <si>
    <t>2014-0490-MAR</t>
  </si>
  <si>
    <t>2014-0008-MAR</t>
  </si>
  <si>
    <t>2014-0463-MAR</t>
  </si>
  <si>
    <t>2019-0426-MAR</t>
  </si>
  <si>
    <t>2019-0427-MAR</t>
  </si>
  <si>
    <t>2021-0071-MAR</t>
  </si>
  <si>
    <t>2021-0118-MAR</t>
  </si>
  <si>
    <t>2023-0600-MAR</t>
  </si>
  <si>
    <t>2024-0656-MAR</t>
  </si>
  <si>
    <t>2001-9048-MOZ</t>
  </si>
  <si>
    <t>2001-0019-MOZ</t>
  </si>
  <si>
    <t>2001-0767-MOZ</t>
  </si>
  <si>
    <t>2001-9122-MOZ</t>
  </si>
  <si>
    <t>2002-0163-MOZ</t>
  </si>
  <si>
    <t>2002-0670-MOZ</t>
  </si>
  <si>
    <t>2003-9035-MOZ</t>
  </si>
  <si>
    <t>2003-0020-MOZ</t>
  </si>
  <si>
    <t>2003-0098-MOZ</t>
  </si>
  <si>
    <t>2003-0233-MOZ</t>
  </si>
  <si>
    <t>2003-0114-MOZ</t>
  </si>
  <si>
    <t>2005-9262-MOZ</t>
  </si>
  <si>
    <t>2005-0075-MOZ</t>
  </si>
  <si>
    <t>2005-0715-MOZ</t>
  </si>
  <si>
    <t>2006-0100-MOZ</t>
  </si>
  <si>
    <t>2007-9343-MOZ</t>
  </si>
  <si>
    <t>2007-0020-MOZ</t>
  </si>
  <si>
    <t>2007-0034-MOZ</t>
  </si>
  <si>
    <t>2007-0614-MOZ</t>
  </si>
  <si>
    <t>2007-0616-MOZ</t>
  </si>
  <si>
    <t>2007-0080-MOZ</t>
  </si>
  <si>
    <t>2008-9590-MOZ</t>
  </si>
  <si>
    <t>2008-0628-MOZ</t>
  </si>
  <si>
    <t>2008-0111-MOZ</t>
  </si>
  <si>
    <t>2009-0092-MOZ</t>
  </si>
  <si>
    <t>2009-0123-MOZ</t>
  </si>
  <si>
    <t>2010-9290-MOZ</t>
  </si>
  <si>
    <t>2010-0097-MOZ</t>
  </si>
  <si>
    <t>2011-0072-MOZ</t>
  </si>
  <si>
    <t>2011-0092-MOZ</t>
  </si>
  <si>
    <t>2011-0015-MOZ</t>
  </si>
  <si>
    <t>2012-0005-MOZ</t>
  </si>
  <si>
    <t>2012-0006-MOZ</t>
  </si>
  <si>
    <t>2012-0056-MOZ</t>
  </si>
  <si>
    <t>2013-0011-MOZ</t>
  </si>
  <si>
    <t>2014-0425-MOZ</t>
  </si>
  <si>
    <t>2014-0518-MOZ</t>
  </si>
  <si>
    <t>2015-0011-MOZ</t>
  </si>
  <si>
    <t>2016-9122-MOZ</t>
  </si>
  <si>
    <t>2016-0248-MOZ</t>
  </si>
  <si>
    <t>2016-0529-MOZ</t>
  </si>
  <si>
    <t>2016-0546-MOZ</t>
  </si>
  <si>
    <t>2017-0051-MOZ</t>
  </si>
  <si>
    <t>2018-0048-MOZ</t>
  </si>
  <si>
    <t>2019-0048-MOZ</t>
  </si>
  <si>
    <t>2019-0099-MOZ</t>
  </si>
  <si>
    <t>2019-0633-MOZ</t>
  </si>
  <si>
    <t>2019-0110-MOZ</t>
  </si>
  <si>
    <t>2019-0165-MOZ</t>
  </si>
  <si>
    <t>2020-9586-MOZ</t>
  </si>
  <si>
    <t>2020-0062-MOZ</t>
  </si>
  <si>
    <t>2020-0484-MOZ</t>
  </si>
  <si>
    <t>2021-9359-MOZ</t>
  </si>
  <si>
    <t>2021-0083-MOZ</t>
  </si>
  <si>
    <t>2021-0036-MOZ</t>
  </si>
  <si>
    <t>2022-0861-MOZ</t>
  </si>
  <si>
    <t>2022-0052-MOZ</t>
  </si>
  <si>
    <t>2022-0099-MOZ</t>
  </si>
  <si>
    <t>2022-0137-MOZ</t>
  </si>
  <si>
    <t>2023-9878-MOZ</t>
  </si>
  <si>
    <t>2023-0078-MOZ</t>
  </si>
  <si>
    <t>2023-0095-MOZ</t>
  </si>
  <si>
    <t>2024-0164-MOZ</t>
  </si>
  <si>
    <t>2024-0910-MOZ</t>
  </si>
  <si>
    <t>2001-0746-MMR</t>
  </si>
  <si>
    <t>2002-0536-MMR</t>
  </si>
  <si>
    <t>2004-0659-MMR</t>
  </si>
  <si>
    <t>2004-0235-MMR</t>
  </si>
  <si>
    <t>2006-0544-MMR</t>
  </si>
  <si>
    <t>2006-0241-MMR</t>
  </si>
  <si>
    <t>2007-0161-MMR</t>
  </si>
  <si>
    <t>2007-0186-MMR</t>
  </si>
  <si>
    <t>2007-0318-MMR</t>
  </si>
  <si>
    <t>2007-0409-MMR</t>
  </si>
  <si>
    <t>2008-0184-MMR</t>
  </si>
  <si>
    <t>2010-0554-MMR</t>
  </si>
  <si>
    <t>2011-0090-MMR</t>
  </si>
  <si>
    <t>2011-0400-MMR</t>
  </si>
  <si>
    <t>2012-0417-MMR</t>
  </si>
  <si>
    <t>2012-0319-MMR</t>
  </si>
  <si>
    <t>2013-0263-MMR</t>
  </si>
  <si>
    <t>2014-0412-MMR</t>
  </si>
  <si>
    <t>2014-0413-MMR</t>
  </si>
  <si>
    <t>2015-0253-MMR</t>
  </si>
  <si>
    <t>2015-0308-MMR</t>
  </si>
  <si>
    <t>2015-0492-MMR</t>
  </si>
  <si>
    <t>2015-0118-MMR</t>
  </si>
  <si>
    <t>2016-0383-MMR</t>
  </si>
  <si>
    <t>2016-0232-MMR</t>
  </si>
  <si>
    <t>2016-0369-MMR</t>
  </si>
  <si>
    <t>2016-0138-MMR</t>
  </si>
  <si>
    <t>2016-0189-MMR</t>
  </si>
  <si>
    <t>2017-0311-MMR</t>
  </si>
  <si>
    <t>2017-0152-MMR</t>
  </si>
  <si>
    <t>2018-0203-MMR</t>
  </si>
  <si>
    <t>2018-0255-MMR</t>
  </si>
  <si>
    <t>2018-0314-MMR</t>
  </si>
  <si>
    <t>2019-0347-MMR</t>
  </si>
  <si>
    <t>2019-0385-MMR</t>
  </si>
  <si>
    <t>2020-0329-MMR</t>
  </si>
  <si>
    <t>2021-0451-MMR</t>
  </si>
  <si>
    <t>2023-0517-MMR</t>
  </si>
  <si>
    <t>2023-0633-MMR</t>
  </si>
  <si>
    <t>2023-0248-MMR</t>
  </si>
  <si>
    <t>2023-0294-MMR</t>
  </si>
  <si>
    <t>2024-0434-MMR</t>
  </si>
  <si>
    <t>2024-0654-MMR</t>
  </si>
  <si>
    <t>2001-9854-NAM</t>
  </si>
  <si>
    <t>2002-9022-NAM</t>
  </si>
  <si>
    <t>2003-0220-NAM</t>
  </si>
  <si>
    <t>2004-0149-NAM</t>
  </si>
  <si>
    <t>2004-0159-NAM</t>
  </si>
  <si>
    <t>2006-0024-NAM</t>
  </si>
  <si>
    <t>2006-0108-NAM</t>
  </si>
  <si>
    <t>2007-0075-NAM</t>
  </si>
  <si>
    <t>2008-0060-NAM</t>
  </si>
  <si>
    <t>2009-0092-NAM</t>
  </si>
  <si>
    <t>2010-0128-NAM</t>
  </si>
  <si>
    <t>2011-0081-NAM</t>
  </si>
  <si>
    <t>2012-0023-NAM</t>
  </si>
  <si>
    <t>2013-9146-NAM</t>
  </si>
  <si>
    <t>2013-0011-NAM</t>
  </si>
  <si>
    <t>2015-9505-NAM</t>
  </si>
  <si>
    <t>2017-0106-NAM</t>
  </si>
  <si>
    <t>2018-9191-NAM</t>
  </si>
  <si>
    <t>2020-0085-NAM</t>
  </si>
  <si>
    <t>2021-0013-NAM</t>
  </si>
  <si>
    <t>2023-0098-NAM</t>
  </si>
  <si>
    <t>2024-9338-NAM</t>
  </si>
  <si>
    <t>2003-0341-NPL</t>
  </si>
  <si>
    <t>2004-0298-NPL</t>
  </si>
  <si>
    <t>2005-0375-NPL</t>
  </si>
  <si>
    <t>2005-0556-NPL</t>
  </si>
  <si>
    <t>2006-9723-NPL</t>
  </si>
  <si>
    <t>2006-0342-NPL</t>
  </si>
  <si>
    <t>2007-0307-NPL</t>
  </si>
  <si>
    <t>2008-0271-NPL</t>
  </si>
  <si>
    <t>2008-0431-NPL</t>
  </si>
  <si>
    <t>2009-9660-NPL</t>
  </si>
  <si>
    <t>2009-0434-NPL</t>
  </si>
  <si>
    <t>2009-0608-NPL</t>
  </si>
  <si>
    <t>2010-0333-NPL</t>
  </si>
  <si>
    <t>2010-0452-NPL</t>
  </si>
  <si>
    <t>2011-0351-NPL</t>
  </si>
  <si>
    <t>2011-0215-NPL</t>
  </si>
  <si>
    <t>2011-0317-NPL</t>
  </si>
  <si>
    <t>2012-0186-NPL</t>
  </si>
  <si>
    <t>2013-0456-NPL</t>
  </si>
  <si>
    <t>2013-0576-NPL</t>
  </si>
  <si>
    <t>2014-0246-NPL</t>
  </si>
  <si>
    <t>2014-0268-NPL</t>
  </si>
  <si>
    <t>2014-0272-NPL</t>
  </si>
  <si>
    <t>2014-0416-NPL</t>
  </si>
  <si>
    <t>2015-0144-NPL</t>
  </si>
  <si>
    <t>2015-0175-NPL</t>
  </si>
  <si>
    <t>2016-0267-NPL</t>
  </si>
  <si>
    <t>2016-0275-NPL</t>
  </si>
  <si>
    <t>2017-0321-NPL</t>
  </si>
  <si>
    <t>2017-0342-NPL</t>
  </si>
  <si>
    <t>2018-0219-NPL</t>
  </si>
  <si>
    <t>2019-0332-NPL</t>
  </si>
  <si>
    <t>2019-0135-NPL</t>
  </si>
  <si>
    <t>2020-0297-NPL</t>
  </si>
  <si>
    <t>2021-0308-NPL</t>
  </si>
  <si>
    <t>2021-0381-NPL</t>
  </si>
  <si>
    <t>2021-0605-NPL</t>
  </si>
  <si>
    <t>2021-0681-NPL</t>
  </si>
  <si>
    <t>2022-0731-NPL</t>
  </si>
  <si>
    <t>2022-0493-NPL</t>
  </si>
  <si>
    <t>2022-0590-NPL</t>
  </si>
  <si>
    <t>2022-0353-NPL</t>
  </si>
  <si>
    <t>2023-0653-NPL</t>
  </si>
  <si>
    <t>2023-0722-NPL</t>
  </si>
  <si>
    <t>2023-0326-NPL</t>
  </si>
  <si>
    <t>2024-0428-NPL</t>
  </si>
  <si>
    <t>2024-0692-NPL</t>
  </si>
  <si>
    <t>2001-9383-NIC</t>
  </si>
  <si>
    <t>2001-0611-NIC</t>
  </si>
  <si>
    <t>2002-0328-NIC</t>
  </si>
  <si>
    <t>2002-0850-NIC</t>
  </si>
  <si>
    <t>2004-0289-NIC</t>
  </si>
  <si>
    <t>2005-0567-NIC</t>
  </si>
  <si>
    <t>2005-0625-NIC</t>
  </si>
  <si>
    <t>2007-0503-NIC</t>
  </si>
  <si>
    <t>2007-0439-NIC</t>
  </si>
  <si>
    <t>2008-0457-NIC</t>
  </si>
  <si>
    <t>2008-0484-NIC</t>
  </si>
  <si>
    <t>2008-0234-NIC</t>
  </si>
  <si>
    <t>2009-0234-NIC</t>
  </si>
  <si>
    <t>2009-0322-NIC</t>
  </si>
  <si>
    <t>2009-0477-NIC</t>
  </si>
  <si>
    <t>2010-0273-NIC</t>
  </si>
  <si>
    <t>2010-0491-NIC</t>
  </si>
  <si>
    <t>2010-0260-NIC</t>
  </si>
  <si>
    <t>2010-0503-NIC</t>
  </si>
  <si>
    <t>2011-0386-NIC</t>
  </si>
  <si>
    <t>2012-0400-NIC</t>
  </si>
  <si>
    <t>2013-0370-NIC</t>
  </si>
  <si>
    <t>2014-9580-NIC</t>
  </si>
  <si>
    <t>2014-0111-NIC</t>
  </si>
  <si>
    <t>2014-0447-NIC</t>
  </si>
  <si>
    <t>2015-0446-NIC</t>
  </si>
  <si>
    <t>2016-0433-NIC</t>
  </si>
  <si>
    <t>2017-0449-NIC</t>
  </si>
  <si>
    <t>2017-0410-NIC</t>
  </si>
  <si>
    <t>2018-9277-NIC</t>
  </si>
  <si>
    <t>2018-0374-NIC</t>
  </si>
  <si>
    <t>2020-0474-NIC</t>
  </si>
  <si>
    <t>2020-0495-NIC</t>
  </si>
  <si>
    <t>2022-0400-NIC</t>
  </si>
  <si>
    <t>2022-0647-NIC</t>
  </si>
  <si>
    <t>2024-0395-NIC</t>
  </si>
  <si>
    <t>2024-0857-NIC</t>
  </si>
  <si>
    <t>2001-0033-PAK</t>
  </si>
  <si>
    <t>2001-0376-PAK</t>
  </si>
  <si>
    <t>2001-0267-PAK</t>
  </si>
  <si>
    <t>2002-0122-PAK</t>
  </si>
  <si>
    <t>2002-0692-PAK</t>
  </si>
  <si>
    <t>2002-0721-PAK</t>
  </si>
  <si>
    <t>2002-0509-PAK</t>
  </si>
  <si>
    <t>2002-0543-PAK</t>
  </si>
  <si>
    <t>2002-0628-PAK</t>
  </si>
  <si>
    <t>2002-0330-PAK</t>
  </si>
  <si>
    <t>2003-0359-PAK</t>
  </si>
  <si>
    <t>2003-0387-PAK</t>
  </si>
  <si>
    <t>2003-0681-PAK</t>
  </si>
  <si>
    <t>2003-0086-PAK</t>
  </si>
  <si>
    <t>2004-0054-PAK</t>
  </si>
  <si>
    <t>2004-0298-PAK</t>
  </si>
  <si>
    <t>2004-0734-PAK</t>
  </si>
  <si>
    <t>2005-0575-PAK</t>
  </si>
  <si>
    <t>2005-0079-PAK</t>
  </si>
  <si>
    <t>2005-0170-PAK</t>
  </si>
  <si>
    <t>2005-0192-PAK</t>
  </si>
  <si>
    <t>2005-0360-PAK</t>
  </si>
  <si>
    <t>2005-0746-PAK</t>
  </si>
  <si>
    <t>2005-0044-PAK</t>
  </si>
  <si>
    <t>2006-0365-PAK</t>
  </si>
  <si>
    <t>2006-0389-PAK</t>
  </si>
  <si>
    <t>2006-0414-PAK</t>
  </si>
  <si>
    <t>2006-0417-PAK</t>
  </si>
  <si>
    <t>2006-0548-PAK</t>
  </si>
  <si>
    <t>2006-0663-PAK</t>
  </si>
  <si>
    <t>2006-0733-PAK</t>
  </si>
  <si>
    <t>2007-0241-PAK</t>
  </si>
  <si>
    <t>2007-0249-PAK</t>
  </si>
  <si>
    <t>2007-0255-PAK</t>
  </si>
  <si>
    <t>2007-0284-PAK</t>
  </si>
  <si>
    <t>2007-0348-PAK</t>
  </si>
  <si>
    <t>2007-0412-PAK</t>
  </si>
  <si>
    <t>2007-0245-PAK</t>
  </si>
  <si>
    <t>2008-0500-PAK</t>
  </si>
  <si>
    <t>2008-0208-PAK</t>
  </si>
  <si>
    <t>2008-0350-PAK</t>
  </si>
  <si>
    <t>2008-0591-PAK</t>
  </si>
  <si>
    <t>2009-0149-PAK</t>
  </si>
  <si>
    <t>2009-0266-PAK</t>
  </si>
  <si>
    <t>2009-0335-PAK</t>
  </si>
  <si>
    <t>2010-0053-PAK</t>
  </si>
  <si>
    <t>2010-0282-PAK</t>
  </si>
  <si>
    <t>2010-0293-PAK</t>
  </si>
  <si>
    <t>2010-0341-PAK</t>
  </si>
  <si>
    <t>2010-0210-PAK</t>
  </si>
  <si>
    <t>2011-0104-PAK</t>
  </si>
  <si>
    <t>2011-0347-PAK</t>
  </si>
  <si>
    <t>2012-0325-PAK</t>
  </si>
  <si>
    <t>2012-0363-PAK</t>
  </si>
  <si>
    <t>2012-0475-PAK</t>
  </si>
  <si>
    <t>2013-0099-PAK</t>
  </si>
  <si>
    <t>2013-0381-PAK</t>
  </si>
  <si>
    <t>2013-0484-PAK</t>
  </si>
  <si>
    <t>2013-0068-PAK</t>
  </si>
  <si>
    <t>2013-0276-PAK</t>
  </si>
  <si>
    <t>2014-0343-PAK</t>
  </si>
  <si>
    <t>2014-0322-PAK</t>
  </si>
  <si>
    <t>2015-0476-PAK</t>
  </si>
  <si>
    <t>2015-0571-PAK</t>
  </si>
  <si>
    <t>2015-0124-PAK</t>
  </si>
  <si>
    <t>2015-0145-PAK</t>
  </si>
  <si>
    <t>2015-0215-PAK</t>
  </si>
  <si>
    <t>2015-0288-PAK</t>
  </si>
  <si>
    <t>2015-0291-PAK</t>
  </si>
  <si>
    <t>2015-0333-PAK</t>
  </si>
  <si>
    <t>2016-0100-PAK</t>
  </si>
  <si>
    <t>2016-0112-PAK</t>
  </si>
  <si>
    <t>2016-0240-PAK</t>
  </si>
  <si>
    <t>2016-0270-PAK</t>
  </si>
  <si>
    <t>2016-0375-PAK</t>
  </si>
  <si>
    <t>2016-0387-PAK</t>
  </si>
  <si>
    <t>2016-0553-PAK</t>
  </si>
  <si>
    <t>2016-0554-PAK</t>
  </si>
  <si>
    <t>2016-0229-PAK</t>
  </si>
  <si>
    <t>2017-0045-PAK</t>
  </si>
  <si>
    <t>2017-0243-PAK</t>
  </si>
  <si>
    <t>2017-0145-PAK</t>
  </si>
  <si>
    <t>2017-0181-PAK</t>
  </si>
  <si>
    <t>2018-0212-PAK</t>
  </si>
  <si>
    <t>2019-9023-PAK</t>
  </si>
  <si>
    <t>2019-0460-PAK</t>
  </si>
  <si>
    <t>2019-0082-PAK</t>
  </si>
  <si>
    <t>2019-0201-PAK</t>
  </si>
  <si>
    <t>2019-0346-PAK</t>
  </si>
  <si>
    <t>2019-0372-PAK</t>
  </si>
  <si>
    <t>2019-0386-PAK</t>
  </si>
  <si>
    <t>2019-0464-PAK</t>
  </si>
  <si>
    <t>2019-0470-PAK</t>
  </si>
  <si>
    <t>2019-0471-PAK</t>
  </si>
  <si>
    <t>2019-0155-PAK</t>
  </si>
  <si>
    <t>2020-0095-PAK</t>
  </si>
  <si>
    <t>2020-0133-PAK</t>
  </si>
  <si>
    <t>2020-0249-PAK</t>
  </si>
  <si>
    <t>2020-0357-PAK</t>
  </si>
  <si>
    <t>2020-0010-PAK</t>
  </si>
  <si>
    <t>2021-0654-PAK</t>
  </si>
  <si>
    <t>2021-0205-PAK</t>
  </si>
  <si>
    <t>2021-0456-PAK</t>
  </si>
  <si>
    <t>2021-0596-PAK</t>
  </si>
  <si>
    <t>2021-0846-PAK</t>
  </si>
  <si>
    <t>2021-0342-PAK</t>
  </si>
  <si>
    <t>2021-0429-PAK</t>
  </si>
  <si>
    <t>2022-0342-PAK</t>
  </si>
  <si>
    <t>2022-0405-PAK</t>
  </si>
  <si>
    <t>2022-0014-PAK</t>
  </si>
  <si>
    <t>2023-0156-PAK</t>
  </si>
  <si>
    <t>2023-0159-PAK</t>
  </si>
  <si>
    <t>2023-0173-PAK</t>
  </si>
  <si>
    <t>2023-0208-PAK</t>
  </si>
  <si>
    <t>2023-0266-PAK</t>
  </si>
  <si>
    <t>2023-0354-PAK</t>
  </si>
  <si>
    <t>2023-0428-PAK</t>
  </si>
  <si>
    <t>2023-0462-PAK</t>
  </si>
  <si>
    <t>2023-0542-PAK</t>
  </si>
  <si>
    <t>2023-0571-PAK</t>
  </si>
  <si>
    <t>2023-0331-PAK</t>
  </si>
  <si>
    <t>2024-0120-PAK</t>
  </si>
  <si>
    <t>2024-0481-PAK</t>
  </si>
  <si>
    <t>2024-0190-PAK</t>
  </si>
  <si>
    <t>2024-0263-PAK</t>
  </si>
  <si>
    <t>2001-0294-PER</t>
  </si>
  <si>
    <t>2001-0751-PER</t>
  </si>
  <si>
    <t>2001-0754-PER</t>
  </si>
  <si>
    <t>2001-0117-PER</t>
  </si>
  <si>
    <t>2001-0271-PER</t>
  </si>
  <si>
    <t>2001-0703-PER</t>
  </si>
  <si>
    <t>2002-9843-PER</t>
  </si>
  <si>
    <t>2002-0077-PER</t>
  </si>
  <si>
    <t>2002-0187-PER</t>
  </si>
  <si>
    <t>2002-0708-PER</t>
  </si>
  <si>
    <t>2002-0429-PER</t>
  </si>
  <si>
    <t>2003-0051-PER</t>
  </si>
  <si>
    <t>2003-0644-PER</t>
  </si>
  <si>
    <t>2004-9063-PER</t>
  </si>
  <si>
    <t>2004-0200-PER</t>
  </si>
  <si>
    <t>2005-0321-PER</t>
  </si>
  <si>
    <t>2005-0558-PER</t>
  </si>
  <si>
    <t>2006-9016-PER</t>
  </si>
  <si>
    <t>2006-0147-PER</t>
  </si>
  <si>
    <t>2007-0362-PER</t>
  </si>
  <si>
    <t>2007-0039-PER</t>
  </si>
  <si>
    <t>2008-0064-PER</t>
  </si>
  <si>
    <t>2009-0660-PER</t>
  </si>
  <si>
    <t>2010-0065-PER</t>
  </si>
  <si>
    <t>2011-0443-PER</t>
  </si>
  <si>
    <t>2011-0064-PER</t>
  </si>
  <si>
    <t>2011-0556-PER</t>
  </si>
  <si>
    <t>2011-0660-PER</t>
  </si>
  <si>
    <t>2011-0583-PER</t>
  </si>
  <si>
    <t>2012-0020-PER</t>
  </si>
  <si>
    <t>2012-0402-PER</t>
  </si>
  <si>
    <t>2013-0409-PER</t>
  </si>
  <si>
    <t>2013-0056-PER</t>
  </si>
  <si>
    <t>2013-0578-PER</t>
  </si>
  <si>
    <t>2014-0334-PER</t>
  </si>
  <si>
    <t>2014-0040-PER</t>
  </si>
  <si>
    <t>2014-0529-PER</t>
  </si>
  <si>
    <t>2014-0534-PER</t>
  </si>
  <si>
    <t>2015-0199-PER</t>
  </si>
  <si>
    <t>2015-0522-PER</t>
  </si>
  <si>
    <t>2016-0298-PER</t>
  </si>
  <si>
    <t>2016-0464-PER</t>
  </si>
  <si>
    <t>2016-0054-PER</t>
  </si>
  <si>
    <t>2017-0036-PER</t>
  </si>
  <si>
    <t>2017-0052-PER</t>
  </si>
  <si>
    <t>2017-0084-PER</t>
  </si>
  <si>
    <t>2018-0011-PER</t>
  </si>
  <si>
    <t>2019-0243-PER</t>
  </si>
  <si>
    <t>2019-0072-PER</t>
  </si>
  <si>
    <t>2019-0093-PER</t>
  </si>
  <si>
    <t>2019-0647-PER</t>
  </si>
  <si>
    <t>2020-0032-PER</t>
  </si>
  <si>
    <t>2020-0094-PER</t>
  </si>
  <si>
    <t>2020-0122-PER</t>
  </si>
  <si>
    <t>2021-0462-PER</t>
  </si>
  <si>
    <t>2021-0758-PER</t>
  </si>
  <si>
    <t>2021-0094-PER</t>
  </si>
  <si>
    <t>2021-0098-PER</t>
  </si>
  <si>
    <t>2021-0101-PER</t>
  </si>
  <si>
    <t>2021-0145-PER</t>
  </si>
  <si>
    <t>2021-0170-PER</t>
  </si>
  <si>
    <t>2021-0212-PER</t>
  </si>
  <si>
    <t>2021-0235-PER</t>
  </si>
  <si>
    <t>2021-0712-PER</t>
  </si>
  <si>
    <t>2022-0079-PER</t>
  </si>
  <si>
    <t>2022-0430-PER</t>
  </si>
  <si>
    <t>2022-0058-PER</t>
  </si>
  <si>
    <t>2023-0155-PER</t>
  </si>
  <si>
    <t>2023-0137-PER</t>
  </si>
  <si>
    <t>2023-0221-PER</t>
  </si>
  <si>
    <t>2023-0814-PER</t>
  </si>
  <si>
    <t>2023-0238-PER</t>
  </si>
  <si>
    <t>2024-0473-PER</t>
  </si>
  <si>
    <t>2024-0103-PER</t>
  </si>
  <si>
    <t>2024-0162-PER</t>
  </si>
  <si>
    <t>2024-0052-PER</t>
  </si>
  <si>
    <t>2001-0079-ROU</t>
  </si>
  <si>
    <t>2001-0288-ROU</t>
  </si>
  <si>
    <t>2002-0447-ROU</t>
  </si>
  <si>
    <t>2002-0466-ROU</t>
  </si>
  <si>
    <t>2002-0471-ROU</t>
  </si>
  <si>
    <t>2003-0001-ROU</t>
  </si>
  <si>
    <t>2003-0048-ROU</t>
  </si>
  <si>
    <t>2004-0365-ROU</t>
  </si>
  <si>
    <t>2004-0444-ROU</t>
  </si>
  <si>
    <t>2004-0257-ROU</t>
  </si>
  <si>
    <t>2004-0336-ROU</t>
  </si>
  <si>
    <t>2004-0356-ROU</t>
  </si>
  <si>
    <t>2005-0131-ROU</t>
  </si>
  <si>
    <t>2005-0214-ROU</t>
  </si>
  <si>
    <t>2005-0337-ROU</t>
  </si>
  <si>
    <t>2005-0365-ROU</t>
  </si>
  <si>
    <t>2005-0473-ROU</t>
  </si>
  <si>
    <t>2005-0545-ROU</t>
  </si>
  <si>
    <t>2005-0045-ROU</t>
  </si>
  <si>
    <t>2006-0127-ROU</t>
  </si>
  <si>
    <t>2006-0156-ROU</t>
  </si>
  <si>
    <t>2006-0209-ROU</t>
  </si>
  <si>
    <t>2006-0312-ROU</t>
  </si>
  <si>
    <t>2006-0320-ROU</t>
  </si>
  <si>
    <t>2006-0335-ROU</t>
  </si>
  <si>
    <t>2007-0068-ROU</t>
  </si>
  <si>
    <t>2007-0340-ROU</t>
  </si>
  <si>
    <t>2007-0393-ROU</t>
  </si>
  <si>
    <t>2007-0421-ROU</t>
  </si>
  <si>
    <t>2008-0306-ROU</t>
  </si>
  <si>
    <t>2008-0082-ROU</t>
  </si>
  <si>
    <t>2009-0015-ROU</t>
  </si>
  <si>
    <t>2009-0228-ROU</t>
  </si>
  <si>
    <t>2010-0251-ROU</t>
  </si>
  <si>
    <t>2013-0347-ROU</t>
  </si>
  <si>
    <t>2014-0128-ROU</t>
  </si>
  <si>
    <t>2014-0280-ROU</t>
  </si>
  <si>
    <t>2015-0203-ROU</t>
  </si>
  <si>
    <t>2016-0179-ROU</t>
  </si>
  <si>
    <t>2016-0426-ROU</t>
  </si>
  <si>
    <t>2017-0407-ROU</t>
  </si>
  <si>
    <t>2018-0165-ROU</t>
  </si>
  <si>
    <t>2018-0247-ROU</t>
  </si>
  <si>
    <t>2019-0222-ROU</t>
  </si>
  <si>
    <t>2020-0286-ROU</t>
  </si>
  <si>
    <t>2021-0349-ROU</t>
  </si>
  <si>
    <t>2023-0466-ROU</t>
  </si>
  <si>
    <t>2023-0804-ROU</t>
  </si>
  <si>
    <t>2024-0653-ROU</t>
  </si>
  <si>
    <t>2001-0653-SOM</t>
  </si>
  <si>
    <t>2003-0204-SOM</t>
  </si>
  <si>
    <t>2003-0447-SOM</t>
  </si>
  <si>
    <t>2004-9085-SOM</t>
  </si>
  <si>
    <t>2004-0659-SOM</t>
  </si>
  <si>
    <t>2004-0499-SOM</t>
  </si>
  <si>
    <t>2005-9722-SOM</t>
  </si>
  <si>
    <t>2005-0215-SOM</t>
  </si>
  <si>
    <t>2005-0309-SOM</t>
  </si>
  <si>
    <t>2006-0422-SOM</t>
  </si>
  <si>
    <t>2006-0550-SOM</t>
  </si>
  <si>
    <t>2006-0618-SOM</t>
  </si>
  <si>
    <t>2006-0624-SOM</t>
  </si>
  <si>
    <t>2007-0425-SOM</t>
  </si>
  <si>
    <t>2007-0559-SOM</t>
  </si>
  <si>
    <t>2008-9468-SOM</t>
  </si>
  <si>
    <t>2008-0506-SOM</t>
  </si>
  <si>
    <t>2009-0532-SOM</t>
  </si>
  <si>
    <t>2010-9082-SOM</t>
  </si>
  <si>
    <t>2010-0115-SOM</t>
  </si>
  <si>
    <t>2010-0164-SOM</t>
  </si>
  <si>
    <t>2011-0476-SOM</t>
  </si>
  <si>
    <t>2011-9663-SOM</t>
  </si>
  <si>
    <t>2012-0472-SOM</t>
  </si>
  <si>
    <t>2012-0508-SOM</t>
  </si>
  <si>
    <t>2013-0288-SOM</t>
  </si>
  <si>
    <t>2013-0473-SOM</t>
  </si>
  <si>
    <t>2013-0438-SOM</t>
  </si>
  <si>
    <t>2014-9231-SOM</t>
  </si>
  <si>
    <t>2014-0456-SOM</t>
  </si>
  <si>
    <t>2015-9616-SOM</t>
  </si>
  <si>
    <t>2015-0477-SOM</t>
  </si>
  <si>
    <t>2015-0544-SOM</t>
  </si>
  <si>
    <t>2015-0484-SOM</t>
  </si>
  <si>
    <t>2015-0494-SOM</t>
  </si>
  <si>
    <t>2016-0129-SOM</t>
  </si>
  <si>
    <t>2018-0133-SOM</t>
  </si>
  <si>
    <t>2018-0145-SOM</t>
  </si>
  <si>
    <t>2019-9109-SOM</t>
  </si>
  <si>
    <t>2019-0500-SOM</t>
  </si>
  <si>
    <t>2019-0600-SOM</t>
  </si>
  <si>
    <t>2020-0159-SOM</t>
  </si>
  <si>
    <t>2020-0320-SOM</t>
  </si>
  <si>
    <t>2020-0487-SOM</t>
  </si>
  <si>
    <t>2020-9609-SOM</t>
  </si>
  <si>
    <t>2021-0239-SOM</t>
  </si>
  <si>
    <t>2022-0332-SOM</t>
  </si>
  <si>
    <t>2023-0172-SOM</t>
  </si>
  <si>
    <t>2023-0295-SOM</t>
  </si>
  <si>
    <t>2023-0683-SOM</t>
  </si>
  <si>
    <t>2023-0741-SOM</t>
  </si>
  <si>
    <t>2024-0241-SOM</t>
  </si>
  <si>
    <t>2001-0481-ZAF</t>
  </si>
  <si>
    <t>2001-0664-ZAF</t>
  </si>
  <si>
    <t>2001-0037-ZAF</t>
  </si>
  <si>
    <t>2001-0560-ZAF</t>
  </si>
  <si>
    <t>2002-0514-ZAF</t>
  </si>
  <si>
    <t>2002-0025-ZAF</t>
  </si>
  <si>
    <t>2002-0217-ZAF</t>
  </si>
  <si>
    <t>2002-0442-ZAF</t>
  </si>
  <si>
    <t>2002-0881-ZAF</t>
  </si>
  <si>
    <t>2003-0146-ZAF</t>
  </si>
  <si>
    <t>2003-0408-ZAF</t>
  </si>
  <si>
    <t>2004-9017-ZAF</t>
  </si>
  <si>
    <t>2004-0398-ZAF</t>
  </si>
  <si>
    <t>2005-0132-ZAF</t>
  </si>
  <si>
    <t>2006-0181-ZAF</t>
  </si>
  <si>
    <t>2006-0431-ZAF</t>
  </si>
  <si>
    <t>2007-0306-ZAF</t>
  </si>
  <si>
    <t>2008-0245-ZAF</t>
  </si>
  <si>
    <t>2008-0528-ZAF</t>
  </si>
  <si>
    <t>2009-0108-ZAF</t>
  </si>
  <si>
    <t>2009-0261-ZAF</t>
  </si>
  <si>
    <t>2009-0007-ZAF</t>
  </si>
  <si>
    <t>2010-0678-ZAF</t>
  </si>
  <si>
    <t>2011-0100-ZAF</t>
  </si>
  <si>
    <t>2011-0409-ZAF</t>
  </si>
  <si>
    <t>2011-0638-ZAF</t>
  </si>
  <si>
    <t>2012-0469-ZAF</t>
  </si>
  <si>
    <t>2012-0006-ZAF</t>
  </si>
  <si>
    <t>2013-0217-ZAF</t>
  </si>
  <si>
    <t>2014-0311-ZAF</t>
  </si>
  <si>
    <t>2014-0099-ZAF</t>
  </si>
  <si>
    <t>2015-9500-ZAF</t>
  </si>
  <si>
    <t>2016-0305-ZAF</t>
  </si>
  <si>
    <t>2016-0478-ZAF</t>
  </si>
  <si>
    <t>2017-9211-ZAF</t>
  </si>
  <si>
    <t>2017-0217-ZAF</t>
  </si>
  <si>
    <t>2017-0178-ZAF</t>
  </si>
  <si>
    <t>2017-0462-ZAF</t>
  </si>
  <si>
    <t>2019-9598-ZAF</t>
  </si>
  <si>
    <t>2019-0106-ZAF</t>
  </si>
  <si>
    <t>2019-0176-ZAF</t>
  </si>
  <si>
    <t>2019-0182-ZAF</t>
  </si>
  <si>
    <t>2019-0607-ZAF</t>
  </si>
  <si>
    <t>2019-0548-ZAF</t>
  </si>
  <si>
    <t>2020-0050-ZAF</t>
  </si>
  <si>
    <t>2020-0489-ZAF</t>
  </si>
  <si>
    <t>2021-9148-ZAF</t>
  </si>
  <si>
    <t>2021-0075-ZAF</t>
  </si>
  <si>
    <t>2021-0036-ZAF</t>
  </si>
  <si>
    <t>2021-0811-ZAF</t>
  </si>
  <si>
    <t>2022-0009-ZAF</t>
  </si>
  <si>
    <t>2022-0035-ZAF</t>
  </si>
  <si>
    <t>2022-0077-ZAF</t>
  </si>
  <si>
    <t>2022-0108-ZAF</t>
  </si>
  <si>
    <t>2022-0205-ZAF</t>
  </si>
  <si>
    <t>2022-0313-ZAF</t>
  </si>
  <si>
    <t>2022-0356-ZAF</t>
  </si>
  <si>
    <t>2022-0788-ZAF</t>
  </si>
  <si>
    <t>2023-0080-ZAF</t>
  </si>
  <si>
    <t>2023-0180-ZAF</t>
  </si>
  <si>
    <t>2023-0619-ZAF</t>
  </si>
  <si>
    <t>2023-0855-ZAF</t>
  </si>
  <si>
    <t>2023-0352-ZAF</t>
  </si>
  <si>
    <t>2023-0847-ZAF</t>
  </si>
  <si>
    <t>2024-0015-ZAF</t>
  </si>
  <si>
    <t>2024-0302-ZAF</t>
  </si>
  <si>
    <t>2024-0783-ZAF</t>
  </si>
  <si>
    <t>2024-0074-ZAF</t>
  </si>
  <si>
    <t>2024-0209-ZAF</t>
  </si>
  <si>
    <t>2001-9498-LKA</t>
  </si>
  <si>
    <t>2001-0049-LKA</t>
  </si>
  <si>
    <t>2002-0788-LKA</t>
  </si>
  <si>
    <t>2003-0229-LKA</t>
  </si>
  <si>
    <t>2004-0659-LKA</t>
  </si>
  <si>
    <t>2004-0652-LKA</t>
  </si>
  <si>
    <t>2005-0646-LKA</t>
  </si>
  <si>
    <t>2006-0602-LKA</t>
  </si>
  <si>
    <t>2007-0012-LKA</t>
  </si>
  <si>
    <t>2007-0187-LKA</t>
  </si>
  <si>
    <t>2007-0609-LKA</t>
  </si>
  <si>
    <t>2008-0132-LKA</t>
  </si>
  <si>
    <t>2008-0224-LKA</t>
  </si>
  <si>
    <t>2008-0560-LKA</t>
  </si>
  <si>
    <t>2008-0184-LKA</t>
  </si>
  <si>
    <t>2009-0336-LKA</t>
  </si>
  <si>
    <t>2009-0501-LKA</t>
  </si>
  <si>
    <t>2009-0551-LKA</t>
  </si>
  <si>
    <t>2010-0191-LKA</t>
  </si>
  <si>
    <t>2010-0583-LKA</t>
  </si>
  <si>
    <t>2011-0024-LKA</t>
  </si>
  <si>
    <t>2011-0049-LKA</t>
  </si>
  <si>
    <t>2011-0590-LKA</t>
  </si>
  <si>
    <t>2011-0484-LKA</t>
  </si>
  <si>
    <t>2012-9405-LKA</t>
  </si>
  <si>
    <t>2012-0537-LKA</t>
  </si>
  <si>
    <t>2012-0425-LKA</t>
  </si>
  <si>
    <t>2013-0039-LKA</t>
  </si>
  <si>
    <t>2013-0220-LKA</t>
  </si>
  <si>
    <t>2013-0138-LKA</t>
  </si>
  <si>
    <t>2014-9393-LKA</t>
  </si>
  <si>
    <t>2014-0181-LKA</t>
  </si>
  <si>
    <t>2014-0495-LKA</t>
  </si>
  <si>
    <t>2014-0535-LKA</t>
  </si>
  <si>
    <t>2015-0530-LKA</t>
  </si>
  <si>
    <t>2015-0547-LKA</t>
  </si>
  <si>
    <t>2016-9529-LKA</t>
  </si>
  <si>
    <t>2016-0153-LKA</t>
  </si>
  <si>
    <t>2017-0153-LKA</t>
  </si>
  <si>
    <t>2017-0493-LKA</t>
  </si>
  <si>
    <t>2017-0508-LKA</t>
  </si>
  <si>
    <t>2018-0278-LKA</t>
  </si>
  <si>
    <t>2018-0384-LKA</t>
  </si>
  <si>
    <t>2018-0467-LKA</t>
  </si>
  <si>
    <t>2019-9389-LKA</t>
  </si>
  <si>
    <t>2019-0452-LKA</t>
  </si>
  <si>
    <t>2019-0499-LKA</t>
  </si>
  <si>
    <t>2019-0577-LKA</t>
  </si>
  <si>
    <t>2019-0629-LKA</t>
  </si>
  <si>
    <t>2019-0656-LKA</t>
  </si>
  <si>
    <t>2020-0461-LKA</t>
  </si>
  <si>
    <t>2020-0548-LKA</t>
  </si>
  <si>
    <t>2020-0211-LKA</t>
  </si>
  <si>
    <t>2021-0026-LKA</t>
  </si>
  <si>
    <t>2021-0253-LKA</t>
  </si>
  <si>
    <t>2021-0714-LKA</t>
  </si>
  <si>
    <t>2021-0722-LKA</t>
  </si>
  <si>
    <t>2021-0252-LKA</t>
  </si>
  <si>
    <t>2022-0490-LKA</t>
  </si>
  <si>
    <t>2022-0677-LKA</t>
  </si>
  <si>
    <t>2022-0785-LKA</t>
  </si>
  <si>
    <t>2022-0336-LKA</t>
  </si>
  <si>
    <t>2022-0798-LKA</t>
  </si>
  <si>
    <t>2023-0654-LKA</t>
  </si>
  <si>
    <t>2023-0256-LKA</t>
  </si>
  <si>
    <t>2023-0436-LKA</t>
  </si>
  <si>
    <t>2023-0733-LKA</t>
  </si>
  <si>
    <t>2023-0784-LKA</t>
  </si>
  <si>
    <t>2024-0008-LKA</t>
  </si>
  <si>
    <t>2024-0298-LKA</t>
  </si>
  <si>
    <t>2024-0733-LKA</t>
  </si>
  <si>
    <t>2024-0881-LKA</t>
  </si>
  <si>
    <t>2001-0530-TJK</t>
  </si>
  <si>
    <t>2001-0756-TJK</t>
  </si>
  <si>
    <t>2002-0015-TJK</t>
  </si>
  <si>
    <t>2002-0122-TJK</t>
  </si>
  <si>
    <t>2002-0193-TJK</t>
  </si>
  <si>
    <t>2002-0315-TJK</t>
  </si>
  <si>
    <t>2002-0375-TJK</t>
  </si>
  <si>
    <t>2002-0475-TJK</t>
  </si>
  <si>
    <t>2003-0273-TJK</t>
  </si>
  <si>
    <t>2004-0147-TJK</t>
  </si>
  <si>
    <t>2004-0342-TJK</t>
  </si>
  <si>
    <t>2005-0304-TJK</t>
  </si>
  <si>
    <t>2005-0370-TJK</t>
  </si>
  <si>
    <t>2006-0405-TJK</t>
  </si>
  <si>
    <t>2007-0287-TJK</t>
  </si>
  <si>
    <t>2007-0196-TJK</t>
  </si>
  <si>
    <t>2007-0661-TJK</t>
  </si>
  <si>
    <t>2008-9456-TJK</t>
  </si>
  <si>
    <t>2009-0176-TJK</t>
  </si>
  <si>
    <t>2010-0002-TJK</t>
  </si>
  <si>
    <t>2010-0174-TJK</t>
  </si>
  <si>
    <t>2010-0175-TJK</t>
  </si>
  <si>
    <t>2011-0243-TJK</t>
  </si>
  <si>
    <t>2011-0296-TJK</t>
  </si>
  <si>
    <t>2012-0151-TJK</t>
  </si>
  <si>
    <t>2012-0112-TJK</t>
  </si>
  <si>
    <t>2014-0122-TJK</t>
  </si>
  <si>
    <t>2014-0204-TJK</t>
  </si>
  <si>
    <t>2015-0528-TJK</t>
  </si>
  <si>
    <t>2015-0194-TJK</t>
  </si>
  <si>
    <t>2015-0286-TJK</t>
  </si>
  <si>
    <t>2016-0251-TJK</t>
  </si>
  <si>
    <t>2016-0191-TJK</t>
  </si>
  <si>
    <t>2017-0251-TJK</t>
  </si>
  <si>
    <t>2018-0207-TJK</t>
  </si>
  <si>
    <t>2019-0216-TJK</t>
  </si>
  <si>
    <t>2020-0527-TJK</t>
  </si>
  <si>
    <t>2021-0403-TJK</t>
  </si>
  <si>
    <t>2021-0272-TJK</t>
  </si>
  <si>
    <t>2023-0237-TJK</t>
  </si>
  <si>
    <t>2023-0570-TJK</t>
  </si>
  <si>
    <t>2024-0284-TJK</t>
  </si>
  <si>
    <t>2001-0361-VNM</t>
  </si>
  <si>
    <t>2001-0492-VNM</t>
  </si>
  <si>
    <t>2001-0587-VNM</t>
  </si>
  <si>
    <t>2001-0654-VNM</t>
  </si>
  <si>
    <t>2001-0318-VNM</t>
  </si>
  <si>
    <t>2001-0436-VNM</t>
  </si>
  <si>
    <t>2001-0624-VNM</t>
  </si>
  <si>
    <t>2002-9132-VNM</t>
  </si>
  <si>
    <t>2002-0470-VNM</t>
  </si>
  <si>
    <t>2002-0580-VNM</t>
  </si>
  <si>
    <t>2002-0610-VNM</t>
  </si>
  <si>
    <t>2002-0725-VNM</t>
  </si>
  <si>
    <t>2003-0505-VNM</t>
  </si>
  <si>
    <t>2003-0557-VNM</t>
  </si>
  <si>
    <t>2003-0672-VNM</t>
  </si>
  <si>
    <t>2003-0437-VNM</t>
  </si>
  <si>
    <t>2004-0328-VNM</t>
  </si>
  <si>
    <t>2004-0354-VNM</t>
  </si>
  <si>
    <t>2004-0735-VNM</t>
  </si>
  <si>
    <t>2004-0258-VNM</t>
  </si>
  <si>
    <t>2004-0580-VNM</t>
  </si>
  <si>
    <t>2005-9277-VNM</t>
  </si>
  <si>
    <t>2005-0315-VNM</t>
  </si>
  <si>
    <t>2005-0584-VNM</t>
  </si>
  <si>
    <t>2005-0628-VNM</t>
  </si>
  <si>
    <t>2005-0694-VNM</t>
  </si>
  <si>
    <t>2005-0822-VNM</t>
  </si>
  <si>
    <t>2005-0476-VNM</t>
  </si>
  <si>
    <t>2005-0536-VNM</t>
  </si>
  <si>
    <t>2005-0540-VNM</t>
  </si>
  <si>
    <t>2005-0611-VNM</t>
  </si>
  <si>
    <t>2006-0366-VNM</t>
  </si>
  <si>
    <t>2006-0429-VNM</t>
  </si>
  <si>
    <t>2006-0446-VNM</t>
  </si>
  <si>
    <t>2006-0451-VNM</t>
  </si>
  <si>
    <t>2006-0736-VNM</t>
  </si>
  <si>
    <t>2006-0211-VNM</t>
  </si>
  <si>
    <t>2006-0251-VNM</t>
  </si>
  <si>
    <t>2006-0362-VNM</t>
  </si>
  <si>
    <t>2006-0517-VNM</t>
  </si>
  <si>
    <t>2006-0648-VNM</t>
  </si>
  <si>
    <t>2006-0659-VNM</t>
  </si>
  <si>
    <t>2007-0323-VNM</t>
  </si>
  <si>
    <t>2007-0512-VNM</t>
  </si>
  <si>
    <t>2007-0522-VNM</t>
  </si>
  <si>
    <t>2007-0531-VNM</t>
  </si>
  <si>
    <t>2007-0558-VNM</t>
  </si>
  <si>
    <t>2007-0463-VNM</t>
  </si>
  <si>
    <t>2008-0262-VNM</t>
  </si>
  <si>
    <t>2008-0373-VNM</t>
  </si>
  <si>
    <t>2008-0481-VNM</t>
  </si>
  <si>
    <t>2008-0501-VNM</t>
  </si>
  <si>
    <t>2008-0607-VNM</t>
  </si>
  <si>
    <t>2008-0329-VNM</t>
  </si>
  <si>
    <t>2008-0426-VNM</t>
  </si>
  <si>
    <t>2008-0437-VNM</t>
  </si>
  <si>
    <t>2008-0540-VNM</t>
  </si>
  <si>
    <t>2008-0552-VNM</t>
  </si>
  <si>
    <t>2009-0247-VNM</t>
  </si>
  <si>
    <t>2009-0611-VNM</t>
  </si>
  <si>
    <t>2009-0414-VNM</t>
  </si>
  <si>
    <t>2009-0422-VNM</t>
  </si>
  <si>
    <t>2009-0478-VNM</t>
  </si>
  <si>
    <t>2010-0515-VNM</t>
  </si>
  <si>
    <t>2010-0539-VNM</t>
  </si>
  <si>
    <t>2010-0573-VNM</t>
  </si>
  <si>
    <t>2010-0597-VNM</t>
  </si>
  <si>
    <t>2010-0308-VNM</t>
  </si>
  <si>
    <t>2010-0332-VNM</t>
  </si>
  <si>
    <t>2010-0432-VNM</t>
  </si>
  <si>
    <t>2011-0359-VNM</t>
  </si>
  <si>
    <t>2011-0394-VNM</t>
  </si>
  <si>
    <t>2011-0396-VNM</t>
  </si>
  <si>
    <t>2011-0232-VNM</t>
  </si>
  <si>
    <t>2011-0576-VNM</t>
  </si>
  <si>
    <t>2012-0351-VNM</t>
  </si>
  <si>
    <t>2012-0259-VNM</t>
  </si>
  <si>
    <t>2012-0294-VNM</t>
  </si>
  <si>
    <t>2012-0406-VNM</t>
  </si>
  <si>
    <t>2013-0266-VNM</t>
  </si>
  <si>
    <t>2013-0333-VNM</t>
  </si>
  <si>
    <t>2013-0380-VNM</t>
  </si>
  <si>
    <t>2013-0412-VNM</t>
  </si>
  <si>
    <t>2013-0417-VNM</t>
  </si>
  <si>
    <t>2013-0443-VNM</t>
  </si>
  <si>
    <t>2013-0341-VNM</t>
  </si>
  <si>
    <t>2013-0419-VNM</t>
  </si>
  <si>
    <t>2013-0430-VNM</t>
  </si>
  <si>
    <t>2013-0433-VNM</t>
  </si>
  <si>
    <t>2014-0227-VNM</t>
  </si>
  <si>
    <t>2014-0390-VNM</t>
  </si>
  <si>
    <t>2014-0474-VNM</t>
  </si>
  <si>
    <t>2015-9617-VNM</t>
  </si>
  <si>
    <t>2015-0292-VNM</t>
  </si>
  <si>
    <t>2015-0460-VNM</t>
  </si>
  <si>
    <t>2015-0252-VNM</t>
  </si>
  <si>
    <t>2015-0620-VNM</t>
  </si>
  <si>
    <t>2016-0400-VNM</t>
  </si>
  <si>
    <t>2016-0497-VNM</t>
  </si>
  <si>
    <t>2016-0517-VNM</t>
  </si>
  <si>
    <t>2016-0573-VNM</t>
  </si>
  <si>
    <t>2016-0268-VNM</t>
  </si>
  <si>
    <t>2016-0362-VNM</t>
  </si>
  <si>
    <t>2016-0371-VNM</t>
  </si>
  <si>
    <t>2016-0379-VNM</t>
  </si>
  <si>
    <t>2017-0259-VNM</t>
  </si>
  <si>
    <t>2017-0270-VNM</t>
  </si>
  <si>
    <t>2017-0337-VNM</t>
  </si>
  <si>
    <t>2017-0428-VNM</t>
  </si>
  <si>
    <t>2017-0492-VNM</t>
  </si>
  <si>
    <t>2017-0281-VNM</t>
  </si>
  <si>
    <t>2017-0352-VNM</t>
  </si>
  <si>
    <t>2017-0406-VNM</t>
  </si>
  <si>
    <t>2017-0422-VNM</t>
  </si>
  <si>
    <t>2018-0204-VNM</t>
  </si>
  <si>
    <t>2018-0369-VNM</t>
  </si>
  <si>
    <t>2018-0448-VNM</t>
  </si>
  <si>
    <t>2018-0201-VNM</t>
  </si>
  <si>
    <t>2018-0227-VNM</t>
  </si>
  <si>
    <t>2018-0305-VNM</t>
  </si>
  <si>
    <t>2018-0484-VNM</t>
  </si>
  <si>
    <t>2019-9359-VNM</t>
  </si>
  <si>
    <t>2019-0265-VNM</t>
  </si>
  <si>
    <t>2019-0380-VNM</t>
  </si>
  <si>
    <t>2019-0393-VNM</t>
  </si>
  <si>
    <t>2019-0419-VNM</t>
  </si>
  <si>
    <t>2019-0482-VNM</t>
  </si>
  <si>
    <t>2019-0534-VNM</t>
  </si>
  <si>
    <t>2019-0549-VNM</t>
  </si>
  <si>
    <t>2020-0328-VNM</t>
  </si>
  <si>
    <t>2020-0088-VNM</t>
  </si>
  <si>
    <t>2020-0165-VNM</t>
  </si>
  <si>
    <t>2020-0307-VNM</t>
  </si>
  <si>
    <t>2020-0411-VNM</t>
  </si>
  <si>
    <t>2020-0425-VNM</t>
  </si>
  <si>
    <t>2020-0462-VNM</t>
  </si>
  <si>
    <t>2020-0470-VNM</t>
  </si>
  <si>
    <t>2020-0501-VNM</t>
  </si>
  <si>
    <t>2020-0542-VNM</t>
  </si>
  <si>
    <t>2020-0558-VNM</t>
  </si>
  <si>
    <t>2021-0217-VNM</t>
  </si>
  <si>
    <t>2021-0632-VNM</t>
  </si>
  <si>
    <t>2021-0763-VNM</t>
  </si>
  <si>
    <t>2021-0171-VNM</t>
  </si>
  <si>
    <t>2021-0327-VNM</t>
  </si>
  <si>
    <t>2021-0595-VNM</t>
  </si>
  <si>
    <t>2021-0698-VNM</t>
  </si>
  <si>
    <t>2021-0813-VNM</t>
  </si>
  <si>
    <t>2022-0172-VNM</t>
  </si>
  <si>
    <t>2022-0320-VNM</t>
  </si>
  <si>
    <t>2022-0515-VNM</t>
  </si>
  <si>
    <t>2022-0667-VNM</t>
  </si>
  <si>
    <t>2022-0795-VNM</t>
  </si>
  <si>
    <t>2022-0292-VNM</t>
  </si>
  <si>
    <t>2022-0613-VNM</t>
  </si>
  <si>
    <t>2022-0676-VNM</t>
  </si>
  <si>
    <t>2023-0263-VNM</t>
  </si>
  <si>
    <t>2023-0488-VNM</t>
  </si>
  <si>
    <t>2023-0518-VNM</t>
  </si>
  <si>
    <t>2023-0635-VNM</t>
  </si>
  <si>
    <t>2023-0450-VNM</t>
  </si>
  <si>
    <t>2023-0754-VNM</t>
  </si>
  <si>
    <t>2024-9277-VNM</t>
  </si>
  <si>
    <t>2024-0358-VNM</t>
  </si>
  <si>
    <t>2024-0272-VNM</t>
  </si>
  <si>
    <t>2024-0291-VNM</t>
  </si>
  <si>
    <t>2024-0393-VNM</t>
  </si>
  <si>
    <t>2024-0654-VNM</t>
  </si>
  <si>
    <t>2024-0695-VNM</t>
  </si>
  <si>
    <t>2024-0777-VNM</t>
  </si>
  <si>
    <t>2001-0402-YEM</t>
  </si>
  <si>
    <t>2001-0246-YEM</t>
  </si>
  <si>
    <t>2001-0434-YEM</t>
  </si>
  <si>
    <t>2002-0213-YEM</t>
  </si>
  <si>
    <t>2002-0410-YEM</t>
  </si>
  <si>
    <t>2002-0454-YEM</t>
  </si>
  <si>
    <t>2002-0576-YEM</t>
  </si>
  <si>
    <t>2003-0301-YEM</t>
  </si>
  <si>
    <t>2005-0222-YEM</t>
  </si>
  <si>
    <t>2005-0737-YEM</t>
  </si>
  <si>
    <t>2006-0095-YEM</t>
  </si>
  <si>
    <t>2006-0165-YEM</t>
  </si>
  <si>
    <t>2007-0024-YEM</t>
  </si>
  <si>
    <t>2007-0103-YEM</t>
  </si>
  <si>
    <t>2007-0406-YEM</t>
  </si>
  <si>
    <t>2008-0499-YEM</t>
  </si>
  <si>
    <t>2010-0183-YEM</t>
  </si>
  <si>
    <t>2010-0320-YEM</t>
  </si>
  <si>
    <t>2013-0319-YEM</t>
  </si>
  <si>
    <t>2015-0484-YEM</t>
  </si>
  <si>
    <t>2015-0494-YEM</t>
  </si>
  <si>
    <t>2016-0120-YEM</t>
  </si>
  <si>
    <t>2017-0365-YEM</t>
  </si>
  <si>
    <t>2018-0177-YEM</t>
  </si>
  <si>
    <t>2018-0394-YEM</t>
  </si>
  <si>
    <t>2019-0213-YEM</t>
  </si>
  <si>
    <t>2019-0252-YEM</t>
  </si>
  <si>
    <t>2019-0461-YEM</t>
  </si>
  <si>
    <t>2020-0108-YEM</t>
  </si>
  <si>
    <t>2020-0168-YEM</t>
  </si>
  <si>
    <t>2020-0216-YEM</t>
  </si>
  <si>
    <t>2020-0596-YEM</t>
  </si>
  <si>
    <t>2021-0270-YEM</t>
  </si>
  <si>
    <t>2021-0449-YEM</t>
  </si>
  <si>
    <t>2022-0444-YEM</t>
  </si>
  <si>
    <t>2022-0456-YEM</t>
  </si>
  <si>
    <t>2022-0501-YEM</t>
  </si>
  <si>
    <t>2023-0384-YEM</t>
  </si>
  <si>
    <t>2023-0685-YEM</t>
  </si>
  <si>
    <t>2024-0282-YEM</t>
  </si>
  <si>
    <t>2024-0580-YEM</t>
  </si>
  <si>
    <t>2024-0649-YEM</t>
  </si>
  <si>
    <t>2024-0845-YEM</t>
  </si>
  <si>
    <t>Storm</t>
  </si>
  <si>
    <t>Row Labels</t>
  </si>
  <si>
    <t>Grand Total</t>
  </si>
  <si>
    <t>Sum of Sum of Total affected</t>
  </si>
  <si>
    <t>Sum of Sum of Total Damage</t>
  </si>
  <si>
    <t>Old Total Affected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</si>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</sst>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3" fontId="0" fillId="0" borderId="0" xfId="1" applyFont="1"/>
    <xf numFmtId="165" fontId="0" fillId="0" borderId="0" xfId="0" applyNumberFormat="1"/>
    <xf numFmtId="166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McIlwaine" refreshedDate="45782.774913425928" createdVersion="8" refreshedVersion="8" minRefreshableVersion="3" recordCount="2640" xr:uid="{7C85CF25-A22D-4EAE-9BFE-9027F394FB9E}">
  <cacheSource type="worksheet">
    <worksheetSource ref="A1:F2641" sheet="emdat_country_occ"/>
  </cacheSource>
  <cacheFields count="6">
    <cacheField name="id" numFmtId="0">
      <sharedItems/>
    </cacheField>
    <cacheField name="Country" numFmtId="0">
      <sharedItems count="37">
        <s v="Afghanistan"/>
        <s v="Algeria"/>
        <s v="Angola"/>
        <s v="Azerbaijan"/>
        <s v="Bangladesh"/>
        <s v="Bosnia and Herzegovina"/>
        <s v="Bulgaria"/>
        <s v="Costa Rica"/>
        <s v="Djibouti"/>
        <s v="El Salvador"/>
        <s v="Ethiopia"/>
        <s v="Guatemala"/>
        <s v="Haiti"/>
        <s v="Honduras"/>
        <s v="India"/>
        <s v="Indonesia"/>
        <s v="Iran (Islamic Republic of)"/>
        <s v="Jamaica"/>
        <s v="Kenya"/>
        <s v="Kyrgyzstan"/>
        <s v="Madagascar"/>
        <s v="Mexico"/>
        <s v="Morocco"/>
        <s v="Mozambique"/>
        <s v="Myanmar"/>
        <s v="Namibia"/>
        <s v="Nepal"/>
        <s v="Nicaragua"/>
        <s v="Pakistan"/>
        <s v="Peru"/>
        <s v="Romania"/>
        <s v="Somalia"/>
        <s v="South Africa"/>
        <s v="Sri Lanka"/>
        <s v="Tajikistan"/>
        <s v="Viet Nam"/>
        <s v="Yemen"/>
      </sharedItems>
    </cacheField>
    <cacheField name="Year" numFmtId="0">
      <sharedItems containsSemiMixedTypes="0" containsString="0" containsNumber="1" containsInteger="1" minValue="2001" maxValue="2024"/>
    </cacheField>
    <cacheField name="Type of event" numFmtId="0">
      <sharedItems/>
    </cacheField>
    <cacheField name="Sum of Total affected" numFmtId="0">
      <sharedItems containsSemiMixedTypes="0" containsString="0" containsNumber="1" containsInteger="1" minValue="0" maxValue="330000000" count="1482">
        <n v="270"/>
        <n v="3513"/>
        <n v="91228"/>
        <n v="6150"/>
        <n v="120"/>
        <n v="4225"/>
        <n v="1200"/>
        <n v="0"/>
        <n v="1001"/>
        <n v="2000"/>
        <n v="1000"/>
        <n v="400"/>
        <n v="100"/>
        <n v="250"/>
        <n v="3"/>
        <n v="1040"/>
        <n v="2500"/>
        <n v="501"/>
        <n v="1500"/>
        <n v="11003"/>
        <n v="500"/>
        <n v="5040"/>
        <n v="150"/>
        <n v="125"/>
        <n v="22656"/>
        <n v="1900000"/>
        <n v="935"/>
        <n v="5025"/>
        <n v="615"/>
        <n v="1735"/>
        <n v="8000"/>
        <n v="20"/>
        <n v="17580"/>
        <n v="20000"/>
        <n v="2950"/>
        <n v="645"/>
        <n v="4000"/>
        <n v="160"/>
        <n v="280000"/>
        <n v="1180"/>
        <n v="3309"/>
        <n v="60016"/>
        <n v="1070"/>
        <n v="40000"/>
        <n v="5000"/>
        <n v="1750000"/>
        <n v="3065"/>
        <n v="9745"/>
        <n v="5"/>
        <n v="3548"/>
        <n v="230"/>
        <n v="27769"/>
        <n v="13151"/>
        <n v="4300"/>
        <n v="5700"/>
        <n v="3531"/>
        <n v="9500"/>
        <n v="2597"/>
        <n v="140100"/>
        <n v="1955"/>
        <n v="92725"/>
        <n v="407"/>
        <n v="3010"/>
        <n v="1822"/>
        <n v="9055"/>
        <n v="13500000"/>
        <n v="129100"/>
        <n v="1281"/>
        <n v="561"/>
        <n v="18031"/>
        <n v="5500"/>
        <n v="20445"/>
        <n v="7481"/>
        <n v="11000000"/>
        <n v="30833"/>
        <n v="4200"/>
        <n v="4004"/>
        <n v="364623"/>
        <n v="810"/>
        <n v="14554"/>
        <n v="250024"/>
        <n v="1379"/>
        <n v="3345"/>
        <n v="569240"/>
        <n v="140"/>
        <n v="1525"/>
        <n v="126024"/>
        <n v="3152"/>
        <n v="1920"/>
        <n v="258422"/>
        <n v="39005"/>
        <n v="10005"/>
        <n v="45423"/>
        <n v="2301"/>
        <n v="4"/>
        <n v="210261"/>
        <n v="200"/>
        <n v="50"/>
        <n v="300"/>
        <n v="15"/>
        <n v="27545"/>
        <n v="70"/>
        <n v="1750"/>
        <n v="319"/>
        <n v="60000"/>
        <n v="102"/>
        <n v="1203"/>
        <n v="59050"/>
        <n v="2548"/>
        <n v="793"/>
        <n v="45"/>
        <n v="56"/>
        <n v="420"/>
        <n v="35000"/>
        <n v="15000"/>
        <n v="1668"/>
        <n v="11000"/>
        <n v="39928"/>
        <n v="600"/>
        <n v="225"/>
        <n v="25000"/>
        <n v="331700"/>
        <n v="10000"/>
        <n v="6000"/>
        <n v="81400"/>
        <n v="415"/>
        <n v="220000"/>
        <n v="4650"/>
        <n v="110886"/>
        <n v="75000"/>
        <n v="3895"/>
        <n v="65084"/>
        <n v="20100"/>
        <n v="1833900"/>
        <n v="2755"/>
        <n v="5600"/>
        <n v="1544"/>
        <n v="1420000"/>
        <n v="30250"/>
        <n v="3000"/>
        <n v="4255"/>
        <n v="1075"/>
        <n v="11190"/>
        <n v="1643316"/>
        <n v="10600"/>
        <n v="1770"/>
        <n v="8167"/>
        <n v="44450"/>
        <n v="26460"/>
        <n v="2800000"/>
        <n v="31500"/>
        <n v="70000"/>
        <n v="15550"/>
        <n v="6949"/>
        <n v="500000"/>
        <n v="200000"/>
        <n v="25450"/>
        <n v="1500000"/>
        <n v="100400"/>
        <n v="2525"/>
        <n v="50000"/>
        <n v="36000000"/>
        <n v="600000"/>
        <n v="271700"/>
        <n v="13000"/>
        <n v="4050"/>
        <n v="1100"/>
        <n v="1000000"/>
        <n v="100000"/>
        <n v="11500"/>
        <n v="10500"/>
        <n v="6"/>
        <n v="12000"/>
        <n v="76000"/>
        <n v="135775"/>
        <n v="5899"/>
        <n v="9135"/>
        <n v="1465"/>
        <n v="80060"/>
        <n v="13771380"/>
        <n v="8978541"/>
        <n v="20002"/>
        <n v="615638"/>
        <n v="19209"/>
        <n v="3935341"/>
        <n v="247110"/>
        <n v="1570559"/>
        <n v="121"/>
        <n v="5148475"/>
        <n v="250000"/>
        <n v="55121"/>
        <n v="129558"/>
        <n v="8543"/>
        <n v="25020"/>
        <n v="1498644"/>
        <n v="2800447"/>
        <n v="400000"/>
        <n v="4012"/>
        <n v="1250"/>
        <n v="1401901"/>
        <n v="20200"/>
        <n v="2600000"/>
        <n v="40050"/>
        <n v="1203555"/>
        <n v="86025"/>
        <n v="8000000"/>
        <n v="3300012"/>
        <n v="14000"/>
        <n v="7600000"/>
        <n v="10045"/>
        <n v="251506"/>
        <n v="5448271"/>
        <n v="268744"/>
        <n v="1300000"/>
        <n v="7200000"/>
        <n v="1000006"/>
        <n v="750012"/>
        <n v="5130000"/>
        <n v="5820000"/>
        <n v="238931"/>
        <n v="4590013"/>
        <n v="9000"/>
        <n v="62575"/>
        <n v="275000"/>
        <n v="3100"/>
        <n v="2630"/>
        <n v="14910"/>
        <n v="159"/>
        <n v="1052"/>
        <n v="527"/>
        <n v="10"/>
        <n v="60"/>
        <n v="90"/>
        <n v="210"/>
        <n v="37950"/>
        <n v="1260"/>
        <n v="7247"/>
        <n v="40"/>
        <n v="25"/>
        <n v="10937"/>
        <n v="36"/>
        <n v="1437"/>
        <n v="75040"/>
        <n v="135"/>
        <n v="280"/>
        <n v="2056"/>
        <n v="2143"/>
        <n v="855"/>
        <n v="1074"/>
        <n v="12500"/>
        <n v="9498"/>
        <n v="92000"/>
        <n v="53000"/>
        <n v="55000"/>
        <n v="128618"/>
        <n v="106"/>
        <n v="46695"/>
        <n v="762"/>
        <n v="9523"/>
        <n v="9666"/>
        <n v="125190"/>
        <n v="300000"/>
        <n v="1098668"/>
        <n v="3418"/>
        <n v="150000"/>
        <n v="42750"/>
        <n v="340000"/>
        <n v="200258"/>
        <n v="110000"/>
        <n v="192168"/>
        <n v="1334529"/>
        <n v="256021"/>
        <n v="751"/>
        <n v="2332"/>
        <n v="72141"/>
        <n v="16470"/>
        <n v="2800"/>
        <n v="90000"/>
        <n v="11253"/>
        <n v="700000"/>
        <n v="584"/>
        <n v="386610"/>
        <n v="2499"/>
        <n v="7099"/>
        <n v="149840"/>
        <n v="9273"/>
        <n v="8570"/>
        <n v="480"/>
        <n v="31000"/>
        <n v="12600000"/>
        <n v="235418"/>
        <n v="7000"/>
        <n v="10096"/>
        <n v="450"/>
        <n v="38000"/>
        <n v="361600"/>
        <n v="5800"/>
        <n v="239586"/>
        <n v="6400000"/>
        <n v="845"/>
        <n v="91764"/>
        <n v="23831"/>
        <n v="6200000"/>
        <n v="55700"/>
        <n v="4805679"/>
        <n v="40200"/>
        <n v="51500"/>
        <n v="10200000"/>
        <n v="210600"/>
        <n v="3080"/>
        <n v="490000"/>
        <n v="219000"/>
        <n v="1010854"/>
        <n v="6800000"/>
        <n v="24100000"/>
        <n v="264831"/>
        <n v="240000"/>
        <n v="181548"/>
        <n v="113596"/>
        <n v="152"/>
        <n v="6446"/>
        <n v="98740"/>
        <n v="475314"/>
        <n v="656"/>
        <n v="1440"/>
        <n v="3905"/>
        <n v="17300"/>
        <n v="180000"/>
        <n v="2500000"/>
        <n v="10800"/>
        <n v="3270"/>
        <n v="397962"/>
        <n v="2180"/>
        <n v="6075"/>
        <n v="528753"/>
        <n v="266485"/>
        <n v="1321742"/>
        <n v="572"/>
        <n v="94783"/>
        <n v="87500"/>
        <n v="8291"/>
        <n v="56845"/>
        <n v="55"/>
        <n v="3601"/>
        <n v="10080"/>
        <n v="31319"/>
        <n v="3175"/>
        <n v="76845"/>
        <n v="63453"/>
        <n v="16000"/>
        <n v="4070"/>
        <n v="306886"/>
        <n v="2415888"/>
        <n v="131298"/>
        <n v="2245"/>
        <n v="10572"/>
        <n v="11799"/>
        <n v="31302"/>
        <n v="2890023"/>
        <n v="457311"/>
        <n v="4400005"/>
        <n v="606115"/>
        <n v="14400"/>
        <n v="50240"/>
        <n v="5081"/>
        <n v="38339"/>
        <n v="12070"/>
        <n v="320"/>
        <n v="155"/>
        <n v="31283"/>
        <n v="6500"/>
        <n v="315594"/>
        <n v="83"/>
        <n v="15036"/>
        <n v="750"/>
        <n v="2192"/>
        <n v="20010"/>
        <n v="4690"/>
        <n v="15014"/>
        <n v="75947"/>
        <n v="3966"/>
        <n v="108763"/>
        <n v="2352"/>
        <n v="220"/>
        <n v="73006"/>
        <n v="48000"/>
        <n v="125050"/>
        <n v="9910"/>
        <n v="296"/>
        <n v="3700000"/>
        <n v="2"/>
        <n v="22085"/>
        <n v="73122"/>
        <n v="5020"/>
        <n v="2358"/>
        <n v="2080"/>
        <n v="7600"/>
        <n v="7865"/>
        <n v="8007"/>
        <n v="201850"/>
        <n v="33265"/>
        <n v="30000"/>
        <n v="45000"/>
        <n v="1969"/>
        <n v="3600000"/>
        <n v="48280"/>
        <n v="22070"/>
        <n v="18373"/>
        <n v="2782"/>
        <n v="2100439"/>
        <n v="342"/>
        <n v="40092"/>
        <n v="39336"/>
        <n v="3108"/>
        <n v="1325"/>
        <n v="44175"/>
        <n v="702763"/>
        <n v="13380"/>
        <n v="1017"/>
        <n v="225143"/>
        <n v="17790"/>
        <n v="155025"/>
        <n v="1015"/>
        <n v="195000"/>
        <n v="86321"/>
        <n v="969"/>
        <n v="1720"/>
        <n v="105"/>
        <n v="137500"/>
        <n v="800"/>
        <n v="2869"/>
        <n v="1883"/>
        <n v="19500"/>
        <n v="313357"/>
        <n v="50136"/>
        <n v="1610"/>
        <n v="3400"/>
        <n v="24675"/>
        <n v="69798"/>
        <n v="125000"/>
        <n v="2023000"/>
        <n v="450000"/>
        <n v="151"/>
        <n v="46975"/>
        <n v="360000"/>
        <n v="6948"/>
        <n v="17700"/>
        <n v="4566584"/>
        <n v="578000"/>
        <n v="1800"/>
        <n v="76657"/>
        <n v="144000"/>
        <n v="10300"/>
        <n v="46658"/>
        <n v="127716"/>
        <n v="6321812"/>
        <n v="9670000"/>
        <n v="7000000"/>
        <n v="27000"/>
        <n v="300000000"/>
        <n v="42000000"/>
        <n v="5050"/>
        <n v="10200"/>
        <n v="4550000"/>
        <n v="14500"/>
        <n v="3000000"/>
        <n v="30"/>
        <n v="485910"/>
        <n v="4600"/>
        <n v="460"/>
        <n v="654512"/>
        <n v="33000000"/>
        <n v="156622"/>
        <n v="12"/>
        <n v="405000"/>
        <n v="1908000"/>
        <n v="49000"/>
        <n v="20000055"/>
        <n v="800000"/>
        <n v="2504"/>
        <n v="550000"/>
        <n v="2250000"/>
        <n v="2000000"/>
        <n v="7550"/>
        <n v="61000"/>
        <n v="504000"/>
        <n v="8400"/>
        <n v="4000065"/>
        <n v="225000"/>
        <n v="113"/>
        <n v="150300"/>
        <n v="63000"/>
        <n v="18700000"/>
        <n v="11100000"/>
        <n v="8"/>
        <n v="10278"/>
        <n v="7900000"/>
        <n v="2400000"/>
        <n v="803740"/>
        <n v="1886000"/>
        <n v="4100000"/>
        <n v="9050"/>
        <n v="5100000"/>
        <n v="23"/>
        <n v="12725"/>
        <n v="3267183"/>
        <n v="2030"/>
        <n v="575200"/>
        <n v="3443989"/>
        <n v="5549080"/>
        <n v="2100000"/>
        <n v="2200000"/>
        <n v="37500"/>
        <n v="9460"/>
        <n v="59350"/>
        <n v="504473"/>
        <n v="375000"/>
        <n v="13230000"/>
        <n v="18500"/>
        <n v="179000"/>
        <n v="650000"/>
        <n v="9610"/>
        <n v="26"/>
        <n v="920000"/>
        <n v="1928"/>
        <n v="330000000"/>
        <n v="560"/>
        <n v="2122"/>
        <n v="13709887"/>
        <n v="18000"/>
        <n v="787000"/>
        <n v="85250"/>
        <n v="1801000"/>
        <n v="125100"/>
        <n v="10808"/>
        <n v="1600000"/>
        <n v="1735000"/>
        <n v="12831"/>
        <n v="520000"/>
        <n v="17200000"/>
        <n v="2700000"/>
        <n v="1970"/>
        <n v="60020"/>
        <n v="8200000"/>
        <n v="11728"/>
        <n v="4945"/>
        <n v="1545"/>
        <n v="41430"/>
        <n v="23220000"/>
        <n v="3050"/>
        <n v="22050"/>
        <n v="21000"/>
        <n v="300200"/>
        <n v="17500"/>
        <n v="27500"/>
        <n v="20000000"/>
        <n v="130000"/>
        <n v="30002"/>
        <n v="18000000"/>
        <n v="7500"/>
        <n v="7587"/>
        <n v="122"/>
        <n v="850000"/>
        <n v="3950"/>
        <n v="1402"/>
        <n v="74500"/>
        <n v="700153"/>
        <n v="1625000"/>
        <n v="2050"/>
        <n v="1301260"/>
        <n v="95000"/>
        <n v="10250000"/>
        <n v="14"/>
        <n v="4390000"/>
        <n v="1000020"/>
        <n v="1700000"/>
        <n v="8007173"/>
        <n v="22932"/>
        <n v="77000"/>
        <n v="75"/>
        <n v="2109643"/>
        <n v="3810012"/>
        <n v="12512"/>
        <n v="80000"/>
        <n v="3694"/>
        <n v="9082"/>
        <n v="500750"/>
        <n v="780"/>
        <n v="87000"/>
        <n v="2502"/>
        <n v="247"/>
        <n v="3700"/>
        <n v="33000"/>
        <n v="1498"/>
        <n v="350000"/>
        <n v="30040"/>
        <n v="14072"/>
        <n v="507"/>
        <n v="83381"/>
        <n v="12833"/>
        <n v="532898"/>
        <n v="2400"/>
        <n v="1315"/>
        <n v="684"/>
        <n v="105313"/>
        <n v="768"/>
        <n v="12211"/>
        <n v="7811"/>
        <n v="1202"/>
        <n v="3177923"/>
        <n v="35543"/>
        <n v="114"/>
        <n v="17539"/>
        <n v="402"/>
        <n v="29231"/>
        <n v="18250"/>
        <n v="618486"/>
        <n v="137660"/>
        <n v="459567"/>
        <n v="469"/>
        <n v="21800"/>
        <n v="217087"/>
        <n v="11556"/>
        <n v="3389"/>
        <n v="269515"/>
        <n v="625"/>
        <n v="10077"/>
        <n v="89761"/>
        <n v="3500"/>
        <n v="34514"/>
        <n v="118000"/>
        <n v="84420"/>
        <n v="4250"/>
        <n v="3049"/>
        <n v="339792"/>
        <n v="2501798"/>
        <n v="1510"/>
        <n v="1600"/>
        <n v="704"/>
        <n v="11864"/>
        <n v="28500"/>
        <n v="355"/>
        <n v="15007"/>
        <n v="12428"/>
        <n v="95"/>
        <n v="1060"/>
        <n v="54"/>
        <n v="107"/>
        <n v="7883"/>
        <n v="1150"/>
        <n v="15210"/>
        <n v="1045"/>
        <n v="1020"/>
        <n v="3770"/>
        <n v="10060"/>
        <n v="490"/>
        <n v="515"/>
        <n v="55935"/>
        <n v="2738"/>
        <n v="248846"/>
        <n v="58040"/>
        <n v="115000"/>
        <n v="8140"/>
        <n v="23640"/>
        <n v="22500"/>
        <n v="84250"/>
        <n v="13860"/>
        <n v="128182"/>
        <n v="260350"/>
        <n v="275"/>
        <n v="10420"/>
        <n v="12247"/>
        <n v="8259"/>
        <n v="25750"/>
        <n v="368"/>
        <n v="3410"/>
        <n v="86018"/>
        <n v="80313"/>
        <n v="24000"/>
        <n v="1354"/>
        <n v="8920"/>
        <n v="4500"/>
        <n v="19669"/>
        <n v="105000"/>
        <n v="105753"/>
        <n v="8895"/>
        <n v="17410"/>
        <n v="359"/>
        <n v="282420"/>
        <n v="25011"/>
        <n v="2280"/>
        <n v="2035"/>
        <n v="13811"/>
        <n v="102852"/>
        <n v="516927"/>
        <n v="779"/>
        <n v="12001"/>
        <n v="5463"/>
        <n v="1763"/>
        <n v="1295"/>
        <n v="11804"/>
        <n v="2104"/>
        <n v="247418"/>
        <n v="2650"/>
        <n v="168397"/>
        <n v="59540"/>
        <n v="2258"/>
        <n v="13002"/>
        <n v="52000"/>
        <n v="55495"/>
        <n v="9435"/>
        <n v="501110"/>
        <n v="1560"/>
        <n v="7213"/>
        <n v="10905"/>
        <n v="112000"/>
        <n v="84609"/>
        <n v="56488"/>
        <n v="3805"/>
        <n v="1835"/>
        <n v="41837"/>
        <n v="12003"/>
        <n v="23461"/>
        <n v="14534"/>
        <n v="1852"/>
        <n v="18200"/>
        <n v="100653"/>
        <n v="5979"/>
        <n v="4532"/>
        <n v="1737"/>
        <n v="126025"/>
        <n v="25400"/>
        <n v="228650"/>
        <n v="90590"/>
        <n v="1974"/>
        <n v="75506"/>
        <n v="59800"/>
        <n v="6408"/>
        <n v="62900"/>
        <n v="11839"/>
        <n v="79095"/>
        <n v="2226"/>
        <n v="1275"/>
        <n v="11028"/>
        <n v="78738"/>
        <n v="43000"/>
        <n v="509625"/>
        <n v="302"/>
        <n v="15390"/>
        <n v="24903"/>
        <n v="6003"/>
        <n v="2204645"/>
        <n v="14700"/>
        <n v="31800"/>
        <n v="16003"/>
        <n v="17201"/>
        <n v="3126"/>
        <n v="40002"/>
        <n v="203"/>
        <n v="4580"/>
        <n v="196745"/>
        <n v="3210"/>
        <n v="18750000"/>
        <n v="4421"/>
        <n v="2136"/>
        <n v="1120"/>
        <n v="16700"/>
        <n v="517"/>
        <n v="17750"/>
        <n v="653"/>
        <n v="337"/>
        <n v="144522"/>
        <n v="2812"/>
        <n v="2875"/>
        <n v="25502"/>
        <n v="3132"/>
        <n v="51812"/>
        <n v="3337"/>
        <n v="15400"/>
        <n v="10160"/>
        <n v="1300"/>
        <n v="1034"/>
        <n v="1200200"/>
        <n v="20056"/>
        <n v="111300"/>
        <n v="15015"/>
        <n v="1091"/>
        <n v="17525"/>
        <n v="267628"/>
        <n v="725"/>
        <n v="1370"/>
        <n v="498"/>
        <n v="4043"/>
        <n v="110"/>
        <n v="94766"/>
        <n v="21912"/>
        <n v="7006"/>
        <n v="161418"/>
        <n v="185009"/>
        <n v="170"/>
        <n v="20545"/>
        <n v="1280"/>
        <n v="269"/>
        <n v="274"/>
        <n v="104"/>
        <n v="3600"/>
        <n v="61546"/>
        <n v="5523"/>
        <n v="238"/>
        <n v="4350"/>
        <n v="27"/>
        <n v="1620"/>
        <n v="330"/>
        <n v="12250"/>
        <n v="440000"/>
        <n v="2700"/>
        <n v="4030"/>
        <n v="2262"/>
        <n v="209000"/>
        <n v="5042"/>
        <n v="13255"/>
        <n v="716"/>
        <n v="7135"/>
        <n v="2100"/>
        <n v="23084"/>
        <n v="10001076"/>
        <n v="15075"/>
        <n v="196152"/>
        <n v="22"/>
        <n v="2501"/>
        <n v="4900"/>
        <n v="4900000"/>
        <n v="257724"/>
        <n v="3543"/>
        <n v="36588"/>
        <n v="1810"/>
        <n v="2600"/>
        <n v="22300"/>
        <n v="12565"/>
        <n v="20014"/>
        <n v="18001"/>
        <n v="126775"/>
        <n v="41678"/>
        <n v="262404"/>
        <n v="239"/>
        <n v="1050"/>
        <n v="2017"/>
        <n v="258387"/>
        <n v="46000"/>
        <n v="126"/>
        <n v="2296"/>
        <n v="33188"/>
        <n v="2506"/>
        <n v="215850"/>
        <n v="91545"/>
        <n v="160060"/>
        <n v="150008"/>
        <n v="2300000"/>
        <n v="3500000"/>
        <n v="723000"/>
        <n v="651"/>
        <n v="3800000"/>
        <n v="700"/>
        <n v="8658"/>
        <n v="6310"/>
        <n v="30770"/>
        <n v="44850"/>
        <n v="91350"/>
        <n v="141164"/>
        <n v="4300000"/>
        <n v="3750000"/>
        <n v="91692"/>
        <n v="280670"/>
        <n v="100020"/>
        <n v="10780"/>
        <n v="240799"/>
        <n v="3400000"/>
        <n v="211188"/>
        <n v="233339"/>
        <n v="4500000"/>
        <n v="810655"/>
        <n v="139164"/>
        <n v="695497"/>
        <n v="306708"/>
        <n v="15002"/>
        <n v="3970"/>
        <n v="12050"/>
        <n v="9075"/>
        <n v="1197"/>
        <n v="16780"/>
        <n v="103901"/>
        <n v="1900"/>
        <n v="526200"/>
        <n v="23370"/>
        <n v="162086"/>
        <n v="164"/>
        <n v="44290"/>
        <n v="988139"/>
        <n v="58717"/>
        <n v="900"/>
        <n v="7985"/>
        <n v="6212"/>
        <n v="304"/>
        <n v="7313"/>
        <n v="215198"/>
        <n v="720000"/>
        <n v="8613"/>
        <n v="524153"/>
        <n v="62505"/>
        <n v="3376"/>
        <n v="64918"/>
        <n v="192132"/>
        <n v="115215"/>
        <n v="250284"/>
        <n v="85015"/>
        <n v="4598"/>
        <n v="40281"/>
        <n v="1736"/>
        <n v="174007"/>
        <n v="36880"/>
        <n v="1140000"/>
        <n v="1260000"/>
        <n v="434253"/>
        <n v="161318"/>
        <n v="50872"/>
        <n v="20293"/>
        <n v="1680000"/>
        <n v="106846"/>
        <n v="3200"/>
        <n v="1400"/>
        <n v="62114"/>
        <n v="131555"/>
        <n v="112115"/>
        <n v="9900"/>
        <n v="169000"/>
        <n v="4800"/>
        <n v="90870"/>
        <n v="299000"/>
        <n v="25837"/>
        <n v="89469"/>
        <n v="135838"/>
        <n v="3800"/>
        <n v="500030"/>
        <n v="178603"/>
        <n v="3740"/>
        <n v="350"/>
        <n v="1954571"/>
        <n v="240700"/>
        <n v="140000"/>
        <n v="107670"/>
        <n v="13014"/>
        <n v="72000"/>
        <n v="25232"/>
        <n v="170000"/>
        <n v="154000"/>
        <n v="230000"/>
        <n v="190000"/>
        <n v="49011"/>
        <n v="381"/>
        <n v="75135"/>
        <n v="1471"/>
        <n v="2320"/>
        <n v="1200250"/>
        <n v="256000"/>
        <n v="1110"/>
        <n v="3004"/>
        <n v="142"/>
        <n v="24393"/>
        <n v="5100"/>
        <n v="606"/>
        <n v="21951"/>
        <n v="621"/>
        <n v="1503"/>
        <n v="18005"/>
        <n v="17886"/>
        <n v="988000"/>
        <n v="3150"/>
        <n v="3900"/>
        <n v="15017"/>
        <n v="13465"/>
        <n v="7520"/>
        <n v="2006"/>
        <n v="75003"/>
        <n v="117000"/>
        <n v="29"/>
        <n v="1375"/>
        <n v="845674"/>
        <n v="168"/>
        <n v="549326"/>
        <n v="4017"/>
        <n v="119500"/>
        <n v="100003"/>
        <n v="23010"/>
        <n v="1400000"/>
        <n v="18825"/>
        <n v="29012"/>
        <n v="1476"/>
        <n v="285000"/>
        <n v="113535"/>
        <n v="162770"/>
        <n v="220013"/>
        <n v="6925"/>
        <n v="7103"/>
        <n v="460000"/>
        <n v="17000"/>
        <n v="33946"/>
        <n v="65000"/>
        <n v="40042"/>
        <n v="4958"/>
        <n v="75986"/>
        <n v="177645"/>
        <n v="6600"/>
        <n v="165000"/>
        <n v="1700"/>
        <n v="750102"/>
        <n v="77150"/>
        <n v="58066"/>
        <n v="1501500"/>
        <n v="400094"/>
        <n v="8700"/>
        <n v="145000"/>
        <n v="1562771"/>
        <n v="11410"/>
        <n v="481901"/>
        <n v="78271"/>
        <n v="185636"/>
        <n v="23733"/>
        <n v="736123"/>
        <n v="3300000"/>
        <n v="89093"/>
        <n v="1231389"/>
        <n v="93325"/>
        <n v="454839"/>
        <n v="3750"/>
        <n v="15700"/>
        <n v="60106"/>
        <n v="101920"/>
        <n v="61744"/>
        <n v="2420000"/>
        <n v="260049"/>
        <n v="21277"/>
        <n v="35734"/>
        <n v="1486"/>
        <n v="85000"/>
        <n v="73300"/>
        <n v="35400"/>
        <n v="1621703"/>
        <n v="1152"/>
        <n v="377667"/>
        <n v="474560"/>
        <n v="12012"/>
        <n v="87944"/>
        <n v="107520"/>
        <n v="109650"/>
        <n v="63400"/>
        <n v="6200"/>
        <n v="1875"/>
        <n v="27335"/>
        <n v="1200132"/>
        <n v="106792"/>
        <n v="1000048"/>
        <n v="345000"/>
        <n v="650"/>
        <n v="780000"/>
        <n v="580000"/>
        <n v="556000"/>
        <n v="401"/>
        <n v="2190"/>
        <n v="1655000"/>
        <n v="59254"/>
        <n v="800015"/>
        <n v="640706"/>
        <n v="180003"/>
        <n v="303000"/>
        <n v="257786"/>
        <n v="167949"/>
        <n v="1858"/>
        <n v="12503"/>
        <n v="4320"/>
        <n v="184894"/>
        <n v="175"/>
        <n v="5639722"/>
        <n v="2428"/>
        <n v="10551"/>
        <n v="10023"/>
        <n v="1700134"/>
        <n v="1406"/>
        <n v="82541"/>
        <n v="14854"/>
        <n v="117677"/>
        <n v="820"/>
        <n v="2101"/>
        <n v="1010"/>
        <n v="30008"/>
        <n v="511"/>
        <n v="544"/>
        <n v="36273"/>
        <n v="300366"/>
        <n v="1506"/>
        <n v="2734"/>
        <n v="2590178"/>
        <n v="188000"/>
        <n v="24866"/>
        <n v="13546"/>
        <n v="7880"/>
        <n v="5763"/>
        <n v="188726"/>
        <n v="3525"/>
        <n v="10663"/>
        <n v="64"/>
        <n v="6821"/>
        <n v="19897"/>
        <n v="4860"/>
        <n v="71000"/>
        <n v="143018"/>
        <n v="29500"/>
        <n v="14149"/>
        <n v="12281"/>
        <n v="60345"/>
        <n v="10570"/>
        <n v="13715"/>
        <n v="39200"/>
        <n v="900000"/>
        <n v="3012"/>
        <n v="47100"/>
        <n v="914292"/>
        <n v="400179"/>
        <n v="15065"/>
        <n v="140782"/>
        <n v="1266223"/>
        <n v="2557"/>
        <n v="13148"/>
        <n v="5128309"/>
        <n v="7000450"/>
        <n v="460073"/>
        <n v="58020"/>
        <n v="775"/>
        <n v="186"/>
        <n v="1650000"/>
        <n v="75320"/>
        <n v="200012"/>
        <n v="90752"/>
        <n v="20359496"/>
        <n v="5400755"/>
        <n v="5049364"/>
        <n v="15175"/>
        <n v="185749"/>
        <n v="57"/>
        <n v="1497725"/>
        <n v="2530673"/>
        <n v="82"/>
        <n v="502590"/>
        <n v="85"/>
        <n v="5067"/>
        <n v="1572423"/>
        <n v="77"/>
        <n v="410"/>
        <n v="2900"/>
        <n v="4412"/>
        <n v="2960"/>
        <n v="191"/>
        <n v="60650"/>
        <n v="2367"/>
        <n v="4680912"/>
        <n v="130398"/>
        <n v="871"/>
        <n v="4836"/>
        <n v="179"/>
        <n v="1550170"/>
        <n v="1000104"/>
        <n v="64100"/>
        <n v="256"/>
        <n v="97"/>
        <n v="33012865"/>
        <n v="939"/>
        <n v="777"/>
        <n v="198"/>
        <n v="29175"/>
        <n v="89601"/>
        <n v="3232"/>
        <n v="551768"/>
        <n v="17594"/>
        <n v="309"/>
        <n v="349978"/>
        <n v="3965"/>
        <n v="310"/>
        <n v="21500"/>
        <n v="8349"/>
        <n v="2169"/>
        <n v="86682"/>
        <n v="60012"/>
        <n v="5450"/>
        <n v="2505"/>
        <n v="15325"/>
        <n v="658331"/>
        <n v="47714"/>
        <n v="450012"/>
        <n v="236308"/>
        <n v="2681"/>
        <n v="809945"/>
        <n v="4435"/>
        <n v="50029"/>
        <n v="7084"/>
        <n v="180766"/>
        <n v="604"/>
        <n v="83878"/>
        <n v="147405"/>
        <n v="3235"/>
        <n v="11182"/>
        <n v="257"/>
        <n v="376000"/>
        <n v="1800505"/>
        <n v="9319"/>
        <n v="4272"/>
        <n v="8379"/>
        <n v="240"/>
        <n v="6461"/>
        <n v="550"/>
        <n v="1421"/>
        <n v="17912"/>
        <n v="84"/>
        <n v="2595"/>
        <n v="2984"/>
        <n v="141"/>
        <n v="410000"/>
        <n v="124326"/>
        <n v="9063"/>
        <n v="346"/>
        <n v="149"/>
        <n v="10803"/>
        <n v="301"/>
        <n v="14128"/>
        <n v="5102"/>
        <n v="14669"/>
        <n v="30800"/>
        <n v="17071"/>
        <n v="5712"/>
        <n v="960"/>
        <n v="12237"/>
        <n v="5400"/>
        <n v="525"/>
        <n v="137"/>
        <n v="362"/>
        <n v="1161"/>
        <n v="105083"/>
        <n v="155500"/>
        <n v="2012"/>
        <n v="4000000"/>
        <n v="12200"/>
        <n v="142380"/>
        <n v="535624"/>
        <n v="6700000"/>
        <n v="16296"/>
        <n v="228000"/>
        <n v="191000"/>
        <n v="120000"/>
        <n v="7100000"/>
        <n v="4416"/>
        <n v="468000"/>
        <n v="278000"/>
        <n v="2480000"/>
        <n v="226000"/>
        <n v="42356"/>
        <n v="312"/>
        <n v="630"/>
        <n v="66"/>
        <n v="15000000"/>
        <n v="58"/>
        <n v="4160"/>
        <n v="3576"/>
        <n v="200321"/>
        <n v="2773"/>
        <n v="3550"/>
        <n v="1350"/>
        <n v="2870"/>
        <n v="2002"/>
        <n v="7185"/>
        <n v="6900"/>
        <n v="6918"/>
        <n v="518"/>
        <n v="750000"/>
        <n v="12000000"/>
        <n v="8837"/>
        <n v="138"/>
        <n v="187"/>
        <n v="142290"/>
        <n v="204"/>
        <n v="56177"/>
        <n v="1217"/>
        <n v="756"/>
        <n v="46620"/>
        <n v="3090"/>
        <n v="7813"/>
        <n v="13895"/>
        <n v="695000"/>
        <n v="1019306"/>
        <n v="333002"/>
        <n v="121000"/>
        <n v="54323"/>
        <n v="362582"/>
        <n v="606072"/>
        <n v="164193"/>
        <n v="1060324"/>
        <n v="8600"/>
        <n v="35041"/>
        <n v="1800000"/>
        <n v="447021"/>
        <n v="69000"/>
        <n v="56747"/>
        <n v="17214"/>
        <n v="7339"/>
        <n v="104009"/>
        <n v="1100020"/>
        <n v="7309"/>
        <n v="301602"/>
        <n v="879932"/>
        <n v="13197"/>
        <n v="160077"/>
        <n v="153712"/>
        <n v="222091"/>
        <n v="136607"/>
        <n v="8200"/>
        <n v="155009"/>
        <n v="65322"/>
        <n v="167436"/>
        <n v="111665"/>
        <n v="50190"/>
        <n v="43704"/>
        <n v="230004"/>
        <n v="879"/>
        <n v="82391"/>
        <n v="61469"/>
        <n v="5478"/>
        <n v="22338"/>
        <n v="244504"/>
        <n v="910"/>
        <n v="6631"/>
        <n v="34800"/>
        <n v="2003"/>
        <n v="175000"/>
        <n v="235902"/>
        <n v="155761"/>
        <n v="441392"/>
        <n v="830"/>
        <n v="408"/>
        <n v="1713"/>
        <n v="1755"/>
        <n v="180"/>
        <n v="3222"/>
        <n v="1890"/>
        <n v="15427"/>
        <n v="7003"/>
        <n v="17184"/>
        <n v="7840"/>
        <n v="1914"/>
        <n v="6708"/>
        <n v="2130"/>
        <n v="2531"/>
        <n v="5556"/>
        <n v="7438"/>
        <n v="5785"/>
        <n v="7976"/>
        <n v="5401"/>
        <n v="12750"/>
        <n v="5725"/>
        <n v="6750"/>
        <n v="2690"/>
        <n v="25010"/>
        <n v="2205"/>
        <n v="1570270"/>
        <n v="35006"/>
        <n v="117453"/>
        <n v="10003"/>
        <n v="73183"/>
        <n v="1138200"/>
        <n v="291616"/>
        <n v="221774"/>
        <n v="194049"/>
        <n v="5018"/>
        <n v="18"/>
        <n v="905"/>
        <n v="593"/>
        <n v="33800"/>
        <n v="8500"/>
        <n v="337660"/>
        <n v="50020"/>
        <n v="1005"/>
        <n v="1467925"/>
        <n v="1226360"/>
        <n v="416130"/>
        <n v="22000"/>
        <n v="94042"/>
        <n v="685430"/>
        <n v="12004"/>
        <n v="57630"/>
        <n v="58511"/>
        <n v="31680"/>
        <n v="8828"/>
        <n v="2477315"/>
        <n v="500145"/>
        <n v="679825"/>
        <n v="761000"/>
        <n v="39008"/>
        <n v="12400"/>
        <n v="20700"/>
        <n v="461584"/>
        <n v="63"/>
        <n v="17540"/>
        <n v="60479"/>
        <n v="278490"/>
        <n v="2130001"/>
        <n v="5011"/>
        <n v="1835585"/>
        <n v="109754"/>
        <n v="13094"/>
        <n v="36000"/>
        <n v="11325"/>
        <n v="115"/>
        <n v="659615"/>
        <n v="562121"/>
        <n v="206340"/>
        <n v="509"/>
        <n v="191750"/>
        <n v="610000"/>
        <n v="182500"/>
        <n v="11090"/>
        <n v="4104"/>
        <n v="4161"/>
        <n v="40038"/>
        <n v="41500"/>
        <n v="1"/>
        <n v="692012"/>
        <n v="4330000"/>
        <n v="16728"/>
        <n v="96000"/>
        <n v="10028"/>
        <n v="685558"/>
        <n v="265"/>
        <n v="61540"/>
        <n v="36450"/>
        <n v="26255"/>
        <n v="2150"/>
        <n v="2621"/>
        <n v="4652"/>
        <n v="30013"/>
        <n v="70780"/>
        <n v="13603"/>
        <n v="82500"/>
        <n v="226"/>
        <n v="2554"/>
        <n v="10495"/>
        <n v="54412"/>
        <n v="436978"/>
        <n v="6540"/>
        <n v="2175"/>
        <n v="214535"/>
        <n v="266000"/>
        <n v="9628"/>
        <n v="8320"/>
        <n v="2128"/>
        <n v="3601978"/>
        <n v="1850"/>
        <n v="143429"/>
        <n v="715"/>
        <n v="618"/>
        <n v="25064"/>
        <n v="1002"/>
        <n v="49092"/>
        <n v="110065"/>
        <n v="29750"/>
        <n v="15124"/>
        <n v="23129"/>
        <n v="150030"/>
        <n v="215"/>
        <n v="22380"/>
        <n v="205828"/>
        <n v="41000"/>
        <n v="308183"/>
        <n v="90150"/>
        <n v="39123"/>
        <n v="171316"/>
        <n v="655646"/>
      </sharedItems>
    </cacheField>
    <cacheField name="Sum of Total Damage" numFmtId="0">
      <sharedItems containsSemiMixedTypes="0" containsString="0" containsNumber="1" containsInteger="1" minValue="0" maxValue="16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0">
  <r>
    <s v="2001-0233-AFG"/>
    <x v="0"/>
    <n v="2001"/>
    <s v="Earthquake"/>
    <x v="0"/>
    <n v="0"/>
  </r>
  <r>
    <s v="2002-0122-AFG"/>
    <x v="0"/>
    <n v="2002"/>
    <s v="Earthquake"/>
    <x v="1"/>
    <n v="0"/>
  </r>
  <r>
    <s v="2002-0175-AFG"/>
    <x v="0"/>
    <n v="2002"/>
    <s v="Earthquake"/>
    <x v="2"/>
    <n v="0"/>
  </r>
  <r>
    <s v="2002-0208-AFG"/>
    <x v="0"/>
    <n v="2002"/>
    <s v="Earthquake"/>
    <x v="3"/>
    <n v="0"/>
  </r>
  <r>
    <s v="2002-0185-AFG"/>
    <x v="0"/>
    <n v="2002"/>
    <s v="Flood"/>
    <x v="4"/>
    <n v="0"/>
  </r>
  <r>
    <s v="2002-0196-AFG"/>
    <x v="0"/>
    <n v="2002"/>
    <s v="Flood"/>
    <x v="5"/>
    <n v="0"/>
  </r>
  <r>
    <s v="2002-0242-AFG"/>
    <x v="0"/>
    <n v="2002"/>
    <s v="Flood"/>
    <x v="6"/>
    <n v="0"/>
  </r>
  <r>
    <s v="2002-0613-AFG"/>
    <x v="0"/>
    <n v="2002"/>
    <s v="Flood"/>
    <x v="7"/>
    <n v="0"/>
  </r>
  <r>
    <s v="2003-0236-AFG"/>
    <x v="0"/>
    <n v="2003"/>
    <s v="Earthquake"/>
    <x v="8"/>
    <n v="0"/>
  </r>
  <r>
    <s v="2003-0104-AFG"/>
    <x v="0"/>
    <n v="2003"/>
    <s v="Flood"/>
    <x v="7"/>
    <n v="0"/>
  </r>
  <r>
    <s v="2003-0143-AFG"/>
    <x v="0"/>
    <n v="2003"/>
    <s v="Flood"/>
    <x v="9"/>
    <n v="0"/>
  </r>
  <r>
    <s v="2003-0179-AFG"/>
    <x v="0"/>
    <n v="2003"/>
    <s v="Flood"/>
    <x v="10"/>
    <n v="0"/>
  </r>
  <r>
    <s v="2003-0256-AFG"/>
    <x v="0"/>
    <n v="2003"/>
    <s v="Flood"/>
    <x v="11"/>
    <n v="0"/>
  </r>
  <r>
    <s v="2003-0302-AFG"/>
    <x v="0"/>
    <n v="2003"/>
    <s v="Flood"/>
    <x v="12"/>
    <n v="0"/>
  </r>
  <r>
    <s v="2003-0337-AFG"/>
    <x v="0"/>
    <n v="2003"/>
    <s v="Flood"/>
    <x v="13"/>
    <n v="0"/>
  </r>
  <r>
    <s v="2003-0392-AFG"/>
    <x v="0"/>
    <n v="2003"/>
    <s v="Flood"/>
    <x v="14"/>
    <n v="0"/>
  </r>
  <r>
    <s v="2003-0778-AFG"/>
    <x v="0"/>
    <n v="2003"/>
    <s v="Flood"/>
    <x v="7"/>
    <n v="0"/>
  </r>
  <r>
    <s v="2004-0436-AFG"/>
    <x v="0"/>
    <n v="2004"/>
    <s v="Earthquake"/>
    <x v="15"/>
    <n v="0"/>
  </r>
  <r>
    <s v="2004-0022-AFG"/>
    <x v="0"/>
    <n v="2004"/>
    <s v="Flood"/>
    <x v="16"/>
    <n v="0"/>
  </r>
  <r>
    <s v="2004-0349-AFG"/>
    <x v="0"/>
    <n v="2004"/>
    <s v="Flood"/>
    <x v="9"/>
    <n v="0"/>
  </r>
  <r>
    <s v="2005-0575-AFG"/>
    <x v="0"/>
    <n v="2005"/>
    <s v="Earthquake"/>
    <x v="7"/>
    <n v="50"/>
  </r>
  <r>
    <s v="2005-0686-AFG"/>
    <x v="0"/>
    <n v="2005"/>
    <s v="Earthquake"/>
    <x v="17"/>
    <n v="0"/>
  </r>
  <r>
    <s v="2005-0101-AFG"/>
    <x v="0"/>
    <n v="2005"/>
    <s v="Flood"/>
    <x v="18"/>
    <n v="0"/>
  </r>
  <r>
    <s v="2005-0169-AFG"/>
    <x v="0"/>
    <n v="2005"/>
    <s v="Flood"/>
    <x v="19"/>
    <n v="0"/>
  </r>
  <r>
    <s v="2005-0281-AFG"/>
    <x v="0"/>
    <n v="2005"/>
    <s v="Flood"/>
    <x v="20"/>
    <n v="0"/>
  </r>
  <r>
    <s v="2005-0322-AFG"/>
    <x v="0"/>
    <n v="2005"/>
    <s v="Flood"/>
    <x v="21"/>
    <n v="0"/>
  </r>
  <r>
    <s v="2005-0360-AFG"/>
    <x v="0"/>
    <n v="2005"/>
    <s v="Flood"/>
    <x v="7"/>
    <n v="0"/>
  </r>
  <r>
    <s v="2005-0511-AFG"/>
    <x v="0"/>
    <n v="2005"/>
    <s v="Flood"/>
    <x v="7"/>
    <n v="0"/>
  </r>
  <r>
    <s v="2005-0725-AFG"/>
    <x v="0"/>
    <n v="2005"/>
    <s v="Flood"/>
    <x v="22"/>
    <n v="0"/>
  </r>
  <r>
    <s v="2005-0736-AFG"/>
    <x v="0"/>
    <n v="2005"/>
    <s v="Flood"/>
    <x v="23"/>
    <n v="0"/>
  </r>
  <r>
    <s v="2005-0044-AFG"/>
    <x v="0"/>
    <n v="2005"/>
    <s v="Storm"/>
    <x v="24"/>
    <n v="5000"/>
  </r>
  <r>
    <s v="2006-9570-AFG"/>
    <x v="0"/>
    <n v="2006"/>
    <s v="Drought"/>
    <x v="25"/>
    <n v="0"/>
  </r>
  <r>
    <s v="2006-0405-AFG"/>
    <x v="0"/>
    <n v="2006"/>
    <s v="Earthquake"/>
    <x v="26"/>
    <n v="0"/>
  </r>
  <r>
    <s v="2006-0221-AFG"/>
    <x v="0"/>
    <n v="2006"/>
    <s v="Flood"/>
    <x v="27"/>
    <n v="0"/>
  </r>
  <r>
    <s v="2006-0271-AFG"/>
    <x v="0"/>
    <n v="2006"/>
    <s v="Flood"/>
    <x v="28"/>
    <n v="0"/>
  </r>
  <r>
    <s v="2006-0291-AFG"/>
    <x v="0"/>
    <n v="2006"/>
    <s v="Flood"/>
    <x v="29"/>
    <n v="0"/>
  </r>
  <r>
    <s v="2006-0365-AFG"/>
    <x v="0"/>
    <n v="2006"/>
    <s v="Flood"/>
    <x v="7"/>
    <n v="0"/>
  </r>
  <r>
    <s v="2006-0416-AFG"/>
    <x v="0"/>
    <n v="2006"/>
    <s v="Flood"/>
    <x v="30"/>
    <n v="0"/>
  </r>
  <r>
    <s v="2006-0424-AFG"/>
    <x v="0"/>
    <n v="2006"/>
    <s v="Flood"/>
    <x v="31"/>
    <n v="0"/>
  </r>
  <r>
    <s v="2006-0596-AFG"/>
    <x v="0"/>
    <n v="2006"/>
    <s v="Flood"/>
    <x v="32"/>
    <n v="0"/>
  </r>
  <r>
    <s v="2006-0029-AFG"/>
    <x v="0"/>
    <n v="2006"/>
    <s v="Storm"/>
    <x v="7"/>
    <n v="0"/>
  </r>
  <r>
    <s v="2006-0068-AFG"/>
    <x v="0"/>
    <n v="2006"/>
    <s v="Storm"/>
    <x v="7"/>
    <n v="0"/>
  </r>
  <r>
    <s v="2007-0105-AFG"/>
    <x v="0"/>
    <n v="2007"/>
    <s v="Flood"/>
    <x v="33"/>
    <n v="0"/>
  </r>
  <r>
    <s v="2007-0178-AFG"/>
    <x v="0"/>
    <n v="2007"/>
    <s v="Flood"/>
    <x v="34"/>
    <n v="0"/>
  </r>
  <r>
    <s v="2007-0185-AFG"/>
    <x v="0"/>
    <n v="2007"/>
    <s v="Flood"/>
    <x v="35"/>
    <n v="0"/>
  </r>
  <r>
    <s v="2007-0192-AFG"/>
    <x v="0"/>
    <n v="2007"/>
    <s v="Flood"/>
    <x v="7"/>
    <n v="0"/>
  </r>
  <r>
    <s v="2007-0248-AFG"/>
    <x v="0"/>
    <n v="2007"/>
    <s v="Flood"/>
    <x v="36"/>
    <n v="0"/>
  </r>
  <r>
    <s v="2007-0316-AFG"/>
    <x v="0"/>
    <n v="2007"/>
    <s v="Flood"/>
    <x v="16"/>
    <n v="0"/>
  </r>
  <r>
    <s v="2007-0672-AFG"/>
    <x v="0"/>
    <n v="2007"/>
    <s v="Flood"/>
    <x v="37"/>
    <n v="0"/>
  </r>
  <r>
    <s v="2008-9475-AFG"/>
    <x v="0"/>
    <n v="2008"/>
    <s v="Drought"/>
    <x v="38"/>
    <n v="0"/>
  </r>
  <r>
    <s v="2008-0488-AFG"/>
    <x v="0"/>
    <n v="2008"/>
    <s v="Flood"/>
    <x v="39"/>
    <n v="0"/>
  </r>
  <r>
    <s v="2009-0156-AFG"/>
    <x v="0"/>
    <n v="2009"/>
    <s v="Earthquake"/>
    <x v="40"/>
    <n v="0"/>
  </r>
  <r>
    <s v="2009-0139-AFG"/>
    <x v="0"/>
    <n v="2009"/>
    <s v="Flood"/>
    <x v="16"/>
    <n v="0"/>
  </r>
  <r>
    <s v="2009-0168-AFG"/>
    <x v="0"/>
    <n v="2009"/>
    <s v="Flood"/>
    <x v="41"/>
    <n v="20000"/>
  </r>
  <r>
    <s v="2009-0385-AFG"/>
    <x v="0"/>
    <n v="2009"/>
    <s v="Flood"/>
    <x v="7"/>
    <n v="0"/>
  </r>
  <r>
    <s v="2010-0669-AFG"/>
    <x v="0"/>
    <n v="2010"/>
    <s v="Earthquake"/>
    <x v="42"/>
    <n v="0"/>
  </r>
  <r>
    <s v="2010-0176-AFG"/>
    <x v="0"/>
    <n v="2010"/>
    <s v="Flood"/>
    <x v="43"/>
    <n v="0"/>
  </r>
  <r>
    <s v="2010-0367-AFG"/>
    <x v="0"/>
    <n v="2010"/>
    <s v="Flood"/>
    <x v="44"/>
    <n v="0"/>
  </r>
  <r>
    <s v="2011-9312-AFG"/>
    <x v="0"/>
    <n v="2011"/>
    <s v="Drought"/>
    <x v="45"/>
    <n v="142000"/>
  </r>
  <r>
    <s v="2011-0042-AFG"/>
    <x v="0"/>
    <n v="2011"/>
    <s v="Flood"/>
    <x v="46"/>
    <n v="0"/>
  </r>
  <r>
    <s v="2011-0632-AFG"/>
    <x v="0"/>
    <n v="2011"/>
    <s v="Flood"/>
    <x v="47"/>
    <n v="0"/>
  </r>
  <r>
    <s v="2011-0642-AFG"/>
    <x v="0"/>
    <n v="2011"/>
    <s v="Storm"/>
    <x v="48"/>
    <n v="0"/>
  </r>
  <r>
    <s v="2012-0164-AFG"/>
    <x v="0"/>
    <n v="2012"/>
    <s v="Earthquake"/>
    <x v="49"/>
    <n v="0"/>
  </r>
  <r>
    <s v="2012-0102-AFG"/>
    <x v="0"/>
    <n v="2012"/>
    <s v="Flood"/>
    <x v="50"/>
    <n v="0"/>
  </r>
  <r>
    <s v="2012-0143-AFG"/>
    <x v="0"/>
    <n v="2012"/>
    <s v="Flood"/>
    <x v="51"/>
    <n v="0"/>
  </r>
  <r>
    <s v="2012-0154-AFG"/>
    <x v="0"/>
    <n v="2012"/>
    <s v="Flood"/>
    <x v="52"/>
    <n v="0"/>
  </r>
  <r>
    <s v="2012-0183-AFG"/>
    <x v="0"/>
    <n v="2012"/>
    <s v="Flood"/>
    <x v="7"/>
    <n v="0"/>
  </r>
  <r>
    <s v="2012-0226-AFG"/>
    <x v="0"/>
    <n v="2012"/>
    <s v="Flood"/>
    <x v="53"/>
    <n v="0"/>
  </r>
  <r>
    <s v="2012-0573-AFG"/>
    <x v="0"/>
    <n v="2012"/>
    <s v="Flood"/>
    <x v="54"/>
    <n v="0"/>
  </r>
  <r>
    <s v="2013-0151-AFG"/>
    <x v="0"/>
    <n v="2013"/>
    <s v="Earthquake"/>
    <x v="55"/>
    <n v="0"/>
  </r>
  <r>
    <s v="2013-0148-AFG"/>
    <x v="0"/>
    <n v="2013"/>
    <s v="Flood"/>
    <x v="44"/>
    <n v="0"/>
  </r>
  <r>
    <s v="2013-0178-AFG"/>
    <x v="0"/>
    <n v="2013"/>
    <s v="Flood"/>
    <x v="56"/>
    <n v="0"/>
  </r>
  <r>
    <s v="2013-0279-AFG"/>
    <x v="0"/>
    <n v="2013"/>
    <s v="Flood"/>
    <x v="57"/>
    <n v="0"/>
  </r>
  <r>
    <s v="2013-0343-AFG"/>
    <x v="0"/>
    <n v="2013"/>
    <s v="Flood"/>
    <x v="7"/>
    <n v="0"/>
  </r>
  <r>
    <s v="2014-0134-AFG"/>
    <x v="0"/>
    <n v="2014"/>
    <s v="Flood"/>
    <x v="58"/>
    <n v="0"/>
  </r>
  <r>
    <s v="2014-0185-AFG"/>
    <x v="0"/>
    <n v="2014"/>
    <s v="Flood"/>
    <x v="59"/>
    <n v="3000"/>
  </r>
  <r>
    <s v="2014-0084-AFG"/>
    <x v="0"/>
    <n v="2014"/>
    <s v="Storm"/>
    <x v="7"/>
    <n v="0"/>
  </r>
  <r>
    <s v="2015-0476-AFG"/>
    <x v="0"/>
    <n v="2015"/>
    <s v="Earthquake"/>
    <x v="60"/>
    <n v="0"/>
  </r>
  <r>
    <s v="2015-0571-AFG"/>
    <x v="0"/>
    <n v="2015"/>
    <s v="Earthquake"/>
    <x v="61"/>
    <n v="0"/>
  </r>
  <r>
    <s v="2015-0581-AFG"/>
    <x v="0"/>
    <n v="2015"/>
    <s v="Flood"/>
    <x v="62"/>
    <n v="0"/>
  </r>
  <r>
    <s v="2016-0112-AFG"/>
    <x v="0"/>
    <n v="2016"/>
    <s v="Flood"/>
    <x v="7"/>
    <n v="0"/>
  </r>
  <r>
    <s v="2016-0135-AFG"/>
    <x v="0"/>
    <n v="2016"/>
    <s v="Flood"/>
    <x v="7"/>
    <n v="0"/>
  </r>
  <r>
    <s v="2016-0191-AFG"/>
    <x v="0"/>
    <n v="2016"/>
    <s v="Flood"/>
    <x v="7"/>
    <n v="0"/>
  </r>
  <r>
    <s v="2016-0309-AFG"/>
    <x v="0"/>
    <n v="2016"/>
    <s v="Flood"/>
    <x v="7"/>
    <n v="0"/>
  </r>
  <r>
    <s v="2017-0288-AFG"/>
    <x v="0"/>
    <n v="2017"/>
    <s v="Flood"/>
    <x v="63"/>
    <n v="0"/>
  </r>
  <r>
    <s v="2017-0038-AFG"/>
    <x v="0"/>
    <n v="2017"/>
    <s v="Storm"/>
    <x v="7"/>
    <n v="0"/>
  </r>
  <r>
    <s v="2017-0071-AFG"/>
    <x v="0"/>
    <n v="2017"/>
    <s v="Storm"/>
    <x v="64"/>
    <n v="0"/>
  </r>
  <r>
    <s v="2018-9278-AFG"/>
    <x v="0"/>
    <n v="2018"/>
    <s v="Drought"/>
    <x v="65"/>
    <n v="0"/>
  </r>
  <r>
    <s v="2018-0156-AFG"/>
    <x v="0"/>
    <n v="2018"/>
    <s v="Flood"/>
    <x v="36"/>
    <n v="0"/>
  </r>
  <r>
    <s v="2018-0212-AFG"/>
    <x v="0"/>
    <n v="2018"/>
    <s v="Flood"/>
    <x v="7"/>
    <n v="0"/>
  </r>
  <r>
    <s v="2018-0350-AFG"/>
    <x v="0"/>
    <n v="2018"/>
    <s v="Flood"/>
    <x v="7"/>
    <n v="0"/>
  </r>
  <r>
    <s v="2019-0050-AFG"/>
    <x v="0"/>
    <n v="2019"/>
    <s v="Flood"/>
    <x v="7"/>
    <n v="0"/>
  </r>
  <r>
    <s v="2019-0082-AFG"/>
    <x v="0"/>
    <n v="2019"/>
    <s v="Flood"/>
    <x v="66"/>
    <n v="0"/>
  </r>
  <r>
    <s v="2019-0125-AFG"/>
    <x v="0"/>
    <n v="2019"/>
    <s v="Flood"/>
    <x v="7"/>
    <n v="0"/>
  </r>
  <r>
    <s v="2019-0143-AFG"/>
    <x v="0"/>
    <n v="2019"/>
    <s v="Flood"/>
    <x v="67"/>
    <n v="0"/>
  </r>
  <r>
    <s v="2019-0216-AFG"/>
    <x v="0"/>
    <n v="2019"/>
    <s v="Flood"/>
    <x v="7"/>
    <n v="0"/>
  </r>
  <r>
    <s v="2019-0255-AFG"/>
    <x v="0"/>
    <n v="2019"/>
    <s v="Flood"/>
    <x v="68"/>
    <n v="0"/>
  </r>
  <r>
    <s v="2020-0124-AFG"/>
    <x v="0"/>
    <n v="2020"/>
    <s v="Flood"/>
    <x v="69"/>
    <n v="0"/>
  </r>
  <r>
    <s v="2020-0142-AFG"/>
    <x v="0"/>
    <n v="2020"/>
    <s v="Flood"/>
    <x v="7"/>
    <n v="0"/>
  </r>
  <r>
    <s v="2020-0153-AFG"/>
    <x v="0"/>
    <n v="2020"/>
    <s v="Flood"/>
    <x v="70"/>
    <n v="0"/>
  </r>
  <r>
    <s v="2020-0311-AFG"/>
    <x v="0"/>
    <n v="2020"/>
    <s v="Flood"/>
    <x v="12"/>
    <n v="0"/>
  </r>
  <r>
    <s v="2020-0377-AFG"/>
    <x v="0"/>
    <n v="2020"/>
    <s v="Flood"/>
    <x v="71"/>
    <n v="0"/>
  </r>
  <r>
    <s v="2020-0009-AFG"/>
    <x v="0"/>
    <n v="2020"/>
    <s v="Storm"/>
    <x v="72"/>
    <n v="0"/>
  </r>
  <r>
    <s v="2021-9116-AFG"/>
    <x v="0"/>
    <n v="2021"/>
    <s v="Drought"/>
    <x v="73"/>
    <n v="0"/>
  </r>
  <r>
    <s v="2021-0263-AFG"/>
    <x v="0"/>
    <n v="2021"/>
    <s v="Flood"/>
    <x v="74"/>
    <n v="0"/>
  </r>
  <r>
    <s v="2021-0453-AFG"/>
    <x v="0"/>
    <n v="2021"/>
    <s v="Flood"/>
    <x v="75"/>
    <n v="0"/>
  </r>
  <r>
    <s v="2022-0027-AFG"/>
    <x v="0"/>
    <n v="2022"/>
    <s v="Earthquake"/>
    <x v="76"/>
    <n v="0"/>
  </r>
  <r>
    <s v="2022-0342-AFG"/>
    <x v="0"/>
    <n v="2022"/>
    <s v="Earthquake"/>
    <x v="77"/>
    <n v="0"/>
  </r>
  <r>
    <s v="2022-0264-AFG"/>
    <x v="0"/>
    <n v="2022"/>
    <s v="Flood"/>
    <x v="78"/>
    <n v="0"/>
  </r>
  <r>
    <s v="2022-0442-AFG"/>
    <x v="0"/>
    <n v="2022"/>
    <s v="Flood"/>
    <x v="79"/>
    <n v="0"/>
  </r>
  <r>
    <s v="2022-0453-AFG"/>
    <x v="0"/>
    <n v="2022"/>
    <s v="Flood"/>
    <x v="31"/>
    <n v="0"/>
  </r>
  <r>
    <s v="2022-0514-AFG"/>
    <x v="0"/>
    <n v="2022"/>
    <s v="Flood"/>
    <x v="80"/>
    <n v="0"/>
  </r>
  <r>
    <s v="2022-0523-AFG"/>
    <x v="0"/>
    <n v="2022"/>
    <s v="Flood"/>
    <x v="81"/>
    <n v="0"/>
  </r>
  <r>
    <s v="2023-0156-AFG"/>
    <x v="0"/>
    <n v="2023"/>
    <s v="Earthquake"/>
    <x v="82"/>
    <n v="0"/>
  </r>
  <r>
    <s v="2023-0636-AFG"/>
    <x v="0"/>
    <n v="2023"/>
    <s v="Earthquake"/>
    <x v="83"/>
    <n v="0"/>
  </r>
  <r>
    <s v="2023-0660-AFG"/>
    <x v="0"/>
    <n v="2023"/>
    <s v="Earthquake"/>
    <x v="84"/>
    <n v="0"/>
  </r>
  <r>
    <s v="2023-0291-AFG"/>
    <x v="0"/>
    <n v="2023"/>
    <s v="Flood"/>
    <x v="85"/>
    <n v="0"/>
  </r>
  <r>
    <s v="2023-0462-AFG"/>
    <x v="0"/>
    <n v="2023"/>
    <s v="Flood"/>
    <x v="86"/>
    <n v="0"/>
  </r>
  <r>
    <s v="2024-0120-AFG"/>
    <x v="0"/>
    <n v="2024"/>
    <s v="Flood"/>
    <x v="87"/>
    <n v="0"/>
  </r>
  <r>
    <s v="2024-0181-AFG"/>
    <x v="0"/>
    <n v="2024"/>
    <s v="Flood"/>
    <x v="88"/>
    <n v="0"/>
  </r>
  <r>
    <s v="2024-0285-AFG"/>
    <x v="0"/>
    <n v="2024"/>
    <s v="Flood"/>
    <x v="89"/>
    <n v="0"/>
  </r>
  <r>
    <s v="2024-0310-AFG"/>
    <x v="0"/>
    <n v="2024"/>
    <s v="Flood"/>
    <x v="90"/>
    <n v="0"/>
  </r>
  <r>
    <s v="2024-0486-AFG"/>
    <x v="0"/>
    <n v="2024"/>
    <s v="Flood"/>
    <x v="91"/>
    <n v="0"/>
  </r>
  <r>
    <s v="2001-0620-DZA"/>
    <x v="1"/>
    <n v="2001"/>
    <s v="Flood"/>
    <x v="92"/>
    <n v="300000"/>
  </r>
  <r>
    <s v="2002-0540-DZA"/>
    <x v="1"/>
    <n v="2002"/>
    <s v="Flood"/>
    <x v="93"/>
    <n v="1500"/>
  </r>
  <r>
    <s v="2002-0648-DZA"/>
    <x v="1"/>
    <n v="2002"/>
    <s v="Flood"/>
    <x v="94"/>
    <n v="0"/>
  </r>
  <r>
    <s v="2003-0245-DZA"/>
    <x v="1"/>
    <n v="2003"/>
    <s v="Earthquake"/>
    <x v="95"/>
    <n v="5000000"/>
  </r>
  <r>
    <s v="2003-0255-DZA"/>
    <x v="1"/>
    <n v="2003"/>
    <s v="Earthquake"/>
    <x v="96"/>
    <n v="0"/>
  </r>
  <r>
    <s v="2003-0160-DZA"/>
    <x v="1"/>
    <n v="2003"/>
    <s v="Flood"/>
    <x v="97"/>
    <n v="0"/>
  </r>
  <r>
    <s v="2003-0396-DZA"/>
    <x v="1"/>
    <n v="2003"/>
    <s v="Flood"/>
    <x v="7"/>
    <n v="0"/>
  </r>
  <r>
    <s v="2003-0503-DZA"/>
    <x v="1"/>
    <n v="2003"/>
    <s v="Flood"/>
    <x v="7"/>
    <n v="0"/>
  </r>
  <r>
    <s v="2003-0059-DZA"/>
    <x v="1"/>
    <n v="2003"/>
    <s v="Storm"/>
    <x v="7"/>
    <n v="0"/>
  </r>
  <r>
    <s v="2004-0011-DZA"/>
    <x v="1"/>
    <n v="2004"/>
    <s v="Earthquake"/>
    <x v="98"/>
    <n v="0"/>
  </r>
  <r>
    <s v="2004-0620-DZA"/>
    <x v="1"/>
    <n v="2004"/>
    <s v="Earthquake"/>
    <x v="99"/>
    <n v="0"/>
  </r>
  <r>
    <s v="2004-0201-DZA"/>
    <x v="1"/>
    <n v="2004"/>
    <s v="Flood"/>
    <x v="100"/>
    <n v="0"/>
  </r>
  <r>
    <s v="2004-0567-DZA"/>
    <x v="1"/>
    <n v="2004"/>
    <s v="Flood"/>
    <x v="31"/>
    <n v="0"/>
  </r>
  <r>
    <s v="2005-0095-DZA"/>
    <x v="1"/>
    <n v="2005"/>
    <s v="Flood"/>
    <x v="101"/>
    <n v="0"/>
  </r>
  <r>
    <s v="2005-0324-DZA"/>
    <x v="1"/>
    <n v="2005"/>
    <s v="Flood"/>
    <x v="102"/>
    <n v="7256"/>
  </r>
  <r>
    <s v="2005-0078-DZA"/>
    <x v="1"/>
    <n v="2005"/>
    <s v="Storm"/>
    <x v="48"/>
    <n v="0"/>
  </r>
  <r>
    <s v="2006-0149-DZA"/>
    <x v="1"/>
    <n v="2006"/>
    <s v="Earthquake"/>
    <x v="103"/>
    <n v="0"/>
  </r>
  <r>
    <s v="2006-0088-DZA"/>
    <x v="1"/>
    <n v="2006"/>
    <s v="Flood"/>
    <x v="104"/>
    <n v="1200"/>
  </r>
  <r>
    <s v="2007-0116-DZA"/>
    <x v="1"/>
    <n v="2007"/>
    <s v="Flood"/>
    <x v="7"/>
    <n v="0"/>
  </r>
  <r>
    <s v="2007-0141-DZA"/>
    <x v="1"/>
    <n v="2007"/>
    <s v="Flood"/>
    <x v="7"/>
    <n v="13561"/>
  </r>
  <r>
    <s v="2007-0344-DZA"/>
    <x v="1"/>
    <n v="2007"/>
    <s v="Flood"/>
    <x v="7"/>
    <n v="0"/>
  </r>
  <r>
    <s v="2007-0353-DZA"/>
    <x v="1"/>
    <n v="2007"/>
    <s v="Flood"/>
    <x v="105"/>
    <n v="0"/>
  </r>
  <r>
    <s v="2007-0449-DZA"/>
    <x v="1"/>
    <n v="2007"/>
    <s v="Flood"/>
    <x v="7"/>
    <n v="29500"/>
  </r>
  <r>
    <s v="2007-0568-DZA"/>
    <x v="1"/>
    <n v="2007"/>
    <s v="Flood"/>
    <x v="106"/>
    <n v="0"/>
  </r>
  <r>
    <s v="2008-0444-DZA"/>
    <x v="1"/>
    <n v="2008"/>
    <s v="Flood"/>
    <x v="107"/>
    <n v="348000"/>
  </r>
  <r>
    <s v="2009-0019-DZA"/>
    <x v="1"/>
    <n v="2009"/>
    <s v="Flood"/>
    <x v="108"/>
    <n v="0"/>
  </r>
  <r>
    <s v="2009-0394-DZA"/>
    <x v="1"/>
    <n v="2009"/>
    <s v="Flood"/>
    <x v="7"/>
    <n v="0"/>
  </r>
  <r>
    <s v="2011-0408-DZA"/>
    <x v="1"/>
    <n v="2011"/>
    <s v="Flood"/>
    <x v="109"/>
    <n v="779000"/>
  </r>
  <r>
    <s v="2012-0034-DZA"/>
    <x v="1"/>
    <n v="2012"/>
    <s v="Flood"/>
    <x v="110"/>
    <n v="0"/>
  </r>
  <r>
    <s v="2012-0441-DZA"/>
    <x v="1"/>
    <n v="2012"/>
    <s v="Flood"/>
    <x v="111"/>
    <n v="0"/>
  </r>
  <r>
    <s v="2014-0298-DZA"/>
    <x v="1"/>
    <n v="2014"/>
    <s v="Earthquake"/>
    <x v="112"/>
    <n v="0"/>
  </r>
  <r>
    <s v="2015-0437-DZA"/>
    <x v="1"/>
    <n v="2015"/>
    <s v="Flood"/>
    <x v="7"/>
    <n v="0"/>
  </r>
  <r>
    <s v="2015-0482-DZA"/>
    <x v="1"/>
    <n v="2015"/>
    <s v="Flood"/>
    <x v="113"/>
    <n v="0"/>
  </r>
  <r>
    <s v="2018-0162-DZA"/>
    <x v="1"/>
    <n v="2018"/>
    <s v="Flood"/>
    <x v="96"/>
    <n v="0"/>
  </r>
  <r>
    <s v="2020-0579-DZA"/>
    <x v="1"/>
    <n v="2020"/>
    <s v="Earthquake"/>
    <x v="114"/>
    <n v="0"/>
  </r>
  <r>
    <s v="2021-0132-DZA"/>
    <x v="1"/>
    <n v="2021"/>
    <s v="Flood"/>
    <x v="16"/>
    <n v="0"/>
  </r>
  <r>
    <s v="2021-0700-DZA"/>
    <x v="1"/>
    <n v="2021"/>
    <s v="Flood"/>
    <x v="112"/>
    <n v="0"/>
  </r>
  <r>
    <s v="2023-0580-DZA"/>
    <x v="1"/>
    <n v="2023"/>
    <s v="Flood"/>
    <x v="115"/>
    <n v="0"/>
  </r>
  <r>
    <s v="2024-0146-DZA"/>
    <x v="1"/>
    <n v="2024"/>
    <s v="Flood"/>
    <x v="10"/>
    <n v="0"/>
  </r>
  <r>
    <s v="2024-0672-DZA"/>
    <x v="1"/>
    <n v="2024"/>
    <s v="Flood"/>
    <x v="116"/>
    <n v="0"/>
  </r>
  <r>
    <s v="2001-9152-AGO"/>
    <x v="2"/>
    <n v="2001"/>
    <s v="Drought"/>
    <x v="7"/>
    <n v="0"/>
  </r>
  <r>
    <s v="2001-0146-AGO"/>
    <x v="2"/>
    <n v="2001"/>
    <s v="Flood"/>
    <x v="117"/>
    <n v="0"/>
  </r>
  <r>
    <s v="2003-0072-AGO"/>
    <x v="2"/>
    <n v="2003"/>
    <s v="Flood"/>
    <x v="118"/>
    <n v="0"/>
  </r>
  <r>
    <s v="2003-0570-AGO"/>
    <x v="2"/>
    <n v="2003"/>
    <s v="Flood"/>
    <x v="119"/>
    <n v="0"/>
  </r>
  <r>
    <s v="2004-9480-AGO"/>
    <x v="2"/>
    <n v="2004"/>
    <s v="Drought"/>
    <x v="120"/>
    <n v="0"/>
  </r>
  <r>
    <s v="2004-0019-AGO"/>
    <x v="2"/>
    <n v="2004"/>
    <s v="Flood"/>
    <x v="121"/>
    <n v="0"/>
  </r>
  <r>
    <s v="2004-0159-AGO"/>
    <x v="2"/>
    <n v="2004"/>
    <s v="Flood"/>
    <x v="7"/>
    <n v="0"/>
  </r>
  <r>
    <s v="2004-0661-AGO"/>
    <x v="2"/>
    <n v="2004"/>
    <s v="Flood"/>
    <x v="9"/>
    <n v="0"/>
  </r>
  <r>
    <s v="2005-0137-AGO"/>
    <x v="2"/>
    <n v="2005"/>
    <s v="Flood"/>
    <x v="122"/>
    <n v="0"/>
  </r>
  <r>
    <s v="2006-0023-AGO"/>
    <x v="2"/>
    <n v="2006"/>
    <s v="Flood"/>
    <x v="119"/>
    <n v="0"/>
  </r>
  <r>
    <s v="2007-0010-AGO"/>
    <x v="2"/>
    <n v="2007"/>
    <s v="Flood"/>
    <x v="123"/>
    <n v="0"/>
  </r>
  <r>
    <s v="2007-0027-AGO"/>
    <x v="2"/>
    <n v="2007"/>
    <s v="Flood"/>
    <x v="43"/>
    <n v="0"/>
  </r>
  <r>
    <s v="2008-0060-AGO"/>
    <x v="2"/>
    <n v="2008"/>
    <s v="Flood"/>
    <x v="124"/>
    <n v="0"/>
  </r>
  <r>
    <s v="2009-0037-AGO"/>
    <x v="2"/>
    <n v="2009"/>
    <s v="Flood"/>
    <x v="125"/>
    <n v="0"/>
  </r>
  <r>
    <s v="2009-0092-AGO"/>
    <x v="2"/>
    <n v="2009"/>
    <s v="Flood"/>
    <x v="126"/>
    <n v="0"/>
  </r>
  <r>
    <s v="2009-0550-AGO"/>
    <x v="2"/>
    <n v="2009"/>
    <s v="Flood"/>
    <x v="127"/>
    <n v="0"/>
  </r>
  <r>
    <s v="2010-0105-AGO"/>
    <x v="2"/>
    <n v="2010"/>
    <s v="Flood"/>
    <x v="128"/>
    <n v="0"/>
  </r>
  <r>
    <s v="2010-0126-AGO"/>
    <x v="2"/>
    <n v="2010"/>
    <s v="Flood"/>
    <x v="129"/>
    <n v="0"/>
  </r>
  <r>
    <s v="2010-0553-AGO"/>
    <x v="2"/>
    <n v="2010"/>
    <s v="Flood"/>
    <x v="130"/>
    <n v="0"/>
  </r>
  <r>
    <s v="2011-0003-AGO"/>
    <x v="2"/>
    <n v="2011"/>
    <s v="Flood"/>
    <x v="7"/>
    <n v="0"/>
  </r>
  <r>
    <s v="2011-0092-AGO"/>
    <x v="2"/>
    <n v="2011"/>
    <s v="Flood"/>
    <x v="131"/>
    <n v="0"/>
  </r>
  <r>
    <s v="2011-0523-AGO"/>
    <x v="2"/>
    <n v="2011"/>
    <s v="Flood"/>
    <x v="70"/>
    <n v="0"/>
  </r>
  <r>
    <s v="2011-0526-AGO"/>
    <x v="2"/>
    <n v="2011"/>
    <s v="Flood"/>
    <x v="132"/>
    <n v="0"/>
  </r>
  <r>
    <s v="2012-9065-AGO"/>
    <x v="2"/>
    <n v="2012"/>
    <s v="Drought"/>
    <x v="133"/>
    <n v="0"/>
  </r>
  <r>
    <s v="2013-0124-AGO"/>
    <x v="2"/>
    <n v="2013"/>
    <s v="Flood"/>
    <x v="10"/>
    <n v="0"/>
  </r>
  <r>
    <s v="2015-0075-AGO"/>
    <x v="2"/>
    <n v="2015"/>
    <s v="Flood"/>
    <x v="9"/>
    <n v="0"/>
  </r>
  <r>
    <s v="2015-0090-AGO"/>
    <x v="2"/>
    <n v="2015"/>
    <s v="Flood"/>
    <x v="9"/>
    <n v="0"/>
  </r>
  <r>
    <s v="2015-0091-AGO"/>
    <x v="2"/>
    <n v="2015"/>
    <s v="Flood"/>
    <x v="10"/>
    <n v="0"/>
  </r>
  <r>
    <s v="2016-0056-AGO"/>
    <x v="2"/>
    <n v="2016"/>
    <s v="Flood"/>
    <x v="7"/>
    <n v="0"/>
  </r>
  <r>
    <s v="2016-0088-AGO"/>
    <x v="2"/>
    <n v="2016"/>
    <s v="Flood"/>
    <x v="134"/>
    <n v="0"/>
  </r>
  <r>
    <s v="2016-0131-AGO"/>
    <x v="2"/>
    <n v="2016"/>
    <s v="Flood"/>
    <x v="135"/>
    <n v="0"/>
  </r>
  <r>
    <s v="2016-0247-AGO"/>
    <x v="2"/>
    <n v="2016"/>
    <s v="Flood"/>
    <x v="136"/>
    <n v="0"/>
  </r>
  <r>
    <s v="2017-9207-AGO"/>
    <x v="2"/>
    <n v="2017"/>
    <s v="Drought"/>
    <x v="137"/>
    <n v="0"/>
  </r>
  <r>
    <s v="2017-0109-AGO"/>
    <x v="2"/>
    <n v="2017"/>
    <s v="Flood"/>
    <x v="138"/>
    <n v="2000"/>
  </r>
  <r>
    <s v="2018-0104-AGO"/>
    <x v="2"/>
    <n v="2018"/>
    <s v="Flood"/>
    <x v="139"/>
    <n v="0"/>
  </r>
  <r>
    <s v="2019-0070-AGO"/>
    <x v="2"/>
    <n v="2019"/>
    <s v="Flood"/>
    <x v="140"/>
    <n v="0"/>
  </r>
  <r>
    <s v="2019-0123-AGO"/>
    <x v="2"/>
    <n v="2019"/>
    <s v="Flood"/>
    <x v="141"/>
    <n v="0"/>
  </r>
  <r>
    <s v="2019-0666-AGO"/>
    <x v="2"/>
    <n v="2019"/>
    <s v="Flood"/>
    <x v="142"/>
    <n v="0"/>
  </r>
  <r>
    <s v="2020-9206-AGO"/>
    <x v="2"/>
    <n v="2020"/>
    <s v="Drought"/>
    <x v="143"/>
    <n v="0"/>
  </r>
  <r>
    <s v="2020-0104-AGO"/>
    <x v="2"/>
    <n v="2020"/>
    <s v="Flood"/>
    <x v="122"/>
    <n v="0"/>
  </r>
  <r>
    <s v="2020-0173-AGO"/>
    <x v="2"/>
    <n v="2020"/>
    <s v="Flood"/>
    <x v="144"/>
    <n v="0"/>
  </r>
  <r>
    <s v="2021-0164-AGO"/>
    <x v="2"/>
    <n v="2021"/>
    <s v="Flood"/>
    <x v="145"/>
    <n v="0"/>
  </r>
  <r>
    <s v="2021-0238-AGO"/>
    <x v="2"/>
    <n v="2021"/>
    <s v="Flood"/>
    <x v="146"/>
    <n v="0"/>
  </r>
  <r>
    <s v="2023-0247-AGO"/>
    <x v="2"/>
    <n v="2023"/>
    <s v="Flood"/>
    <x v="147"/>
    <n v="0"/>
  </r>
  <r>
    <s v="2023-0844-AGO"/>
    <x v="2"/>
    <n v="2023"/>
    <s v="Flood"/>
    <x v="148"/>
    <n v="0"/>
  </r>
  <r>
    <s v="2024-9592-AGO"/>
    <x v="2"/>
    <n v="2024"/>
    <s v="Drought"/>
    <x v="149"/>
    <n v="0"/>
  </r>
  <r>
    <s v="2003-0212-AZE"/>
    <x v="3"/>
    <n v="2003"/>
    <s v="Flood"/>
    <x v="150"/>
    <n v="55000"/>
  </r>
  <r>
    <s v="2009-0425-AZE"/>
    <x v="3"/>
    <n v="2009"/>
    <s v="Flood"/>
    <x v="44"/>
    <n v="0"/>
  </r>
  <r>
    <s v="2010-0204-AZE"/>
    <x v="3"/>
    <n v="2010"/>
    <s v="Flood"/>
    <x v="151"/>
    <n v="0"/>
  </r>
  <r>
    <s v="2012-0191-AZE"/>
    <x v="3"/>
    <n v="2012"/>
    <s v="Earthquake"/>
    <x v="152"/>
    <n v="0"/>
  </r>
  <r>
    <s v="2012-0545-AZE"/>
    <x v="3"/>
    <n v="2012"/>
    <s v="Earthquake"/>
    <x v="153"/>
    <n v="0"/>
  </r>
  <r>
    <s v="2001-0393-BGD"/>
    <x v="4"/>
    <n v="2001"/>
    <s v="Flood"/>
    <x v="154"/>
    <n v="0"/>
  </r>
  <r>
    <s v="2001-0459-BGD"/>
    <x v="4"/>
    <n v="2001"/>
    <s v="Flood"/>
    <x v="155"/>
    <n v="0"/>
  </r>
  <r>
    <s v="2001-0198-BGD"/>
    <x v="4"/>
    <n v="2001"/>
    <s v="Storm"/>
    <x v="96"/>
    <n v="0"/>
  </r>
  <r>
    <s v="2001-0202-BGD"/>
    <x v="4"/>
    <n v="2001"/>
    <s v="Storm"/>
    <x v="16"/>
    <n v="0"/>
  </r>
  <r>
    <s v="2001-0273-BGD"/>
    <x v="4"/>
    <n v="2001"/>
    <s v="Storm"/>
    <x v="118"/>
    <n v="0"/>
  </r>
  <r>
    <s v="2001-0563-BGD"/>
    <x v="4"/>
    <n v="2001"/>
    <s v="Storm"/>
    <x v="156"/>
    <n v="0"/>
  </r>
  <r>
    <s v="2002-0402-BGD"/>
    <x v="4"/>
    <n v="2002"/>
    <s v="Flood"/>
    <x v="157"/>
    <n v="0"/>
  </r>
  <r>
    <s v="2002-0211-BGD"/>
    <x v="4"/>
    <n v="2002"/>
    <s v="Storm"/>
    <x v="10"/>
    <n v="0"/>
  </r>
  <r>
    <s v="2002-0233-BGD"/>
    <x v="4"/>
    <n v="2002"/>
    <s v="Storm"/>
    <x v="158"/>
    <n v="0"/>
  </r>
  <r>
    <s v="2002-0425-BGD"/>
    <x v="4"/>
    <n v="2002"/>
    <s v="Storm"/>
    <x v="7"/>
    <n v="0"/>
  </r>
  <r>
    <s v="2002-0705-BGD"/>
    <x v="4"/>
    <n v="2002"/>
    <s v="Storm"/>
    <x v="7"/>
    <n v="0"/>
  </r>
  <r>
    <s v="2003-0452-BGD"/>
    <x v="4"/>
    <n v="2003"/>
    <s v="Earthquake"/>
    <x v="159"/>
    <n v="0"/>
  </r>
  <r>
    <s v="2003-0283-BGD"/>
    <x v="4"/>
    <n v="2003"/>
    <s v="Flood"/>
    <x v="160"/>
    <n v="0"/>
  </r>
  <r>
    <s v="2003-0303-BGD"/>
    <x v="4"/>
    <n v="2003"/>
    <s v="Flood"/>
    <x v="154"/>
    <n v="0"/>
  </r>
  <r>
    <s v="2003-0211-BGD"/>
    <x v="4"/>
    <n v="2003"/>
    <s v="Storm"/>
    <x v="11"/>
    <n v="0"/>
  </r>
  <r>
    <s v="2003-0779-BGD"/>
    <x v="4"/>
    <n v="2003"/>
    <s v="Storm"/>
    <x v="7"/>
    <n v="0"/>
  </r>
  <r>
    <s v="2004-0659-BGD"/>
    <x v="4"/>
    <n v="2004"/>
    <s v="Earthquake"/>
    <x v="7"/>
    <n v="500000"/>
  </r>
  <r>
    <s v="2004-0298-BGD"/>
    <x v="4"/>
    <n v="2004"/>
    <s v="Flood"/>
    <x v="161"/>
    <n v="2200000"/>
  </r>
  <r>
    <s v="2004-0470-BGD"/>
    <x v="4"/>
    <n v="2004"/>
    <s v="Flood"/>
    <x v="162"/>
    <n v="0"/>
  </r>
  <r>
    <s v="2004-0509-BGD"/>
    <x v="4"/>
    <n v="2004"/>
    <s v="Flood"/>
    <x v="163"/>
    <n v="0"/>
  </r>
  <r>
    <s v="2004-0166-BGD"/>
    <x v="4"/>
    <n v="2004"/>
    <s v="Storm"/>
    <x v="164"/>
    <n v="0"/>
  </r>
  <r>
    <s v="2004-0286-BGD"/>
    <x v="4"/>
    <n v="2004"/>
    <s v="Storm"/>
    <x v="97"/>
    <n v="0"/>
  </r>
  <r>
    <s v="2004-0678-BGD"/>
    <x v="4"/>
    <n v="2004"/>
    <s v="Storm"/>
    <x v="165"/>
    <n v="0"/>
  </r>
  <r>
    <s v="2004-0679-BGD"/>
    <x v="4"/>
    <n v="2004"/>
    <s v="Storm"/>
    <x v="166"/>
    <n v="0"/>
  </r>
  <r>
    <s v="2005-0261-BGD"/>
    <x v="4"/>
    <n v="2005"/>
    <s v="Flood"/>
    <x v="160"/>
    <n v="0"/>
  </r>
  <r>
    <s v="2005-0375-BGD"/>
    <x v="4"/>
    <n v="2005"/>
    <s v="Flood"/>
    <x v="167"/>
    <n v="0"/>
  </r>
  <r>
    <s v="2005-0590-BGD"/>
    <x v="4"/>
    <n v="2005"/>
    <s v="Flood"/>
    <x v="168"/>
    <n v="0"/>
  </r>
  <r>
    <s v="2005-0130-BGD"/>
    <x v="4"/>
    <n v="2005"/>
    <s v="Storm"/>
    <x v="169"/>
    <n v="0"/>
  </r>
  <r>
    <s v="2005-0190-BGD"/>
    <x v="4"/>
    <n v="2005"/>
    <s v="Storm"/>
    <x v="170"/>
    <n v="0"/>
  </r>
  <r>
    <s v="2005-0259-BGD"/>
    <x v="4"/>
    <n v="2005"/>
    <s v="Storm"/>
    <x v="171"/>
    <n v="0"/>
  </r>
  <r>
    <s v="2005-0273-BGD"/>
    <x v="4"/>
    <n v="2005"/>
    <s v="Storm"/>
    <x v="12"/>
    <n v="0"/>
  </r>
  <r>
    <s v="2005-0282-BGD"/>
    <x v="4"/>
    <n v="2005"/>
    <s v="Storm"/>
    <x v="18"/>
    <n v="0"/>
  </r>
  <r>
    <s v="2005-0391-BGD"/>
    <x v="4"/>
    <n v="2005"/>
    <s v="Storm"/>
    <x v="7"/>
    <n v="0"/>
  </r>
  <r>
    <s v="2005-0537-BGD"/>
    <x v="4"/>
    <n v="2005"/>
    <s v="Storm"/>
    <x v="172"/>
    <n v="0"/>
  </r>
  <r>
    <s v="2006-0262-BGD"/>
    <x v="4"/>
    <n v="2006"/>
    <s v="Flood"/>
    <x v="173"/>
    <n v="0"/>
  </r>
  <r>
    <s v="2006-0502-BGD"/>
    <x v="4"/>
    <n v="2006"/>
    <s v="Flood"/>
    <x v="174"/>
    <n v="0"/>
  </r>
  <r>
    <s v="2006-0146-BGD"/>
    <x v="4"/>
    <n v="2006"/>
    <s v="Storm"/>
    <x v="175"/>
    <n v="0"/>
  </r>
  <r>
    <s v="2006-0510-BGD"/>
    <x v="4"/>
    <n v="2006"/>
    <s v="Storm"/>
    <x v="176"/>
    <n v="0"/>
  </r>
  <r>
    <s v="2006-0737-BGD"/>
    <x v="4"/>
    <n v="2006"/>
    <s v="Storm"/>
    <x v="177"/>
    <n v="0"/>
  </r>
  <r>
    <s v="2006-0738-BGD"/>
    <x v="4"/>
    <n v="2006"/>
    <s v="Storm"/>
    <x v="18"/>
    <n v="0"/>
  </r>
  <r>
    <s v="2006-0739-BGD"/>
    <x v="4"/>
    <n v="2006"/>
    <s v="Storm"/>
    <x v="22"/>
    <n v="0"/>
  </r>
  <r>
    <s v="2007-0161-BGD"/>
    <x v="4"/>
    <n v="2007"/>
    <s v="Flood"/>
    <x v="178"/>
    <n v="14000"/>
  </r>
  <r>
    <s v="2007-0311-BGD"/>
    <x v="4"/>
    <n v="2007"/>
    <s v="Flood"/>
    <x v="179"/>
    <n v="100000"/>
  </r>
  <r>
    <s v="2007-0227-BGD"/>
    <x v="4"/>
    <n v="2007"/>
    <s v="Storm"/>
    <x v="119"/>
    <n v="0"/>
  </r>
  <r>
    <s v="2007-0556-BGD"/>
    <x v="4"/>
    <n v="2007"/>
    <s v="Storm"/>
    <x v="180"/>
    <n v="2300000"/>
  </r>
  <r>
    <s v="2008-0285-BGD"/>
    <x v="4"/>
    <n v="2008"/>
    <s v="Flood"/>
    <x v="181"/>
    <n v="0"/>
  </r>
  <r>
    <s v="2008-0385-BGD"/>
    <x v="4"/>
    <n v="2008"/>
    <s v="Flood"/>
    <x v="182"/>
    <n v="0"/>
  </r>
  <r>
    <s v="2008-0644-BGD"/>
    <x v="4"/>
    <n v="2008"/>
    <s v="Storm"/>
    <x v="96"/>
    <n v="0"/>
  </r>
  <r>
    <s v="2008-0648-BGD"/>
    <x v="4"/>
    <n v="2008"/>
    <s v="Storm"/>
    <x v="96"/>
    <n v="0"/>
  </r>
  <r>
    <s v="2009-9323-BGD"/>
    <x v="4"/>
    <n v="2009"/>
    <s v="Drought"/>
    <x v="7"/>
    <n v="0"/>
  </r>
  <r>
    <s v="2009-0294-BGD"/>
    <x v="4"/>
    <n v="2009"/>
    <s v="Flood"/>
    <x v="154"/>
    <n v="0"/>
  </r>
  <r>
    <s v="2009-0304-BGD"/>
    <x v="4"/>
    <n v="2009"/>
    <s v="Flood"/>
    <x v="7"/>
    <n v="0"/>
  </r>
  <r>
    <s v="2009-0157-BGD"/>
    <x v="4"/>
    <n v="2009"/>
    <s v="Storm"/>
    <x v="183"/>
    <n v="0"/>
  </r>
  <r>
    <s v="2009-0204-BGD"/>
    <x v="4"/>
    <n v="2009"/>
    <s v="Storm"/>
    <x v="184"/>
    <n v="270000"/>
  </r>
  <r>
    <s v="2010-0269-BGD"/>
    <x v="4"/>
    <n v="2010"/>
    <s v="Flood"/>
    <x v="129"/>
    <n v="0"/>
  </r>
  <r>
    <s v="2010-0676-BGD"/>
    <x v="4"/>
    <n v="2010"/>
    <s v="Flood"/>
    <x v="154"/>
    <n v="0"/>
  </r>
  <r>
    <s v="2010-0171-BGD"/>
    <x v="4"/>
    <n v="2010"/>
    <s v="Storm"/>
    <x v="185"/>
    <n v="0"/>
  </r>
  <r>
    <s v="2010-0205-BGD"/>
    <x v="4"/>
    <n v="2010"/>
    <s v="Storm"/>
    <x v="122"/>
    <n v="0"/>
  </r>
  <r>
    <s v="2010-0686-BGD"/>
    <x v="4"/>
    <n v="2010"/>
    <s v="Storm"/>
    <x v="97"/>
    <n v="0"/>
  </r>
  <r>
    <s v="2011-0262-BGD"/>
    <x v="4"/>
    <n v="2011"/>
    <s v="Flood"/>
    <x v="186"/>
    <n v="0"/>
  </r>
  <r>
    <s v="2011-0591-BGD"/>
    <x v="4"/>
    <n v="2011"/>
    <s v="Storm"/>
    <x v="187"/>
    <n v="0"/>
  </r>
  <r>
    <s v="2012-0175-BGD"/>
    <x v="4"/>
    <n v="2012"/>
    <s v="Flood"/>
    <x v="188"/>
    <n v="0"/>
  </r>
  <r>
    <s v="2012-0382-BGD"/>
    <x v="4"/>
    <n v="2012"/>
    <s v="Flood"/>
    <x v="189"/>
    <n v="0"/>
  </r>
  <r>
    <s v="2012-0082-BGD"/>
    <x v="4"/>
    <n v="2012"/>
    <s v="Storm"/>
    <x v="190"/>
    <n v="0"/>
  </r>
  <r>
    <s v="2012-0385-BGD"/>
    <x v="4"/>
    <n v="2012"/>
    <s v="Storm"/>
    <x v="191"/>
    <n v="0"/>
  </r>
  <r>
    <s v="2013-0085-BGD"/>
    <x v="4"/>
    <n v="2013"/>
    <s v="Storm"/>
    <x v="192"/>
    <n v="20000"/>
  </r>
  <r>
    <s v="2013-0090-BGD"/>
    <x v="4"/>
    <n v="2013"/>
    <s v="Storm"/>
    <x v="193"/>
    <n v="0"/>
  </r>
  <r>
    <s v="2013-0138-BGD"/>
    <x v="4"/>
    <n v="2013"/>
    <s v="Storm"/>
    <x v="194"/>
    <n v="0"/>
  </r>
  <r>
    <s v="2014-0290-BGD"/>
    <x v="4"/>
    <n v="2014"/>
    <s v="Flood"/>
    <x v="195"/>
    <n v="160000"/>
  </r>
  <r>
    <s v="2014-0581-BGD"/>
    <x v="4"/>
    <n v="2014"/>
    <s v="Flood"/>
    <x v="196"/>
    <n v="0"/>
  </r>
  <r>
    <s v="2014-0135-BGD"/>
    <x v="4"/>
    <n v="2014"/>
    <s v="Storm"/>
    <x v="197"/>
    <n v="0"/>
  </r>
  <r>
    <s v="2014-0244-BGD"/>
    <x v="4"/>
    <n v="2014"/>
    <s v="Storm"/>
    <x v="198"/>
    <n v="0"/>
  </r>
  <r>
    <s v="2015-0144-BGD"/>
    <x v="4"/>
    <n v="2015"/>
    <s v="Earthquake"/>
    <x v="96"/>
    <n v="0"/>
  </r>
  <r>
    <s v="2015-0253-BGD"/>
    <x v="4"/>
    <n v="2015"/>
    <s v="Flood"/>
    <x v="199"/>
    <n v="40000"/>
  </r>
  <r>
    <s v="2015-0293-BGD"/>
    <x v="4"/>
    <n v="2015"/>
    <s v="Flood"/>
    <x v="122"/>
    <n v="0"/>
  </r>
  <r>
    <s v="2015-0118-BGD"/>
    <x v="4"/>
    <n v="2015"/>
    <s v="Storm"/>
    <x v="200"/>
    <n v="4000"/>
  </r>
  <r>
    <s v="2015-0213-BGD"/>
    <x v="4"/>
    <n v="2015"/>
    <s v="Storm"/>
    <x v="7"/>
    <n v="0"/>
  </r>
  <r>
    <s v="2015-0309-BGD"/>
    <x v="4"/>
    <n v="2015"/>
    <s v="Storm"/>
    <x v="201"/>
    <n v="40000"/>
  </r>
  <r>
    <s v="2015-0601-BGD"/>
    <x v="4"/>
    <n v="2015"/>
    <s v="Storm"/>
    <x v="202"/>
    <n v="0"/>
  </r>
  <r>
    <s v="2016-0002-BGD"/>
    <x v="4"/>
    <n v="2016"/>
    <s v="Earthquake"/>
    <x v="101"/>
    <n v="0"/>
  </r>
  <r>
    <s v="2016-0288-BGD"/>
    <x v="4"/>
    <n v="2016"/>
    <s v="Flood"/>
    <x v="25"/>
    <n v="150000"/>
  </r>
  <r>
    <s v="2016-0154-BGD"/>
    <x v="4"/>
    <n v="2016"/>
    <s v="Storm"/>
    <x v="7"/>
    <n v="0"/>
  </r>
  <r>
    <s v="2016-0175-BGD"/>
    <x v="4"/>
    <n v="2016"/>
    <s v="Storm"/>
    <x v="203"/>
    <n v="600000"/>
  </r>
  <r>
    <s v="2017-0138-BGD"/>
    <x v="4"/>
    <n v="2017"/>
    <s v="Flood"/>
    <x v="204"/>
    <n v="128000"/>
  </r>
  <r>
    <s v="2017-0342-BGD"/>
    <x v="4"/>
    <n v="2017"/>
    <s v="Flood"/>
    <x v="205"/>
    <n v="500000"/>
  </r>
  <r>
    <s v="2017-0139-BGD"/>
    <x v="4"/>
    <n v="2017"/>
    <s v="Storm"/>
    <x v="7"/>
    <n v="0"/>
  </r>
  <r>
    <s v="2017-0152-BGD"/>
    <x v="4"/>
    <n v="2017"/>
    <s v="Storm"/>
    <x v="206"/>
    <n v="0"/>
  </r>
  <r>
    <s v="2018-0158-BGD"/>
    <x v="4"/>
    <n v="2018"/>
    <s v="Flood"/>
    <x v="207"/>
    <n v="0"/>
  </r>
  <r>
    <s v="2018-0203-BGD"/>
    <x v="4"/>
    <n v="2018"/>
    <s v="Flood"/>
    <x v="7"/>
    <n v="0"/>
  </r>
  <r>
    <s v="2018-0140-BGD"/>
    <x v="4"/>
    <n v="2018"/>
    <s v="Storm"/>
    <x v="7"/>
    <n v="0"/>
  </r>
  <r>
    <s v="2019-0337-BGD"/>
    <x v="4"/>
    <n v="2019"/>
    <s v="Flood"/>
    <x v="208"/>
    <n v="75000"/>
  </r>
  <r>
    <s v="2019-0144-BGD"/>
    <x v="4"/>
    <n v="2019"/>
    <s v="Storm"/>
    <x v="7"/>
    <n v="0"/>
  </r>
  <r>
    <s v="2019-0164-BGD"/>
    <x v="4"/>
    <n v="2019"/>
    <s v="Storm"/>
    <x v="209"/>
    <n v="0"/>
  </r>
  <r>
    <s v="2019-0550-BGD"/>
    <x v="4"/>
    <n v="2019"/>
    <s v="Storm"/>
    <x v="210"/>
    <n v="5785"/>
  </r>
  <r>
    <s v="2020-0323-BGD"/>
    <x v="4"/>
    <n v="2020"/>
    <s v="Flood"/>
    <x v="211"/>
    <n v="500000"/>
  </r>
  <r>
    <s v="2020-0211-BGD"/>
    <x v="4"/>
    <n v="2020"/>
    <s v="Storm"/>
    <x v="201"/>
    <n v="1500000"/>
  </r>
  <r>
    <s v="2021-0455-BGD"/>
    <x v="4"/>
    <n v="2021"/>
    <s v="Flood"/>
    <x v="212"/>
    <n v="0"/>
  </r>
  <r>
    <s v="2021-0295-BGD"/>
    <x v="4"/>
    <n v="2021"/>
    <s v="Storm"/>
    <x v="213"/>
    <n v="0"/>
  </r>
  <r>
    <s v="2022-0340-BGD"/>
    <x v="4"/>
    <n v="2022"/>
    <s v="Flood"/>
    <x v="214"/>
    <n v="462500"/>
  </r>
  <r>
    <s v="2022-0695-BGD"/>
    <x v="4"/>
    <n v="2022"/>
    <s v="Storm"/>
    <x v="167"/>
    <n v="0"/>
  </r>
  <r>
    <s v="2023-0512-BGD"/>
    <x v="4"/>
    <n v="2023"/>
    <s v="Flood"/>
    <x v="215"/>
    <n v="0"/>
  </r>
  <r>
    <s v="2023-0254-BGD"/>
    <x v="4"/>
    <n v="2023"/>
    <s v="Storm"/>
    <x v="7"/>
    <n v="0"/>
  </r>
  <r>
    <s v="2023-0294-BGD"/>
    <x v="4"/>
    <n v="2023"/>
    <s v="Storm"/>
    <x v="216"/>
    <n v="1000"/>
  </r>
  <r>
    <s v="2023-0686-BGD"/>
    <x v="4"/>
    <n v="2023"/>
    <s v="Storm"/>
    <x v="157"/>
    <n v="250000"/>
  </r>
  <r>
    <s v="2024-0399-BGD"/>
    <x v="4"/>
    <n v="2024"/>
    <s v="Flood"/>
    <x v="217"/>
    <n v="34000"/>
  </r>
  <r>
    <s v="2024-0624-BGD"/>
    <x v="4"/>
    <n v="2024"/>
    <s v="Flood"/>
    <x v="218"/>
    <n v="155600"/>
  </r>
  <r>
    <s v="2024-0719-BGD"/>
    <x v="4"/>
    <n v="2024"/>
    <s v="Flood"/>
    <x v="219"/>
    <n v="0"/>
  </r>
  <r>
    <s v="2024-0320-BGD"/>
    <x v="4"/>
    <n v="2024"/>
    <s v="Storm"/>
    <x v="220"/>
    <n v="90700"/>
  </r>
  <r>
    <s v="2024-0778-BGD"/>
    <x v="4"/>
    <n v="2024"/>
    <s v="Storm"/>
    <x v="7"/>
    <n v="0"/>
  </r>
  <r>
    <s v="2001-0783-BIH"/>
    <x v="5"/>
    <n v="2001"/>
    <s v="Flood"/>
    <x v="221"/>
    <n v="0"/>
  </r>
  <r>
    <s v="2003-9784-BIH"/>
    <x v="5"/>
    <n v="2003"/>
    <s v="Drought"/>
    <x v="222"/>
    <n v="140000"/>
  </r>
  <r>
    <s v="2004-0163-BIH"/>
    <x v="5"/>
    <n v="2004"/>
    <s v="Flood"/>
    <x v="223"/>
    <n v="0"/>
  </r>
  <r>
    <s v="2004-0169-BIH"/>
    <x v="5"/>
    <n v="2004"/>
    <s v="Flood"/>
    <x v="139"/>
    <n v="0"/>
  </r>
  <r>
    <s v="2005-0695-BIH"/>
    <x v="5"/>
    <n v="2005"/>
    <s v="Flood"/>
    <x v="224"/>
    <n v="0"/>
  </r>
  <r>
    <s v="2005-0045-BIH"/>
    <x v="5"/>
    <n v="2005"/>
    <s v="Storm"/>
    <x v="7"/>
    <n v="0"/>
  </r>
  <r>
    <s v="2009-0081-BIH"/>
    <x v="5"/>
    <n v="2009"/>
    <s v="Flood"/>
    <x v="225"/>
    <n v="0"/>
  </r>
  <r>
    <s v="2009-0268-BIH"/>
    <x v="5"/>
    <n v="2009"/>
    <s v="Flood"/>
    <x v="166"/>
    <n v="0"/>
  </r>
  <r>
    <s v="2010-0252-BIH"/>
    <x v="5"/>
    <n v="2010"/>
    <s v="Flood"/>
    <x v="226"/>
    <n v="87000"/>
  </r>
  <r>
    <s v="2010-0619-BIH"/>
    <x v="5"/>
    <n v="2010"/>
    <s v="Flood"/>
    <x v="33"/>
    <n v="0"/>
  </r>
  <r>
    <s v="2014-0128-BIH"/>
    <x v="5"/>
    <n v="2014"/>
    <s v="Flood"/>
    <x v="7"/>
    <n v="0"/>
  </r>
  <r>
    <s v="2014-0164-BIH"/>
    <x v="5"/>
    <n v="2014"/>
    <s v="Flood"/>
    <x v="167"/>
    <n v="436580"/>
  </r>
  <r>
    <s v="2014-0306-BIH"/>
    <x v="5"/>
    <n v="2014"/>
    <s v="Flood"/>
    <x v="118"/>
    <n v="0"/>
  </r>
  <r>
    <s v="2014-0329-BIH"/>
    <x v="5"/>
    <n v="2014"/>
    <s v="Flood"/>
    <x v="7"/>
    <n v="0"/>
  </r>
  <r>
    <s v="2015-0465-BIH"/>
    <x v="5"/>
    <n v="2015"/>
    <s v="Flood"/>
    <x v="7"/>
    <n v="0"/>
  </r>
  <r>
    <s v="2019-0194-BIH"/>
    <x v="5"/>
    <n v="2019"/>
    <s v="Flood"/>
    <x v="118"/>
    <n v="0"/>
  </r>
  <r>
    <s v="2019-0287-BIH"/>
    <x v="5"/>
    <n v="2019"/>
    <s v="Flood"/>
    <x v="227"/>
    <n v="0"/>
  </r>
  <r>
    <s v="2020-0285-BIH"/>
    <x v="5"/>
    <n v="2020"/>
    <s v="Flood"/>
    <x v="114"/>
    <n v="0"/>
  </r>
  <r>
    <s v="2021-0725-BIH"/>
    <x v="5"/>
    <n v="2021"/>
    <s v="Flood"/>
    <x v="189"/>
    <n v="0"/>
  </r>
  <r>
    <s v="2022-0231-BIH"/>
    <x v="5"/>
    <n v="2022"/>
    <s v="Earthquake"/>
    <x v="228"/>
    <n v="26000"/>
  </r>
  <r>
    <s v="2022-0825-BIH"/>
    <x v="5"/>
    <n v="2022"/>
    <s v="Flood"/>
    <x v="139"/>
    <n v="0"/>
  </r>
  <r>
    <s v="2023-0321-BIH"/>
    <x v="5"/>
    <n v="2023"/>
    <s v="Flood"/>
    <x v="122"/>
    <n v="0"/>
  </r>
  <r>
    <s v="2023-0460-BIH"/>
    <x v="5"/>
    <n v="2023"/>
    <s v="Storm"/>
    <x v="31"/>
    <n v="0"/>
  </r>
  <r>
    <s v="2024-0718-BIH"/>
    <x v="5"/>
    <n v="2024"/>
    <s v="Flood"/>
    <x v="44"/>
    <n v="10000"/>
  </r>
  <r>
    <s v="2001-0701-BGR"/>
    <x v="6"/>
    <n v="2001"/>
    <s v="Storm"/>
    <x v="7"/>
    <n v="0"/>
  </r>
  <r>
    <s v="2002-0552-BGR"/>
    <x v="6"/>
    <n v="2002"/>
    <s v="Flood"/>
    <x v="7"/>
    <n v="1000"/>
  </r>
  <r>
    <s v="2005-0265-BGR"/>
    <x v="6"/>
    <n v="2005"/>
    <s v="Flood"/>
    <x v="7"/>
    <n v="10000"/>
  </r>
  <r>
    <s v="2005-0338-BGR"/>
    <x v="6"/>
    <n v="2005"/>
    <s v="Flood"/>
    <x v="96"/>
    <n v="247000"/>
  </r>
  <r>
    <s v="2005-0473-BGR"/>
    <x v="6"/>
    <n v="2005"/>
    <s v="Flood"/>
    <x v="7"/>
    <n v="200000"/>
  </r>
  <r>
    <s v="2005-0545-BGR"/>
    <x v="6"/>
    <n v="2005"/>
    <s v="Flood"/>
    <x v="7"/>
    <n v="0"/>
  </r>
  <r>
    <s v="2005-0727-BGR"/>
    <x v="6"/>
    <n v="2005"/>
    <s v="Flood"/>
    <x v="172"/>
    <n v="0"/>
  </r>
  <r>
    <s v="2005-0045-BGR"/>
    <x v="6"/>
    <n v="2005"/>
    <s v="Storm"/>
    <x v="7"/>
    <n v="0"/>
  </r>
  <r>
    <s v="2006-0148-BGR"/>
    <x v="6"/>
    <n v="2006"/>
    <s v="Earthquake"/>
    <x v="229"/>
    <n v="0"/>
  </r>
  <r>
    <s v="2006-0156-BGR"/>
    <x v="6"/>
    <n v="2006"/>
    <s v="Flood"/>
    <x v="7"/>
    <n v="0"/>
  </r>
  <r>
    <s v="2006-0209-BGR"/>
    <x v="6"/>
    <n v="2006"/>
    <s v="Flood"/>
    <x v="7"/>
    <n v="0"/>
  </r>
  <r>
    <s v="2007-0171-BGR"/>
    <x v="6"/>
    <n v="2007"/>
    <s v="Flood"/>
    <x v="10"/>
    <n v="0"/>
  </r>
  <r>
    <s v="2007-0322-BGR"/>
    <x v="6"/>
    <n v="2007"/>
    <s v="Flood"/>
    <x v="230"/>
    <n v="0"/>
  </r>
  <r>
    <s v="2007-0554-BGR"/>
    <x v="6"/>
    <n v="2007"/>
    <s v="Flood"/>
    <x v="231"/>
    <n v="0"/>
  </r>
  <r>
    <s v="2010-0619-BGR"/>
    <x v="6"/>
    <n v="2010"/>
    <s v="Flood"/>
    <x v="232"/>
    <n v="0"/>
  </r>
  <r>
    <s v="2012-0152-BGR"/>
    <x v="6"/>
    <n v="2012"/>
    <s v="Earthquake"/>
    <x v="233"/>
    <n v="0"/>
  </r>
  <r>
    <s v="2012-0033-BGR"/>
    <x v="6"/>
    <n v="2012"/>
    <s v="Flood"/>
    <x v="234"/>
    <n v="4400"/>
  </r>
  <r>
    <s v="2014-0128-BGR"/>
    <x v="6"/>
    <n v="2014"/>
    <s v="Flood"/>
    <x v="7"/>
    <n v="0"/>
  </r>
  <r>
    <s v="2014-0210-BGR"/>
    <x v="6"/>
    <n v="2014"/>
    <s v="Flood"/>
    <x v="235"/>
    <n v="377000"/>
  </r>
  <r>
    <s v="2014-0280-BGR"/>
    <x v="6"/>
    <n v="2014"/>
    <s v="Flood"/>
    <x v="236"/>
    <n v="0"/>
  </r>
  <r>
    <s v="2014-0368-BGR"/>
    <x v="6"/>
    <n v="2014"/>
    <s v="Flood"/>
    <x v="7"/>
    <n v="10000"/>
  </r>
  <r>
    <s v="2014-0404-BGR"/>
    <x v="6"/>
    <n v="2014"/>
    <s v="Storm"/>
    <x v="237"/>
    <n v="545000"/>
  </r>
  <r>
    <s v="2015-0038-BGR"/>
    <x v="6"/>
    <n v="2015"/>
    <s v="Flood"/>
    <x v="7"/>
    <n v="5800"/>
  </r>
  <r>
    <s v="2018-0220-BGR"/>
    <x v="6"/>
    <n v="2018"/>
    <s v="Flood"/>
    <x v="118"/>
    <n v="0"/>
  </r>
  <r>
    <s v="2021-0020-BGR"/>
    <x v="6"/>
    <n v="2021"/>
    <s v="Flood"/>
    <x v="238"/>
    <n v="0"/>
  </r>
  <r>
    <s v="2022-0585-BGR"/>
    <x v="6"/>
    <n v="2022"/>
    <s v="Flood"/>
    <x v="239"/>
    <n v="47000"/>
  </r>
  <r>
    <s v="2023-0582-BGR"/>
    <x v="6"/>
    <n v="2023"/>
    <s v="Flood"/>
    <x v="36"/>
    <n v="0"/>
  </r>
  <r>
    <s v="2023-0761-BGR"/>
    <x v="6"/>
    <n v="2023"/>
    <s v="Storm"/>
    <x v="7"/>
    <n v="0"/>
  </r>
  <r>
    <s v="2023-0804-BGR"/>
    <x v="6"/>
    <n v="2023"/>
    <s v="Storm"/>
    <x v="240"/>
    <n v="0"/>
  </r>
  <r>
    <s v="2001-0738-CRI"/>
    <x v="7"/>
    <n v="2001"/>
    <s v="Flood"/>
    <x v="241"/>
    <n v="0"/>
  </r>
  <r>
    <s v="2002-0263-CRI"/>
    <x v="7"/>
    <n v="2002"/>
    <s v="Flood"/>
    <x v="33"/>
    <n v="1000"/>
  </r>
  <r>
    <s v="2002-0755-CRI"/>
    <x v="7"/>
    <n v="2002"/>
    <s v="Flood"/>
    <x v="242"/>
    <n v="0"/>
  </r>
  <r>
    <s v="2003-0628-CRI"/>
    <x v="7"/>
    <n v="2003"/>
    <s v="Earthquake"/>
    <x v="243"/>
    <n v="0"/>
  </r>
  <r>
    <s v="2003-0659-CRI"/>
    <x v="7"/>
    <n v="2003"/>
    <s v="Flood"/>
    <x v="16"/>
    <n v="0"/>
  </r>
  <r>
    <s v="2004-0599-CRI"/>
    <x v="7"/>
    <n v="2004"/>
    <s v="Earthquake"/>
    <x v="244"/>
    <n v="0"/>
  </r>
  <r>
    <s v="2004-0214-CRI"/>
    <x v="7"/>
    <n v="2004"/>
    <s v="Flood"/>
    <x v="245"/>
    <n v="0"/>
  </r>
  <r>
    <s v="2004-0556-CRI"/>
    <x v="7"/>
    <n v="2004"/>
    <s v="Flood"/>
    <x v="10"/>
    <n v="0"/>
  </r>
  <r>
    <s v="2005-0021-CRI"/>
    <x v="7"/>
    <n v="2005"/>
    <s v="Flood"/>
    <x v="246"/>
    <n v="25000"/>
  </r>
  <r>
    <s v="2005-0550-CRI"/>
    <x v="7"/>
    <n v="2005"/>
    <s v="Flood"/>
    <x v="247"/>
    <n v="0"/>
  </r>
  <r>
    <s v="2005-0567-CRI"/>
    <x v="7"/>
    <n v="2005"/>
    <s v="Storm"/>
    <x v="248"/>
    <n v="20000"/>
  </r>
  <r>
    <s v="2007-0466-CRI"/>
    <x v="7"/>
    <n v="2007"/>
    <s v="Flood"/>
    <x v="249"/>
    <n v="0"/>
  </r>
  <r>
    <s v="2007-0503-CRI"/>
    <x v="7"/>
    <n v="2007"/>
    <s v="Flood"/>
    <x v="172"/>
    <n v="80000"/>
  </r>
  <r>
    <s v="2008-0427-CRI"/>
    <x v="7"/>
    <n v="2008"/>
    <s v="Flood"/>
    <x v="250"/>
    <n v="0"/>
  </r>
  <r>
    <s v="2008-0484-CRI"/>
    <x v="7"/>
    <n v="2008"/>
    <s v="Flood"/>
    <x v="251"/>
    <n v="0"/>
  </r>
  <r>
    <s v="2008-0551-CRI"/>
    <x v="7"/>
    <n v="2008"/>
    <s v="Flood"/>
    <x v="252"/>
    <n v="22000"/>
  </r>
  <r>
    <s v="2008-0234-CRI"/>
    <x v="7"/>
    <n v="2008"/>
    <s v="Storm"/>
    <x v="253"/>
    <n v="0"/>
  </r>
  <r>
    <s v="2009-0002-CRI"/>
    <x v="7"/>
    <n v="2009"/>
    <s v="Earthquake"/>
    <x v="254"/>
    <n v="200000"/>
  </r>
  <r>
    <s v="2010-0470-CRI"/>
    <x v="7"/>
    <n v="2010"/>
    <s v="Flood"/>
    <x v="255"/>
    <n v="0"/>
  </r>
  <r>
    <s v="2010-0575-CRI"/>
    <x v="7"/>
    <n v="2010"/>
    <s v="Flood"/>
    <x v="139"/>
    <n v="0"/>
  </r>
  <r>
    <s v="2011-0386-CRI"/>
    <x v="7"/>
    <n v="2011"/>
    <s v="Flood"/>
    <x v="256"/>
    <n v="0"/>
  </r>
  <r>
    <s v="2012-0343-CRI"/>
    <x v="7"/>
    <n v="2012"/>
    <s v="Earthquake"/>
    <x v="257"/>
    <n v="45000"/>
  </r>
  <r>
    <s v="2012-0281-CRI"/>
    <x v="7"/>
    <n v="2012"/>
    <s v="Flood"/>
    <x v="258"/>
    <n v="0"/>
  </r>
  <r>
    <s v="2014-9580-CRI"/>
    <x v="7"/>
    <n v="2015"/>
    <s v="Drought"/>
    <x v="7"/>
    <n v="0"/>
  </r>
  <r>
    <s v="2015-0237-CRI"/>
    <x v="7"/>
    <n v="2015"/>
    <s v="Flood"/>
    <x v="259"/>
    <n v="0"/>
  </r>
  <r>
    <s v="2016-0433-CRI"/>
    <x v="7"/>
    <n v="2016"/>
    <s v="Storm"/>
    <x v="160"/>
    <n v="0"/>
  </r>
  <r>
    <s v="2017-0410-CRI"/>
    <x v="7"/>
    <n v="2017"/>
    <s v="Storm"/>
    <x v="169"/>
    <n v="185000"/>
  </r>
  <r>
    <s v="2018-0374-CRI"/>
    <x v="7"/>
    <n v="2018"/>
    <s v="Flood"/>
    <x v="260"/>
    <n v="0"/>
  </r>
  <r>
    <s v="2018-9277-CRI"/>
    <x v="7"/>
    <n v="2019"/>
    <s v="Drought"/>
    <x v="7"/>
    <n v="0"/>
  </r>
  <r>
    <s v="2020-0474-CRI"/>
    <x v="7"/>
    <n v="2020"/>
    <s v="Storm"/>
    <x v="120"/>
    <n v="0"/>
  </r>
  <r>
    <s v="2021-0446-CRI"/>
    <x v="7"/>
    <n v="2021"/>
    <s v="Flood"/>
    <x v="155"/>
    <n v="0"/>
  </r>
  <r>
    <s v="2022-0647-CRI"/>
    <x v="7"/>
    <n v="2022"/>
    <s v="Storm"/>
    <x v="261"/>
    <n v="0"/>
  </r>
  <r>
    <s v="2024-0877-CRI"/>
    <x v="7"/>
    <n v="2024"/>
    <s v="Flood"/>
    <x v="262"/>
    <n v="0"/>
  </r>
  <r>
    <s v="2024-0822-CRI"/>
    <x v="7"/>
    <n v="2024"/>
    <s v="Storm"/>
    <x v="7"/>
    <n v="980"/>
  </r>
  <r>
    <s v="2024-0857-CRI"/>
    <x v="7"/>
    <n v="2024"/>
    <s v="Storm"/>
    <x v="263"/>
    <n v="0"/>
  </r>
  <r>
    <s v="1999-9388-DJI"/>
    <x v="8"/>
    <n v="2001"/>
    <s v="Drought"/>
    <x v="168"/>
    <n v="0"/>
  </r>
  <r>
    <s v="2004-0158-DJI"/>
    <x v="8"/>
    <n v="2004"/>
    <s v="Flood"/>
    <x v="168"/>
    <n v="0"/>
  </r>
  <r>
    <s v="2005-9213-DJI"/>
    <x v="8"/>
    <n v="2005"/>
    <s v="Drought"/>
    <x v="264"/>
    <n v="0"/>
  </r>
  <r>
    <s v="2007-9676-DJI"/>
    <x v="8"/>
    <n v="2007"/>
    <s v="Drought"/>
    <x v="265"/>
    <n v="0"/>
  </r>
  <r>
    <s v="2008-9303-DJI"/>
    <x v="8"/>
    <n v="2008"/>
    <s v="Drought"/>
    <x v="266"/>
    <n v="0"/>
  </r>
  <r>
    <s v="2010-9082-DJI"/>
    <x v="8"/>
    <n v="2010"/>
    <s v="Drought"/>
    <x v="267"/>
    <n v="0"/>
  </r>
  <r>
    <s v="2018-0145-DJI"/>
    <x v="8"/>
    <n v="2018"/>
    <s v="Storm"/>
    <x v="120"/>
    <n v="0"/>
  </r>
  <r>
    <s v="2019-0579-DJI"/>
    <x v="8"/>
    <n v="2019"/>
    <s v="Flood"/>
    <x v="189"/>
    <n v="0"/>
  </r>
  <r>
    <s v="2020-0150-DJI"/>
    <x v="8"/>
    <n v="2020"/>
    <s v="Flood"/>
    <x v="268"/>
    <n v="0"/>
  </r>
  <r>
    <s v="2022-9370-DJI"/>
    <x v="8"/>
    <n v="2022"/>
    <s v="Drought"/>
    <x v="269"/>
    <n v="0"/>
  </r>
  <r>
    <s v="2001-9383-SLV"/>
    <x v="9"/>
    <n v="2001"/>
    <s v="Drought"/>
    <x v="196"/>
    <n v="22400"/>
  </r>
  <r>
    <s v="2001-0013-SLV"/>
    <x v="9"/>
    <n v="2001"/>
    <s v="Earthquake"/>
    <x v="270"/>
    <n v="1500000"/>
  </r>
  <r>
    <s v="2001-0042-SLV"/>
    <x v="9"/>
    <n v="2001"/>
    <s v="Earthquake"/>
    <x v="271"/>
    <n v="348500"/>
  </r>
  <r>
    <s v="2001-0561-SLV"/>
    <x v="9"/>
    <n v="2001"/>
    <s v="Flood"/>
    <x v="10"/>
    <n v="0"/>
  </r>
  <r>
    <s v="2002-0337-SLV"/>
    <x v="9"/>
    <n v="2002"/>
    <s v="Flood"/>
    <x v="12"/>
    <n v="0"/>
  </r>
  <r>
    <s v="2002-0851-SLV"/>
    <x v="9"/>
    <n v="2002"/>
    <s v="Storm"/>
    <x v="20"/>
    <n v="0"/>
  </r>
  <r>
    <s v="2005-0240-SLV"/>
    <x v="9"/>
    <n v="2005"/>
    <s v="Earthquake"/>
    <x v="272"/>
    <n v="0"/>
  </r>
  <r>
    <s v="2005-0348-SLV"/>
    <x v="9"/>
    <n v="2005"/>
    <s v="Flood"/>
    <x v="273"/>
    <n v="0"/>
  </r>
  <r>
    <s v="2005-0593-SLV"/>
    <x v="9"/>
    <n v="2005"/>
    <s v="Flood"/>
    <x v="7"/>
    <n v="0"/>
  </r>
  <r>
    <s v="2005-0567-SLV"/>
    <x v="9"/>
    <n v="2005"/>
    <s v="Storm"/>
    <x v="274"/>
    <n v="355700"/>
  </r>
  <r>
    <s v="2005-0732-SLV"/>
    <x v="9"/>
    <n v="2005"/>
    <s v="Storm"/>
    <x v="7"/>
    <n v="0"/>
  </r>
  <r>
    <s v="2006-0699-SLV"/>
    <x v="9"/>
    <n v="2006"/>
    <s v="Earthquake"/>
    <x v="275"/>
    <n v="0"/>
  </r>
  <r>
    <s v="2007-0503-SLV"/>
    <x v="9"/>
    <n v="2007"/>
    <s v="Flood"/>
    <x v="20"/>
    <n v="0"/>
  </r>
  <r>
    <s v="2007-0439-SLV"/>
    <x v="9"/>
    <n v="2007"/>
    <s v="Storm"/>
    <x v="276"/>
    <n v="0"/>
  </r>
  <r>
    <s v="2008-0282-SLV"/>
    <x v="9"/>
    <n v="2008"/>
    <s v="Flood"/>
    <x v="7"/>
    <n v="0"/>
  </r>
  <r>
    <s v="2008-0484-SLV"/>
    <x v="9"/>
    <n v="2008"/>
    <s v="Flood"/>
    <x v="139"/>
    <n v="0"/>
  </r>
  <r>
    <s v="2009-9415-SLV"/>
    <x v="9"/>
    <n v="2009"/>
    <s v="Drought"/>
    <x v="7"/>
    <n v="27000"/>
  </r>
  <r>
    <s v="2009-0477-SLV"/>
    <x v="9"/>
    <n v="2009"/>
    <s v="Storm"/>
    <x v="277"/>
    <n v="939000"/>
  </r>
  <r>
    <s v="2010-0211-SLV"/>
    <x v="9"/>
    <n v="2010"/>
    <s v="Storm"/>
    <x v="278"/>
    <n v="20000"/>
  </r>
  <r>
    <s v="2010-0260-SLV"/>
    <x v="9"/>
    <n v="2010"/>
    <s v="Storm"/>
    <x v="20"/>
    <n v="0"/>
  </r>
  <r>
    <s v="2010-0503-SLV"/>
    <x v="9"/>
    <n v="2010"/>
    <s v="Storm"/>
    <x v="7"/>
    <n v="0"/>
  </r>
  <r>
    <s v="2011-0386-SLV"/>
    <x v="9"/>
    <n v="2011"/>
    <s v="Flood"/>
    <x v="261"/>
    <n v="1000000"/>
  </r>
  <r>
    <s v="2014-9580-SLV"/>
    <x v="9"/>
    <n v="2015"/>
    <s v="Drought"/>
    <x v="279"/>
    <n v="100000"/>
  </r>
  <r>
    <s v="2015-0446-SLV"/>
    <x v="9"/>
    <n v="2015"/>
    <s v="Flood"/>
    <x v="7"/>
    <n v="0"/>
  </r>
  <r>
    <s v="2015-0198-SLV"/>
    <x v="9"/>
    <n v="2015"/>
    <s v="Storm"/>
    <x v="33"/>
    <n v="0"/>
  </r>
  <r>
    <s v="2017-0410-SLV"/>
    <x v="9"/>
    <n v="2017"/>
    <s v="Storm"/>
    <x v="280"/>
    <n v="0"/>
  </r>
  <r>
    <s v="2018-9277-SLV"/>
    <x v="9"/>
    <n v="2018"/>
    <s v="Drought"/>
    <x v="281"/>
    <n v="37000"/>
  </r>
  <r>
    <s v="2018-0321-SLV"/>
    <x v="9"/>
    <n v="2018"/>
    <s v="Earthquake"/>
    <x v="282"/>
    <n v="0"/>
  </r>
  <r>
    <s v="2018-0374-SLV"/>
    <x v="9"/>
    <n v="2018"/>
    <s v="Flood"/>
    <x v="283"/>
    <n v="0"/>
  </r>
  <r>
    <s v="2019-0233-SLV"/>
    <x v="9"/>
    <n v="2019"/>
    <s v="Earthquake"/>
    <x v="37"/>
    <n v="0"/>
  </r>
  <r>
    <s v="2020-0218-SLV"/>
    <x v="9"/>
    <n v="2020"/>
    <s v="Storm"/>
    <x v="284"/>
    <n v="220000"/>
  </r>
  <r>
    <s v="2020-0474-SLV"/>
    <x v="9"/>
    <n v="2020"/>
    <s v="Storm"/>
    <x v="7"/>
    <n v="0"/>
  </r>
  <r>
    <s v="2020-0495-SLV"/>
    <x v="9"/>
    <n v="2020"/>
    <s v="Storm"/>
    <x v="7"/>
    <n v="0"/>
  </r>
  <r>
    <s v="2021-0590-SLV"/>
    <x v="9"/>
    <n v="2021"/>
    <s v="Flood"/>
    <x v="98"/>
    <n v="0"/>
  </r>
  <r>
    <s v="2022-0400-SLV"/>
    <x v="9"/>
    <n v="2022"/>
    <s v="Storm"/>
    <x v="12"/>
    <n v="0"/>
  </r>
  <r>
    <s v="2022-0647-SLV"/>
    <x v="9"/>
    <n v="2022"/>
    <s v="Storm"/>
    <x v="285"/>
    <n v="17000"/>
  </r>
  <r>
    <s v="2023-0703-SLV"/>
    <x v="9"/>
    <n v="2023"/>
    <s v="Storm"/>
    <x v="20"/>
    <n v="0"/>
  </r>
  <r>
    <s v="2024-0395-SLV"/>
    <x v="9"/>
    <n v="2024"/>
    <s v="Storm"/>
    <x v="286"/>
    <n v="0"/>
  </r>
  <r>
    <s v="2024-0857-SLV"/>
    <x v="9"/>
    <n v="2024"/>
    <s v="Storm"/>
    <x v="287"/>
    <n v="0"/>
  </r>
  <r>
    <s v="2001-0448-ETH"/>
    <x v="10"/>
    <n v="2001"/>
    <s v="Flood"/>
    <x v="288"/>
    <n v="0"/>
  </r>
  <r>
    <s v="2001-0464-ETH"/>
    <x v="10"/>
    <n v="2001"/>
    <s v="Flood"/>
    <x v="123"/>
    <n v="0"/>
  </r>
  <r>
    <s v="2001-0769-ETH"/>
    <x v="10"/>
    <n v="2001"/>
    <s v="Flood"/>
    <x v="16"/>
    <n v="0"/>
  </r>
  <r>
    <s v="2002-0225-ETH"/>
    <x v="10"/>
    <n v="2002"/>
    <s v="Flood"/>
    <x v="36"/>
    <n v="0"/>
  </r>
  <r>
    <s v="2003-9772-ETH"/>
    <x v="10"/>
    <n v="2003"/>
    <s v="Drought"/>
    <x v="289"/>
    <n v="0"/>
  </r>
  <r>
    <s v="2003-0204-ETH"/>
    <x v="10"/>
    <n v="2003"/>
    <s v="Flood"/>
    <x v="268"/>
    <n v="0"/>
  </r>
  <r>
    <s v="2005-9747-ETH"/>
    <x v="10"/>
    <n v="2005"/>
    <s v="Drought"/>
    <x v="201"/>
    <n v="0"/>
  </r>
  <r>
    <s v="2005-0215-ETH"/>
    <x v="10"/>
    <n v="2005"/>
    <s v="Flood"/>
    <x v="290"/>
    <n v="5000"/>
  </r>
  <r>
    <s v="2005-0258-ETH"/>
    <x v="10"/>
    <n v="2005"/>
    <s v="Flood"/>
    <x v="7"/>
    <n v="1200"/>
  </r>
  <r>
    <s v="2005-0472-ETH"/>
    <x v="10"/>
    <n v="2005"/>
    <s v="Flood"/>
    <x v="291"/>
    <n v="0"/>
  </r>
  <r>
    <s v="2005-0485-ETH"/>
    <x v="10"/>
    <n v="2005"/>
    <s v="Flood"/>
    <x v="7"/>
    <n v="0"/>
  </r>
  <r>
    <s v="2006-0204-ETH"/>
    <x v="10"/>
    <n v="2006"/>
    <s v="Flood"/>
    <x v="122"/>
    <n v="0"/>
  </r>
  <r>
    <s v="2006-0422-ETH"/>
    <x v="10"/>
    <n v="2006"/>
    <s v="Flood"/>
    <x v="292"/>
    <n v="3200"/>
  </r>
  <r>
    <s v="2006-0436-ETH"/>
    <x v="10"/>
    <n v="2006"/>
    <s v="Flood"/>
    <x v="293"/>
    <n v="0"/>
  </r>
  <r>
    <s v="2006-0438-ETH"/>
    <x v="10"/>
    <n v="2006"/>
    <s v="Flood"/>
    <x v="30"/>
    <n v="0"/>
  </r>
  <r>
    <s v="2006-0442-ETH"/>
    <x v="10"/>
    <n v="2006"/>
    <s v="Flood"/>
    <x v="294"/>
    <n v="0"/>
  </r>
  <r>
    <s v="2006-0489-ETH"/>
    <x v="10"/>
    <n v="2006"/>
    <s v="Flood"/>
    <x v="123"/>
    <n v="0"/>
  </r>
  <r>
    <s v="2006-0578-ETH"/>
    <x v="10"/>
    <n v="2006"/>
    <s v="Flood"/>
    <x v="295"/>
    <n v="0"/>
  </r>
  <r>
    <s v="2007-0273-ETH"/>
    <x v="10"/>
    <n v="2007"/>
    <s v="Flood"/>
    <x v="296"/>
    <n v="0"/>
  </r>
  <r>
    <s v="2007-0304-ETH"/>
    <x v="10"/>
    <n v="2007"/>
    <s v="Flood"/>
    <x v="297"/>
    <n v="0"/>
  </r>
  <r>
    <s v="2008-9200-ETH"/>
    <x v="10"/>
    <n v="2008"/>
    <s v="Drought"/>
    <x v="298"/>
    <n v="0"/>
  </r>
  <r>
    <s v="2008-0219-ETH"/>
    <x v="10"/>
    <n v="2008"/>
    <s v="Flood"/>
    <x v="299"/>
    <n v="0"/>
  </r>
  <r>
    <s v="2008-0386-ETH"/>
    <x v="10"/>
    <n v="2008"/>
    <s v="Flood"/>
    <x v="300"/>
    <n v="0"/>
  </r>
  <r>
    <s v="2008-0517-ETH"/>
    <x v="10"/>
    <n v="2008"/>
    <s v="Flood"/>
    <x v="301"/>
    <n v="0"/>
  </r>
  <r>
    <s v="2009-9615-ETH"/>
    <x v="10"/>
    <n v="2009"/>
    <s v="Drought"/>
    <x v="302"/>
    <n v="0"/>
  </r>
  <r>
    <s v="2010-0115-ETH"/>
    <x v="10"/>
    <n v="2010"/>
    <s v="Flood"/>
    <x v="303"/>
    <n v="0"/>
  </r>
  <r>
    <s v="2010-0450-ETH"/>
    <x v="10"/>
    <n v="2010"/>
    <s v="Flood"/>
    <x v="120"/>
    <n v="0"/>
  </r>
  <r>
    <s v="2010-9082-ETH"/>
    <x v="10"/>
    <n v="2011"/>
    <s v="Drought"/>
    <x v="304"/>
    <n v="0"/>
  </r>
  <r>
    <s v="2011-0631-ETH"/>
    <x v="10"/>
    <n v="2011"/>
    <s v="Flood"/>
    <x v="305"/>
    <n v="0"/>
  </r>
  <r>
    <s v="2011-9663-ETH"/>
    <x v="10"/>
    <n v="2012"/>
    <s v="Drought"/>
    <x v="167"/>
    <n v="0"/>
  </r>
  <r>
    <s v="2013-0125-ETH"/>
    <x v="10"/>
    <n v="2013"/>
    <s v="Flood"/>
    <x v="306"/>
    <n v="2200"/>
  </r>
  <r>
    <s v="2015-9545-ETH"/>
    <x v="10"/>
    <n v="2015"/>
    <s v="Drought"/>
    <x v="307"/>
    <n v="1400000"/>
  </r>
  <r>
    <s v="2015-0548-ETH"/>
    <x v="10"/>
    <n v="2015"/>
    <s v="Flood"/>
    <x v="308"/>
    <n v="0"/>
  </r>
  <r>
    <s v="2016-0101-ETH"/>
    <x v="10"/>
    <n v="2016"/>
    <s v="Flood"/>
    <x v="309"/>
    <n v="0"/>
  </r>
  <r>
    <s v="2016-0186-ETH"/>
    <x v="10"/>
    <n v="2016"/>
    <s v="Flood"/>
    <x v="310"/>
    <n v="0"/>
  </r>
  <r>
    <s v="2019-0500-ETH"/>
    <x v="10"/>
    <n v="2019"/>
    <s v="Flood"/>
    <x v="155"/>
    <n v="0"/>
  </r>
  <r>
    <s v="2020-0159-ETH"/>
    <x v="10"/>
    <n v="2020"/>
    <s v="Flood"/>
    <x v="311"/>
    <n v="0"/>
  </r>
  <r>
    <s v="2020-0564-ETH"/>
    <x v="10"/>
    <n v="2020"/>
    <s v="Flood"/>
    <x v="312"/>
    <n v="0"/>
  </r>
  <r>
    <s v="2021-9546-ETH"/>
    <x v="10"/>
    <n v="2021"/>
    <s v="Drought"/>
    <x v="313"/>
    <n v="0"/>
  </r>
  <r>
    <s v="2021-0343-ETH"/>
    <x v="10"/>
    <n v="2021"/>
    <s v="Flood"/>
    <x v="7"/>
    <n v="0"/>
  </r>
  <r>
    <s v="2022-9174-ETH"/>
    <x v="10"/>
    <n v="2022"/>
    <s v="Drought"/>
    <x v="314"/>
    <n v="640000"/>
  </r>
  <r>
    <s v="2022-0716-ETH"/>
    <x v="10"/>
    <n v="2022"/>
    <s v="Flood"/>
    <x v="315"/>
    <n v="0"/>
  </r>
  <r>
    <s v="2023-0187-ETH"/>
    <x v="10"/>
    <n v="2023"/>
    <s v="Flood"/>
    <x v="316"/>
    <n v="0"/>
  </r>
  <r>
    <s v="2023-0728-ETH"/>
    <x v="10"/>
    <n v="2023"/>
    <s v="Flood"/>
    <x v="157"/>
    <n v="0"/>
  </r>
  <r>
    <s v="2024-0341-ETH"/>
    <x v="10"/>
    <n v="2024"/>
    <s v="Flood"/>
    <x v="317"/>
    <n v="0"/>
  </r>
  <r>
    <s v="2001-9383-GTM"/>
    <x v="11"/>
    <n v="2001"/>
    <s v="Drought"/>
    <x v="318"/>
    <n v="14000"/>
  </r>
  <r>
    <s v="2001-0023-GTM"/>
    <x v="11"/>
    <n v="2001"/>
    <s v="Earthquake"/>
    <x v="319"/>
    <n v="50"/>
  </r>
  <r>
    <s v="2001-0570-GTM"/>
    <x v="11"/>
    <n v="2001"/>
    <s v="Storm"/>
    <x v="320"/>
    <n v="100"/>
  </r>
  <r>
    <s v="2002-0103-GTM"/>
    <x v="11"/>
    <n v="2002"/>
    <s v="Flood"/>
    <x v="321"/>
    <n v="0"/>
  </r>
  <r>
    <s v="2002-0849-GTM"/>
    <x v="11"/>
    <n v="2002"/>
    <s v="Storm"/>
    <x v="18"/>
    <n v="100"/>
  </r>
  <r>
    <s v="2005-0593-GTM"/>
    <x v="11"/>
    <n v="2005"/>
    <s v="Flood"/>
    <x v="7"/>
    <n v="0"/>
  </r>
  <r>
    <s v="2005-0567-GTM"/>
    <x v="11"/>
    <n v="2005"/>
    <s v="Storm"/>
    <x v="322"/>
    <n v="988300"/>
  </r>
  <r>
    <s v="2007-0468-GTM"/>
    <x v="11"/>
    <n v="2007"/>
    <s v="Flood"/>
    <x v="323"/>
    <n v="0"/>
  </r>
  <r>
    <s v="2007-0503-GTM"/>
    <x v="11"/>
    <n v="2007"/>
    <s v="Flood"/>
    <x v="324"/>
    <n v="0"/>
  </r>
  <r>
    <s v="2007-0439-GTM"/>
    <x v="11"/>
    <n v="2007"/>
    <s v="Storm"/>
    <x v="325"/>
    <n v="0"/>
  </r>
  <r>
    <s v="2008-0268-GTM"/>
    <x v="11"/>
    <n v="2008"/>
    <s v="Flood"/>
    <x v="326"/>
    <n v="0"/>
  </r>
  <r>
    <s v="2008-0484-GTM"/>
    <x v="11"/>
    <n v="2008"/>
    <s v="Flood"/>
    <x v="327"/>
    <n v="0"/>
  </r>
  <r>
    <s v="2008-0304-GTM"/>
    <x v="11"/>
    <n v="2008"/>
    <s v="Storm"/>
    <x v="7"/>
    <n v="0"/>
  </r>
  <r>
    <s v="2009-9415-GTM"/>
    <x v="11"/>
    <n v="2009"/>
    <s v="Drought"/>
    <x v="328"/>
    <n v="0"/>
  </r>
  <r>
    <s v="2009-0234-GTM"/>
    <x v="11"/>
    <n v="2009"/>
    <s v="Flood"/>
    <x v="329"/>
    <n v="0"/>
  </r>
  <r>
    <s v="2010-0442-GTM"/>
    <x v="11"/>
    <n v="2010"/>
    <s v="Flood"/>
    <x v="330"/>
    <n v="0"/>
  </r>
  <r>
    <s v="2010-0211-GTM"/>
    <x v="11"/>
    <n v="2010"/>
    <s v="Storm"/>
    <x v="331"/>
    <n v="650000"/>
  </r>
  <r>
    <s v="2010-0260-GTM"/>
    <x v="11"/>
    <n v="2010"/>
    <s v="Storm"/>
    <x v="332"/>
    <n v="0"/>
  </r>
  <r>
    <s v="2010-0503-GTM"/>
    <x v="11"/>
    <n v="2010"/>
    <s v="Storm"/>
    <x v="7"/>
    <n v="0"/>
  </r>
  <r>
    <s v="2011-0373-GTM"/>
    <x v="11"/>
    <n v="2011"/>
    <s v="Earthquake"/>
    <x v="11"/>
    <n v="0"/>
  </r>
  <r>
    <s v="2011-0338-GTM"/>
    <x v="11"/>
    <n v="2011"/>
    <s v="Flood"/>
    <x v="333"/>
    <n v="0"/>
  </r>
  <r>
    <s v="2011-0386-GTM"/>
    <x v="11"/>
    <n v="2011"/>
    <s v="Flood"/>
    <x v="334"/>
    <n v="61913"/>
  </r>
  <r>
    <s v="2011-0589-GTM"/>
    <x v="11"/>
    <n v="2011"/>
    <s v="Flood"/>
    <x v="7"/>
    <n v="0"/>
  </r>
  <r>
    <s v="2011-0267-GTM"/>
    <x v="11"/>
    <n v="2011"/>
    <s v="Storm"/>
    <x v="7"/>
    <n v="0"/>
  </r>
  <r>
    <s v="2012-9355-GTM"/>
    <x v="11"/>
    <n v="2012"/>
    <s v="Drought"/>
    <x v="335"/>
    <n v="0"/>
  </r>
  <r>
    <s v="2012-0407-GTM"/>
    <x v="11"/>
    <n v="2012"/>
    <s v="Earthquake"/>
    <x v="336"/>
    <n v="210000"/>
  </r>
  <r>
    <s v="2013-0405-GTM"/>
    <x v="11"/>
    <n v="2013"/>
    <s v="Earthquake"/>
    <x v="337"/>
    <n v="2000"/>
  </r>
  <r>
    <s v="2014-9277-GTM"/>
    <x v="11"/>
    <n v="2014"/>
    <s v="Drought"/>
    <x v="213"/>
    <n v="58000"/>
  </r>
  <r>
    <s v="2014-0234-GTM"/>
    <x v="11"/>
    <n v="2014"/>
    <s v="Earthquake"/>
    <x v="338"/>
    <n v="0"/>
  </r>
  <r>
    <s v="2014-0447-GTM"/>
    <x v="11"/>
    <n v="2014"/>
    <s v="Flood"/>
    <x v="339"/>
    <n v="0"/>
  </r>
  <r>
    <s v="2014-0183-GTM"/>
    <x v="11"/>
    <n v="2014"/>
    <s v="Storm"/>
    <x v="168"/>
    <n v="0"/>
  </r>
  <r>
    <s v="2015-0353-GTM"/>
    <x v="11"/>
    <n v="2015"/>
    <s v="Flood"/>
    <x v="340"/>
    <n v="0"/>
  </r>
  <r>
    <s v="2015-0446-GTM"/>
    <x v="11"/>
    <n v="2015"/>
    <s v="Flood"/>
    <x v="341"/>
    <n v="0"/>
  </r>
  <r>
    <s v="2016-0284-GTM"/>
    <x v="11"/>
    <n v="2016"/>
    <s v="Storm"/>
    <x v="342"/>
    <n v="0"/>
  </r>
  <r>
    <s v="2017-0382-GTM"/>
    <x v="11"/>
    <n v="2017"/>
    <s v="Earthquake"/>
    <x v="343"/>
    <n v="0"/>
  </r>
  <r>
    <s v="2017-0196-GTM"/>
    <x v="11"/>
    <n v="2017"/>
    <s v="Flood"/>
    <x v="37"/>
    <n v="0"/>
  </r>
  <r>
    <s v="2017-0416-GTM"/>
    <x v="11"/>
    <n v="2017"/>
    <s v="Flood"/>
    <x v="344"/>
    <n v="0"/>
  </r>
  <r>
    <s v="2017-0449-GTM"/>
    <x v="11"/>
    <n v="2017"/>
    <s v="Flood"/>
    <x v="10"/>
    <n v="0"/>
  </r>
  <r>
    <s v="2017-0450-GTM"/>
    <x v="11"/>
    <n v="2017"/>
    <s v="Flood"/>
    <x v="345"/>
    <n v="0"/>
  </r>
  <r>
    <s v="2017-0410-GTM"/>
    <x v="11"/>
    <n v="2017"/>
    <s v="Storm"/>
    <x v="346"/>
    <n v="0"/>
  </r>
  <r>
    <s v="2018-9277-GTM"/>
    <x v="11"/>
    <n v="2018"/>
    <s v="Drought"/>
    <x v="157"/>
    <n v="44669"/>
  </r>
  <r>
    <s v="2018-0157-GTM"/>
    <x v="11"/>
    <n v="2018"/>
    <s v="Flood"/>
    <x v="347"/>
    <n v="0"/>
  </r>
  <r>
    <s v="2018-0374-GTM"/>
    <x v="11"/>
    <n v="2018"/>
    <s v="Flood"/>
    <x v="12"/>
    <n v="0"/>
  </r>
  <r>
    <s v="2019-0395-GTM"/>
    <x v="11"/>
    <n v="2019"/>
    <s v="Storm"/>
    <x v="348"/>
    <n v="0"/>
  </r>
  <r>
    <s v="2019-0490-GTM"/>
    <x v="11"/>
    <n v="2019"/>
    <s v="Storm"/>
    <x v="114"/>
    <n v="0"/>
  </r>
  <r>
    <s v="2020-0183-GTM"/>
    <x v="11"/>
    <n v="2020"/>
    <s v="Flood"/>
    <x v="349"/>
    <n v="0"/>
  </r>
  <r>
    <s v="2020-0264-GTM"/>
    <x v="11"/>
    <n v="2020"/>
    <s v="Flood"/>
    <x v="350"/>
    <n v="0"/>
  </r>
  <r>
    <s v="2020-0218-GTM"/>
    <x v="11"/>
    <n v="2020"/>
    <s v="Storm"/>
    <x v="351"/>
    <n v="0"/>
  </r>
  <r>
    <s v="2020-0474-GTM"/>
    <x v="11"/>
    <n v="2020"/>
    <s v="Storm"/>
    <x v="352"/>
    <n v="386000"/>
  </r>
  <r>
    <s v="2020-0495-GTM"/>
    <x v="11"/>
    <n v="2020"/>
    <s v="Storm"/>
    <x v="353"/>
    <n v="0"/>
  </r>
  <r>
    <s v="2021-0230-GTM"/>
    <x v="11"/>
    <n v="2021"/>
    <s v="Flood"/>
    <x v="354"/>
    <n v="0"/>
  </r>
  <r>
    <s v="2021-0300-GTM"/>
    <x v="11"/>
    <n v="2021"/>
    <s v="Flood"/>
    <x v="355"/>
    <n v="0"/>
  </r>
  <r>
    <s v="2021-0588-GTM"/>
    <x v="11"/>
    <n v="2021"/>
    <s v="Flood"/>
    <x v="356"/>
    <n v="0"/>
  </r>
  <r>
    <s v="2022-0092-GTM"/>
    <x v="11"/>
    <n v="2022"/>
    <s v="Earthquake"/>
    <x v="357"/>
    <n v="0"/>
  </r>
  <r>
    <s v="2022-0317-GTM"/>
    <x v="11"/>
    <n v="2022"/>
    <s v="Flood"/>
    <x v="358"/>
    <n v="204000"/>
  </r>
  <r>
    <s v="2022-0647-GTM"/>
    <x v="11"/>
    <n v="2022"/>
    <s v="Storm"/>
    <x v="359"/>
    <n v="0"/>
  </r>
  <r>
    <s v="2023-0365-GTM"/>
    <x v="11"/>
    <n v="2023"/>
    <s v="Flood"/>
    <x v="360"/>
    <n v="0"/>
  </r>
  <r>
    <s v="2024-0363-GTM"/>
    <x v="11"/>
    <n v="2024"/>
    <s v="Flood"/>
    <x v="361"/>
    <n v="0"/>
  </r>
  <r>
    <s v="2024-0402-GTM"/>
    <x v="11"/>
    <n v="2024"/>
    <s v="Storm"/>
    <x v="362"/>
    <n v="0"/>
  </r>
  <r>
    <s v="2024-0857-GTM"/>
    <x v="11"/>
    <n v="2024"/>
    <s v="Storm"/>
    <x v="363"/>
    <n v="0"/>
  </r>
  <r>
    <s v="2001-0207-HTI"/>
    <x v="12"/>
    <n v="2001"/>
    <s v="Flood"/>
    <x v="364"/>
    <n v="0"/>
  </r>
  <r>
    <s v="2001-0611-HTI"/>
    <x v="12"/>
    <n v="2001"/>
    <s v="Storm"/>
    <x v="7"/>
    <n v="20"/>
  </r>
  <r>
    <s v="2002-0321-HTI"/>
    <x v="12"/>
    <n v="2002"/>
    <s v="Flood"/>
    <x v="365"/>
    <n v="1000"/>
  </r>
  <r>
    <s v="2002-0657-HTI"/>
    <x v="12"/>
    <n v="2002"/>
    <s v="Storm"/>
    <x v="13"/>
    <n v="0"/>
  </r>
  <r>
    <s v="2003-9758-HTI"/>
    <x v="12"/>
    <n v="2003"/>
    <s v="Drought"/>
    <x v="113"/>
    <n v="0"/>
  </r>
  <r>
    <s v="2003-0439-HTI"/>
    <x v="12"/>
    <n v="2003"/>
    <s v="Flood"/>
    <x v="366"/>
    <n v="0"/>
  </r>
  <r>
    <s v="2003-0624-HTI"/>
    <x v="12"/>
    <n v="2003"/>
    <s v="Flood"/>
    <x v="264"/>
    <n v="0"/>
  </r>
  <r>
    <s v="2003-0759-HTI"/>
    <x v="12"/>
    <n v="2003"/>
    <s v="Flood"/>
    <x v="367"/>
    <n v="0"/>
  </r>
  <r>
    <s v="2003-0495-HTI"/>
    <x v="12"/>
    <n v="2003"/>
    <s v="Storm"/>
    <x v="368"/>
    <n v="0"/>
  </r>
  <r>
    <s v="2004-0231-HTI"/>
    <x v="12"/>
    <n v="2004"/>
    <s v="Flood"/>
    <x v="369"/>
    <n v="0"/>
  </r>
  <r>
    <s v="2004-0462-HTI"/>
    <x v="12"/>
    <n v="2004"/>
    <s v="Storm"/>
    <x v="370"/>
    <n v="1000"/>
  </r>
  <r>
    <s v="2004-0473-HTI"/>
    <x v="12"/>
    <n v="2004"/>
    <s v="Storm"/>
    <x v="371"/>
    <n v="50000"/>
  </r>
  <r>
    <s v="2005-0378-HTI"/>
    <x v="12"/>
    <n v="2005"/>
    <s v="Flood"/>
    <x v="16"/>
    <n v="0"/>
  </r>
  <r>
    <s v="2005-0586-HTI"/>
    <x v="12"/>
    <n v="2005"/>
    <s v="Flood"/>
    <x v="169"/>
    <n v="0"/>
  </r>
  <r>
    <s v="2005-0733-HTI"/>
    <x v="12"/>
    <n v="2005"/>
    <s v="Flood"/>
    <x v="372"/>
    <n v="0"/>
  </r>
  <r>
    <s v="2005-0351-HTI"/>
    <x v="12"/>
    <n v="2005"/>
    <s v="Storm"/>
    <x v="373"/>
    <n v="50000"/>
  </r>
  <r>
    <s v="2005-0382-HTI"/>
    <x v="12"/>
    <n v="2005"/>
    <s v="Storm"/>
    <x v="374"/>
    <n v="0"/>
  </r>
  <r>
    <s v="2005-0567-HTI"/>
    <x v="12"/>
    <n v="2005"/>
    <s v="Storm"/>
    <x v="122"/>
    <n v="0"/>
  </r>
  <r>
    <s v="2005-0585-HTI"/>
    <x v="12"/>
    <n v="2005"/>
    <s v="Storm"/>
    <x v="7"/>
    <n v="500"/>
  </r>
  <r>
    <s v="2005-0597-HTI"/>
    <x v="12"/>
    <n v="2005"/>
    <s v="Storm"/>
    <x v="375"/>
    <n v="0"/>
  </r>
  <r>
    <s v="2006-0651-HTI"/>
    <x v="12"/>
    <n v="2006"/>
    <s v="Flood"/>
    <x v="376"/>
    <n v="0"/>
  </r>
  <r>
    <s v="2006-0716-HTI"/>
    <x v="12"/>
    <n v="2006"/>
    <s v="Flood"/>
    <x v="377"/>
    <n v="0"/>
  </r>
  <r>
    <s v="2006-0466-HTI"/>
    <x v="12"/>
    <n v="2006"/>
    <s v="Storm"/>
    <x v="114"/>
    <n v="0"/>
  </r>
  <r>
    <s v="2007-0134-HTI"/>
    <x v="12"/>
    <n v="2007"/>
    <s v="Flood"/>
    <x v="378"/>
    <n v="0"/>
  </r>
  <r>
    <s v="2007-0167-HTI"/>
    <x v="12"/>
    <n v="2007"/>
    <s v="Flood"/>
    <x v="249"/>
    <n v="0"/>
  </r>
  <r>
    <s v="2007-0281-HTI"/>
    <x v="12"/>
    <n v="2007"/>
    <s v="Flood"/>
    <x v="18"/>
    <n v="0"/>
  </r>
  <r>
    <s v="2007-0496-HTI"/>
    <x v="12"/>
    <n v="2007"/>
    <s v="Flood"/>
    <x v="379"/>
    <n v="0"/>
  </r>
  <r>
    <s v="2007-0360-HTI"/>
    <x v="12"/>
    <n v="2007"/>
    <s v="Storm"/>
    <x v="380"/>
    <n v="0"/>
  </r>
  <r>
    <s v="2007-0523-HTI"/>
    <x v="12"/>
    <n v="2007"/>
    <s v="Storm"/>
    <x v="381"/>
    <n v="0"/>
  </r>
  <r>
    <s v="2007-0612-HTI"/>
    <x v="12"/>
    <n v="2007"/>
    <s v="Storm"/>
    <x v="382"/>
    <n v="0"/>
  </r>
  <r>
    <s v="2008-0338-HTI"/>
    <x v="12"/>
    <n v="2008"/>
    <s v="Storm"/>
    <x v="383"/>
    <n v="0"/>
  </r>
  <r>
    <s v="2008-0352-HTI"/>
    <x v="12"/>
    <n v="2008"/>
    <s v="Storm"/>
    <x v="384"/>
    <n v="0"/>
  </r>
  <r>
    <s v="2008-0378-HTI"/>
    <x v="12"/>
    <n v="2008"/>
    <s v="Storm"/>
    <x v="385"/>
    <n v="0"/>
  </r>
  <r>
    <s v="2008-0384-HTI"/>
    <x v="12"/>
    <n v="2008"/>
    <s v="Storm"/>
    <x v="386"/>
    <n v="0"/>
  </r>
  <r>
    <s v="2009-0198-HTI"/>
    <x v="12"/>
    <n v="2009"/>
    <s v="Flood"/>
    <x v="387"/>
    <n v="0"/>
  </r>
  <r>
    <s v="2009-0418-HTI"/>
    <x v="12"/>
    <n v="2009"/>
    <s v="Flood"/>
    <x v="388"/>
    <n v="0"/>
  </r>
  <r>
    <s v="2009-0469-HTI"/>
    <x v="12"/>
    <n v="2009"/>
    <s v="Flood"/>
    <x v="16"/>
    <n v="0"/>
  </r>
  <r>
    <s v="2010-0017-HTI"/>
    <x v="12"/>
    <n v="2010"/>
    <s v="Earthquake"/>
    <x v="389"/>
    <n v="8000000"/>
  </r>
  <r>
    <s v="2010-0067-HTI"/>
    <x v="12"/>
    <n v="2010"/>
    <s v="Flood"/>
    <x v="390"/>
    <n v="0"/>
  </r>
  <r>
    <s v="2010-0092-HTI"/>
    <x v="12"/>
    <n v="2010"/>
    <s v="Flood"/>
    <x v="391"/>
    <n v="0"/>
  </r>
  <r>
    <s v="2010-0542-HTI"/>
    <x v="12"/>
    <n v="2010"/>
    <s v="Flood"/>
    <x v="7"/>
    <n v="0"/>
  </r>
  <r>
    <s v="2010-0508-HTI"/>
    <x v="12"/>
    <n v="2010"/>
    <s v="Storm"/>
    <x v="392"/>
    <n v="0"/>
  </r>
  <r>
    <s v="2010-0571-HTI"/>
    <x v="12"/>
    <n v="2010"/>
    <s v="Storm"/>
    <x v="393"/>
    <n v="0"/>
  </r>
  <r>
    <s v="2011-0199-HTI"/>
    <x v="12"/>
    <n v="2011"/>
    <s v="Flood"/>
    <x v="394"/>
    <n v="0"/>
  </r>
  <r>
    <s v="2011-0383-HTI"/>
    <x v="12"/>
    <n v="2011"/>
    <s v="Flood"/>
    <x v="395"/>
    <n v="0"/>
  </r>
  <r>
    <s v="2011-0303-HTI"/>
    <x v="12"/>
    <n v="2011"/>
    <s v="Storm"/>
    <x v="18"/>
    <n v="0"/>
  </r>
  <r>
    <s v="2011-0328-HTI"/>
    <x v="12"/>
    <n v="2011"/>
    <s v="Storm"/>
    <x v="136"/>
    <n v="0"/>
  </r>
  <r>
    <s v="2012-0114-HTI"/>
    <x v="12"/>
    <n v="2012"/>
    <s v="Flood"/>
    <x v="116"/>
    <n v="0"/>
  </r>
  <r>
    <s v="2012-0237-HTI"/>
    <x v="12"/>
    <n v="2012"/>
    <s v="Flood"/>
    <x v="396"/>
    <n v="0"/>
  </r>
  <r>
    <s v="2012-0596-HTI"/>
    <x v="12"/>
    <n v="2012"/>
    <s v="Flood"/>
    <x v="397"/>
    <n v="0"/>
  </r>
  <r>
    <s v="2012-0313-HTI"/>
    <x v="12"/>
    <n v="2012"/>
    <s v="Storm"/>
    <x v="398"/>
    <n v="0"/>
  </r>
  <r>
    <s v="2012-0410-HTI"/>
    <x v="12"/>
    <n v="2012"/>
    <s v="Storm"/>
    <x v="399"/>
    <n v="254000"/>
  </r>
  <r>
    <s v="2013-0213-HTI"/>
    <x v="12"/>
    <n v="2013"/>
    <s v="Flood"/>
    <x v="400"/>
    <n v="0"/>
  </r>
  <r>
    <s v="2014-9102-HTI"/>
    <x v="12"/>
    <n v="2014"/>
    <s v="Drought"/>
    <x v="167"/>
    <n v="2000"/>
  </r>
  <r>
    <s v="2014-0453-HTI"/>
    <x v="12"/>
    <n v="2014"/>
    <s v="Flood"/>
    <x v="401"/>
    <n v="0"/>
  </r>
  <r>
    <s v="2015-0116-HTI"/>
    <x v="12"/>
    <n v="2015"/>
    <s v="Flood"/>
    <x v="402"/>
    <n v="0"/>
  </r>
  <r>
    <s v="2015-0375-HTI"/>
    <x v="12"/>
    <n v="2015"/>
    <s v="Storm"/>
    <x v="403"/>
    <n v="0"/>
  </r>
  <r>
    <s v="2016-9052-HTI"/>
    <x v="12"/>
    <n v="2016"/>
    <s v="Drought"/>
    <x v="404"/>
    <n v="84000"/>
  </r>
  <r>
    <s v="2016-0053-HTI"/>
    <x v="12"/>
    <n v="2016"/>
    <s v="Flood"/>
    <x v="405"/>
    <n v="2000"/>
  </r>
  <r>
    <s v="2016-0126-HTI"/>
    <x v="12"/>
    <n v="2016"/>
    <s v="Flood"/>
    <x v="406"/>
    <n v="0"/>
  </r>
  <r>
    <s v="2016-0165-HTI"/>
    <x v="12"/>
    <n v="2016"/>
    <s v="Flood"/>
    <x v="7"/>
    <n v="0"/>
  </r>
  <r>
    <s v="2016-0184-HTI"/>
    <x v="12"/>
    <n v="2016"/>
    <s v="Flood"/>
    <x v="139"/>
    <n v="0"/>
  </r>
  <r>
    <s v="2016-0185-HTI"/>
    <x v="12"/>
    <n v="2016"/>
    <s v="Flood"/>
    <x v="407"/>
    <n v="0"/>
  </r>
  <r>
    <s v="2016-0418-HTI"/>
    <x v="12"/>
    <n v="2016"/>
    <s v="Flood"/>
    <x v="408"/>
    <n v="0"/>
  </r>
  <r>
    <s v="2016-0355-HTI"/>
    <x v="12"/>
    <n v="2016"/>
    <s v="Storm"/>
    <x v="409"/>
    <n v="2000000"/>
  </r>
  <r>
    <s v="2017-0209-HTI"/>
    <x v="12"/>
    <n v="2017"/>
    <s v="Flood"/>
    <x v="410"/>
    <n v="0"/>
  </r>
  <r>
    <s v="2017-0452-HTI"/>
    <x v="12"/>
    <n v="2017"/>
    <s v="Flood"/>
    <x v="160"/>
    <n v="0"/>
  </r>
  <r>
    <s v="2017-0137-HTI"/>
    <x v="12"/>
    <n v="2017"/>
    <s v="Storm"/>
    <x v="7"/>
    <n v="0"/>
  </r>
  <r>
    <s v="2017-0381-HTI"/>
    <x v="12"/>
    <n v="2017"/>
    <s v="Storm"/>
    <x v="411"/>
    <n v="0"/>
  </r>
  <r>
    <s v="2017-0383-HTI"/>
    <x v="12"/>
    <n v="2017"/>
    <s v="Storm"/>
    <x v="7"/>
    <n v="0"/>
  </r>
  <r>
    <s v="2018-0360-HTI"/>
    <x v="12"/>
    <n v="2018"/>
    <s v="Earthquake"/>
    <x v="412"/>
    <n v="0"/>
  </r>
  <r>
    <s v="2019-0215-HTI"/>
    <x v="12"/>
    <n v="2019"/>
    <s v="Flood"/>
    <x v="413"/>
    <n v="0"/>
  </r>
  <r>
    <s v="2019-0445-HTI"/>
    <x v="12"/>
    <n v="2019"/>
    <s v="Flood"/>
    <x v="414"/>
    <n v="0"/>
  </r>
  <r>
    <s v="2020-0376-HTI"/>
    <x v="12"/>
    <n v="2020"/>
    <s v="Storm"/>
    <x v="415"/>
    <n v="0"/>
  </r>
  <r>
    <s v="2021-0511-HTI"/>
    <x v="12"/>
    <n v="2021"/>
    <s v="Earthquake"/>
    <x v="416"/>
    <n v="1620071"/>
  </r>
  <r>
    <s v="2021-0184-HTI"/>
    <x v="12"/>
    <n v="2021"/>
    <s v="Flood"/>
    <x v="417"/>
    <n v="0"/>
  </r>
  <r>
    <s v="2021-0373-HTI"/>
    <x v="12"/>
    <n v="2021"/>
    <s v="Storm"/>
    <x v="14"/>
    <n v="0"/>
  </r>
  <r>
    <s v="2021-0510-HTI"/>
    <x v="12"/>
    <n v="2021"/>
    <s v="Storm"/>
    <x v="7"/>
    <n v="0"/>
  </r>
  <r>
    <s v="2022-0057-HTI"/>
    <x v="12"/>
    <n v="2022"/>
    <s v="Earthquake"/>
    <x v="418"/>
    <n v="0"/>
  </r>
  <r>
    <s v="2022-0069-HTI"/>
    <x v="12"/>
    <n v="2022"/>
    <s v="Flood"/>
    <x v="249"/>
    <n v="0"/>
  </r>
  <r>
    <s v="2022-0130-HTI"/>
    <x v="12"/>
    <n v="2022"/>
    <s v="Flood"/>
    <x v="20"/>
    <n v="0"/>
  </r>
  <r>
    <s v="2023-0339-HTI"/>
    <x v="12"/>
    <n v="2023"/>
    <s v="Flood"/>
    <x v="419"/>
    <n v="420000"/>
  </r>
  <r>
    <s v="2023-0763-HTI"/>
    <x v="12"/>
    <n v="2023"/>
    <s v="Flood"/>
    <x v="7"/>
    <n v="0"/>
  </r>
  <r>
    <s v="2024-0856-HTI"/>
    <x v="12"/>
    <n v="2024"/>
    <s v="Flood"/>
    <x v="420"/>
    <n v="0"/>
  </r>
  <r>
    <s v="2024-0901-HTI"/>
    <x v="12"/>
    <n v="2024"/>
    <s v="Flood"/>
    <x v="421"/>
    <n v="0"/>
  </r>
  <r>
    <s v="2024-0953-HTI"/>
    <x v="12"/>
    <n v="2024"/>
    <s v="Flood"/>
    <x v="422"/>
    <n v="0"/>
  </r>
  <r>
    <s v="2024-0857-HTI"/>
    <x v="12"/>
    <n v="2024"/>
    <s v="Storm"/>
    <x v="7"/>
    <n v="0"/>
  </r>
  <r>
    <s v="2001-9383-HND"/>
    <x v="13"/>
    <n v="2001"/>
    <s v="Drought"/>
    <x v="423"/>
    <n v="0"/>
  </r>
  <r>
    <s v="2001-0603-HND"/>
    <x v="13"/>
    <n v="2001"/>
    <s v="Storm"/>
    <x v="424"/>
    <n v="5000"/>
  </r>
  <r>
    <s v="2002-9838-HND"/>
    <x v="13"/>
    <n v="2002"/>
    <s v="Drought"/>
    <x v="126"/>
    <n v="0"/>
  </r>
  <r>
    <s v="2002-0329-HND"/>
    <x v="13"/>
    <n v="2002"/>
    <s v="Flood"/>
    <x v="425"/>
    <n v="100000"/>
  </r>
  <r>
    <s v="2002-0598-HND"/>
    <x v="13"/>
    <n v="2002"/>
    <s v="Flood"/>
    <x v="426"/>
    <n v="0"/>
  </r>
  <r>
    <s v="2003-0481-HND"/>
    <x v="13"/>
    <n v="2003"/>
    <s v="Flood"/>
    <x v="427"/>
    <n v="0"/>
  </r>
  <r>
    <s v="2003-0661-HND"/>
    <x v="13"/>
    <n v="2003"/>
    <s v="Flood"/>
    <x v="139"/>
    <n v="20000"/>
  </r>
  <r>
    <s v="2004-9363-HND"/>
    <x v="13"/>
    <n v="2004"/>
    <s v="Drought"/>
    <x v="428"/>
    <n v="0"/>
  </r>
  <r>
    <s v="2005-0348-HND"/>
    <x v="13"/>
    <n v="2005"/>
    <s v="Flood"/>
    <x v="429"/>
    <n v="0"/>
  </r>
  <r>
    <s v="2005-0567-HND"/>
    <x v="13"/>
    <n v="2005"/>
    <s v="Storm"/>
    <x v="430"/>
    <n v="100000"/>
  </r>
  <r>
    <s v="2005-0585-HND"/>
    <x v="13"/>
    <n v="2005"/>
    <s v="Storm"/>
    <x v="7"/>
    <n v="0"/>
  </r>
  <r>
    <s v="2005-0625-HND"/>
    <x v="13"/>
    <n v="2005"/>
    <s v="Storm"/>
    <x v="116"/>
    <n v="0"/>
  </r>
  <r>
    <s v="2005-0640-HND"/>
    <x v="13"/>
    <n v="2005"/>
    <s v="Storm"/>
    <x v="277"/>
    <n v="15500"/>
  </r>
  <r>
    <s v="2006-0338-HND"/>
    <x v="13"/>
    <n v="2006"/>
    <s v="Flood"/>
    <x v="18"/>
    <n v="8000"/>
  </r>
  <r>
    <s v="2007-0461-HND"/>
    <x v="13"/>
    <n v="2007"/>
    <s v="Earthquake"/>
    <x v="431"/>
    <n v="0"/>
  </r>
  <r>
    <s v="2007-0503-HND"/>
    <x v="13"/>
    <n v="2007"/>
    <s v="Flood"/>
    <x v="114"/>
    <n v="0"/>
  </r>
  <r>
    <s v="2007-0543-HND"/>
    <x v="13"/>
    <n v="2007"/>
    <s v="Flood"/>
    <x v="20"/>
    <n v="0"/>
  </r>
  <r>
    <s v="2007-0439-HND"/>
    <x v="13"/>
    <n v="2007"/>
    <s v="Storm"/>
    <x v="432"/>
    <n v="6579"/>
  </r>
  <r>
    <s v="2008-0484-HND"/>
    <x v="13"/>
    <n v="2008"/>
    <s v="Flood"/>
    <x v="433"/>
    <n v="0"/>
  </r>
  <r>
    <s v="2008-0234-HND"/>
    <x v="13"/>
    <n v="2008"/>
    <s v="Storm"/>
    <x v="7"/>
    <n v="0"/>
  </r>
  <r>
    <s v="2009-9559-HND"/>
    <x v="13"/>
    <n v="2009"/>
    <s v="Drought"/>
    <x v="402"/>
    <n v="0"/>
  </r>
  <r>
    <s v="2009-0205-HND"/>
    <x v="13"/>
    <n v="2009"/>
    <s v="Earthquake"/>
    <x v="434"/>
    <n v="100000"/>
  </r>
  <r>
    <s v="2010-0443-HND"/>
    <x v="13"/>
    <n v="2010"/>
    <s v="Flood"/>
    <x v="435"/>
    <n v="0"/>
  </r>
  <r>
    <s v="2010-0447-HND"/>
    <x v="13"/>
    <n v="2010"/>
    <s v="Flood"/>
    <x v="436"/>
    <n v="0"/>
  </r>
  <r>
    <s v="2010-0211-HND"/>
    <x v="13"/>
    <n v="2010"/>
    <s v="Storm"/>
    <x v="437"/>
    <n v="90000"/>
  </r>
  <r>
    <s v="2010-0503-HND"/>
    <x v="13"/>
    <n v="2010"/>
    <s v="Storm"/>
    <x v="7"/>
    <n v="0"/>
  </r>
  <r>
    <s v="2011-0386-HND"/>
    <x v="13"/>
    <n v="2011"/>
    <s v="Flood"/>
    <x v="438"/>
    <n v="0"/>
  </r>
  <r>
    <s v="2012-9379-HND"/>
    <x v="13"/>
    <n v="2012"/>
    <s v="Drought"/>
    <x v="439"/>
    <n v="0"/>
  </r>
  <r>
    <s v="2014-9332-HND"/>
    <x v="13"/>
    <n v="2014"/>
    <s v="Drought"/>
    <x v="440"/>
    <n v="0"/>
  </r>
  <r>
    <s v="2014-0007-HND"/>
    <x v="13"/>
    <n v="2014"/>
    <s v="Flood"/>
    <x v="33"/>
    <n v="0"/>
  </r>
  <r>
    <s v="2014-0447-HND"/>
    <x v="13"/>
    <n v="2014"/>
    <s v="Flood"/>
    <x v="139"/>
    <n v="1400"/>
  </r>
  <r>
    <s v="2016-0356-HND"/>
    <x v="13"/>
    <n v="2016"/>
    <s v="Flood"/>
    <x v="441"/>
    <n v="0"/>
  </r>
  <r>
    <s v="2016-0284-HND"/>
    <x v="13"/>
    <n v="2016"/>
    <s v="Storm"/>
    <x v="442"/>
    <n v="0"/>
  </r>
  <r>
    <s v="2017-0196-HND"/>
    <x v="13"/>
    <n v="2017"/>
    <s v="Flood"/>
    <x v="35"/>
    <n v="0"/>
  </r>
  <r>
    <s v="2017-0227-HND"/>
    <x v="13"/>
    <n v="2017"/>
    <s v="Flood"/>
    <x v="11"/>
    <n v="0"/>
  </r>
  <r>
    <s v="2017-0449-HND"/>
    <x v="13"/>
    <n v="2017"/>
    <s v="Flood"/>
    <x v="443"/>
    <n v="0"/>
  </r>
  <r>
    <s v="2017-0410-HND"/>
    <x v="13"/>
    <n v="2017"/>
    <s v="Storm"/>
    <x v="4"/>
    <n v="0"/>
  </r>
  <r>
    <s v="2018-9277-HND"/>
    <x v="13"/>
    <n v="2018"/>
    <s v="Drought"/>
    <x v="444"/>
    <n v="0"/>
  </r>
  <r>
    <s v="2018-0374-HND"/>
    <x v="13"/>
    <n v="2018"/>
    <s v="Flood"/>
    <x v="445"/>
    <n v="0"/>
  </r>
  <r>
    <s v="2020-0075-HND"/>
    <x v="13"/>
    <n v="2020"/>
    <s v="Flood"/>
    <x v="446"/>
    <n v="0"/>
  </r>
  <r>
    <s v="2020-0218-HND"/>
    <x v="13"/>
    <n v="2020"/>
    <s v="Storm"/>
    <x v="6"/>
    <n v="0"/>
  </r>
  <r>
    <s v="2020-0474-HND"/>
    <x v="13"/>
    <n v="2020"/>
    <s v="Storm"/>
    <x v="447"/>
    <n v="0"/>
  </r>
  <r>
    <s v="2020-0495-HND"/>
    <x v="13"/>
    <n v="2020"/>
    <s v="Storm"/>
    <x v="448"/>
    <n v="0"/>
  </r>
  <r>
    <s v="2022-0086-HND"/>
    <x v="13"/>
    <n v="2022"/>
    <s v="Flood"/>
    <x v="449"/>
    <n v="0"/>
  </r>
  <r>
    <s v="2022-0655-HND"/>
    <x v="13"/>
    <n v="2022"/>
    <s v="Flood"/>
    <x v="450"/>
    <n v="0"/>
  </r>
  <r>
    <s v="2022-0647-HND"/>
    <x v="13"/>
    <n v="2022"/>
    <s v="Storm"/>
    <x v="451"/>
    <n v="0"/>
  </r>
  <r>
    <s v="2023-9167-HND"/>
    <x v="13"/>
    <n v="2023"/>
    <s v="Drought"/>
    <x v="452"/>
    <n v="0"/>
  </r>
  <r>
    <s v="2023-0703-HND"/>
    <x v="13"/>
    <n v="2023"/>
    <s v="Storm"/>
    <x v="7"/>
    <n v="0"/>
  </r>
  <r>
    <s v="2023-0732-HND"/>
    <x v="13"/>
    <n v="2023"/>
    <s v="Storm"/>
    <x v="453"/>
    <n v="0"/>
  </r>
  <r>
    <s v="2024-0402-HND"/>
    <x v="13"/>
    <n v="2024"/>
    <s v="Storm"/>
    <x v="18"/>
    <n v="0"/>
  </r>
  <r>
    <s v="2024-0857-HND"/>
    <x v="13"/>
    <n v="2024"/>
    <s v="Storm"/>
    <x v="454"/>
    <n v="0"/>
  </r>
  <r>
    <s v="2001-0033-IND"/>
    <x v="14"/>
    <n v="2001"/>
    <s v="Earthquake"/>
    <x v="455"/>
    <n v="2623000"/>
  </r>
  <r>
    <s v="2001-0243-IND"/>
    <x v="14"/>
    <n v="2001"/>
    <s v="Flood"/>
    <x v="279"/>
    <n v="0"/>
  </r>
  <r>
    <s v="2001-0332-IND"/>
    <x v="14"/>
    <n v="2001"/>
    <s v="Flood"/>
    <x v="456"/>
    <n v="90000"/>
  </r>
  <r>
    <s v="2001-0349-IND"/>
    <x v="14"/>
    <n v="2001"/>
    <s v="Flood"/>
    <x v="94"/>
    <n v="0"/>
  </r>
  <r>
    <s v="2001-0387-IND"/>
    <x v="14"/>
    <n v="2001"/>
    <s v="Flood"/>
    <x v="43"/>
    <n v="116924"/>
  </r>
  <r>
    <s v="2001-0465-IND"/>
    <x v="14"/>
    <n v="2001"/>
    <s v="Flood"/>
    <x v="196"/>
    <n v="0"/>
  </r>
  <r>
    <s v="2001-0502-IND"/>
    <x v="14"/>
    <n v="2001"/>
    <s v="Flood"/>
    <x v="240"/>
    <n v="0"/>
  </r>
  <r>
    <s v="2001-0515-IND"/>
    <x v="14"/>
    <n v="2001"/>
    <s v="Flood"/>
    <x v="457"/>
    <n v="26000"/>
  </r>
  <r>
    <s v="2001-0527-IND"/>
    <x v="14"/>
    <n v="2001"/>
    <s v="Flood"/>
    <x v="149"/>
    <n v="26000"/>
  </r>
  <r>
    <s v="2001-0794-IND"/>
    <x v="14"/>
    <n v="2001"/>
    <s v="Flood"/>
    <x v="7"/>
    <n v="103000"/>
  </r>
  <r>
    <s v="2001-0337-IND"/>
    <x v="14"/>
    <n v="2001"/>
    <s v="Storm"/>
    <x v="7"/>
    <n v="0"/>
  </r>
  <r>
    <s v="2001-0584-IND"/>
    <x v="14"/>
    <n v="2001"/>
    <s v="Storm"/>
    <x v="458"/>
    <n v="0"/>
  </r>
  <r>
    <s v="2002-9349-IND"/>
    <x v="14"/>
    <n v="2002"/>
    <s v="Drought"/>
    <x v="459"/>
    <n v="910722"/>
  </r>
  <r>
    <s v="2002-0584-IND"/>
    <x v="14"/>
    <n v="2002"/>
    <s v="Earthquake"/>
    <x v="96"/>
    <n v="0"/>
  </r>
  <r>
    <s v="2002-0374-IND"/>
    <x v="14"/>
    <n v="2002"/>
    <s v="Flood"/>
    <x v="460"/>
    <n v="30772"/>
  </r>
  <r>
    <s v="2002-0490-IND"/>
    <x v="14"/>
    <n v="2002"/>
    <s v="Flood"/>
    <x v="97"/>
    <n v="20000"/>
  </r>
  <r>
    <s v="2002-0539-IND"/>
    <x v="14"/>
    <n v="2002"/>
    <s v="Flood"/>
    <x v="139"/>
    <n v="0"/>
  </r>
  <r>
    <s v="2002-0568-IND"/>
    <x v="14"/>
    <n v="2002"/>
    <s v="Flood"/>
    <x v="44"/>
    <n v="0"/>
  </r>
  <r>
    <s v="2002-0650-IND"/>
    <x v="14"/>
    <n v="2002"/>
    <s v="Flood"/>
    <x v="7"/>
    <n v="0"/>
  </r>
  <r>
    <s v="2002-0729-IND"/>
    <x v="14"/>
    <n v="2002"/>
    <s v="Flood"/>
    <x v="96"/>
    <n v="0"/>
  </r>
  <r>
    <s v="2002-0204-IND"/>
    <x v="14"/>
    <n v="2002"/>
    <s v="Storm"/>
    <x v="461"/>
    <n v="416"/>
  </r>
  <r>
    <s v="2002-0216-IND"/>
    <x v="14"/>
    <n v="2002"/>
    <s v="Storm"/>
    <x v="462"/>
    <n v="0"/>
  </r>
  <r>
    <s v="2002-0308-IND"/>
    <x v="14"/>
    <n v="2002"/>
    <s v="Storm"/>
    <x v="7"/>
    <n v="0"/>
  </r>
  <r>
    <s v="2002-0702-IND"/>
    <x v="14"/>
    <n v="2002"/>
    <s v="Storm"/>
    <x v="7"/>
    <n v="0"/>
  </r>
  <r>
    <s v="2003-0283-IND"/>
    <x v="14"/>
    <n v="2003"/>
    <s v="Flood"/>
    <x v="463"/>
    <n v="0"/>
  </r>
  <r>
    <s v="2003-0387-IND"/>
    <x v="14"/>
    <n v="2003"/>
    <s v="Flood"/>
    <x v="464"/>
    <n v="0"/>
  </r>
  <r>
    <s v="2003-0683-IND"/>
    <x v="14"/>
    <n v="2003"/>
    <s v="Flood"/>
    <x v="465"/>
    <n v="169000"/>
  </r>
  <r>
    <s v="2003-0719-IND"/>
    <x v="14"/>
    <n v="2003"/>
    <s v="Flood"/>
    <x v="466"/>
    <n v="0"/>
  </r>
  <r>
    <s v="2003-0720-IND"/>
    <x v="14"/>
    <n v="2003"/>
    <s v="Flood"/>
    <x v="99"/>
    <n v="0"/>
  </r>
  <r>
    <s v="2003-0775-IND"/>
    <x v="14"/>
    <n v="2003"/>
    <s v="Flood"/>
    <x v="7"/>
    <n v="0"/>
  </r>
  <r>
    <s v="2003-0089-IND"/>
    <x v="14"/>
    <n v="2003"/>
    <s v="Storm"/>
    <x v="96"/>
    <n v="0"/>
  </r>
  <r>
    <s v="2003-0099-IND"/>
    <x v="14"/>
    <n v="2003"/>
    <s v="Storm"/>
    <x v="94"/>
    <n v="0"/>
  </r>
  <r>
    <s v="2003-0100-IND"/>
    <x v="14"/>
    <n v="2003"/>
    <s v="Storm"/>
    <x v="84"/>
    <n v="0"/>
  </r>
  <r>
    <s v="2003-0134-IND"/>
    <x v="14"/>
    <n v="2003"/>
    <s v="Storm"/>
    <x v="467"/>
    <n v="16000"/>
  </r>
  <r>
    <s v="2003-0182-IND"/>
    <x v="14"/>
    <n v="2003"/>
    <s v="Storm"/>
    <x v="468"/>
    <n v="0"/>
  </r>
  <r>
    <s v="2003-0234-IND"/>
    <x v="14"/>
    <n v="2003"/>
    <s v="Storm"/>
    <x v="469"/>
    <n v="0"/>
  </r>
  <r>
    <s v="2003-0605-IND"/>
    <x v="14"/>
    <n v="2003"/>
    <s v="Storm"/>
    <x v="43"/>
    <n v="28000"/>
  </r>
  <r>
    <s v="2004-0659-IND"/>
    <x v="14"/>
    <n v="2004"/>
    <s v="Earthquake"/>
    <x v="470"/>
    <n v="1022800"/>
  </r>
  <r>
    <s v="2004-0178-IND"/>
    <x v="14"/>
    <n v="2004"/>
    <s v="Flood"/>
    <x v="44"/>
    <n v="0"/>
  </r>
  <r>
    <s v="2004-0298-IND"/>
    <x v="14"/>
    <n v="2004"/>
    <s v="Flood"/>
    <x v="471"/>
    <n v="2500000"/>
  </r>
  <r>
    <s v="2004-0321-IND"/>
    <x v="14"/>
    <n v="2004"/>
    <s v="Flood"/>
    <x v="10"/>
    <n v="0"/>
  </r>
  <r>
    <s v="2004-0489-IND"/>
    <x v="14"/>
    <n v="2004"/>
    <s v="Flood"/>
    <x v="7"/>
    <n v="0"/>
  </r>
  <r>
    <s v="2004-0509-IND"/>
    <x v="14"/>
    <n v="2004"/>
    <s v="Flood"/>
    <x v="168"/>
    <n v="0"/>
  </r>
  <r>
    <s v="2004-0734-IND"/>
    <x v="14"/>
    <n v="2004"/>
    <s v="Flood"/>
    <x v="168"/>
    <n v="276000"/>
  </r>
  <r>
    <s v="2005-0575-IND"/>
    <x v="14"/>
    <n v="2005"/>
    <s v="Earthquake"/>
    <x v="472"/>
    <n v="1000000"/>
  </r>
  <r>
    <s v="2005-0314-IND"/>
    <x v="14"/>
    <n v="2005"/>
    <s v="Flood"/>
    <x v="473"/>
    <n v="0"/>
  </r>
  <r>
    <s v="2005-0335-IND"/>
    <x v="14"/>
    <n v="2005"/>
    <s v="Flood"/>
    <x v="474"/>
    <n v="2300000"/>
  </r>
  <r>
    <s v="2005-0354-IND"/>
    <x v="14"/>
    <n v="2005"/>
    <s v="Flood"/>
    <x v="7"/>
    <n v="0"/>
  </r>
  <r>
    <s v="2005-0361-IND"/>
    <x v="14"/>
    <n v="2005"/>
    <s v="Flood"/>
    <x v="44"/>
    <n v="23000"/>
  </r>
  <r>
    <s v="2005-0375-IND"/>
    <x v="14"/>
    <n v="2005"/>
    <s v="Flood"/>
    <x v="475"/>
    <n v="0"/>
  </r>
  <r>
    <s v="2005-0398-IND"/>
    <x v="14"/>
    <n v="2005"/>
    <s v="Flood"/>
    <x v="476"/>
    <n v="0"/>
  </r>
  <r>
    <s v="2005-0399-IND"/>
    <x v="14"/>
    <n v="2005"/>
    <s v="Flood"/>
    <x v="122"/>
    <n v="0"/>
  </r>
  <r>
    <s v="2005-0409-IND"/>
    <x v="14"/>
    <n v="2005"/>
    <s v="Flood"/>
    <x v="477"/>
    <n v="3330000"/>
  </r>
  <r>
    <s v="2005-0471-IND"/>
    <x v="14"/>
    <n v="2005"/>
    <s v="Flood"/>
    <x v="478"/>
    <n v="0"/>
  </r>
  <r>
    <s v="2005-0504-IND"/>
    <x v="14"/>
    <n v="2005"/>
    <s v="Flood"/>
    <x v="168"/>
    <n v="0"/>
  </r>
  <r>
    <s v="2005-0539-IND"/>
    <x v="14"/>
    <n v="2005"/>
    <s v="Flood"/>
    <x v="479"/>
    <n v="0"/>
  </r>
  <r>
    <s v="2005-0541-IND"/>
    <x v="14"/>
    <n v="2005"/>
    <s v="Flood"/>
    <x v="480"/>
    <n v="420000"/>
  </r>
  <r>
    <s v="2005-0599-IND"/>
    <x v="14"/>
    <n v="2005"/>
    <s v="Flood"/>
    <x v="481"/>
    <n v="117000"/>
  </r>
  <r>
    <s v="2005-0603-IND"/>
    <x v="14"/>
    <n v="2005"/>
    <s v="Flood"/>
    <x v="7"/>
    <n v="0"/>
  </r>
  <r>
    <s v="2005-0627-IND"/>
    <x v="14"/>
    <n v="2005"/>
    <s v="Flood"/>
    <x v="482"/>
    <n v="0"/>
  </r>
  <r>
    <s v="2005-0677-IND"/>
    <x v="14"/>
    <n v="2005"/>
    <s v="Flood"/>
    <x v="155"/>
    <n v="0"/>
  </r>
  <r>
    <s v="2005-0746-IND"/>
    <x v="14"/>
    <n v="2005"/>
    <s v="Flood"/>
    <x v="9"/>
    <n v="0"/>
  </r>
  <r>
    <s v="2005-0191-IND"/>
    <x v="14"/>
    <n v="2005"/>
    <s v="Storm"/>
    <x v="483"/>
    <n v="0"/>
  </r>
  <r>
    <s v="2005-0290-IND"/>
    <x v="14"/>
    <n v="2005"/>
    <s v="Storm"/>
    <x v="31"/>
    <n v="0"/>
  </r>
  <r>
    <s v="2005-0291-IND"/>
    <x v="14"/>
    <n v="2005"/>
    <s v="Storm"/>
    <x v="31"/>
    <n v="0"/>
  </r>
  <r>
    <s v="2005-0537-IND"/>
    <x v="14"/>
    <n v="2005"/>
    <s v="Storm"/>
    <x v="484"/>
    <n v="0"/>
  </r>
  <r>
    <s v="2006-0207-IND"/>
    <x v="14"/>
    <n v="2006"/>
    <s v="Flood"/>
    <x v="7"/>
    <n v="0"/>
  </r>
  <r>
    <s v="2006-0262-IND"/>
    <x v="14"/>
    <n v="2006"/>
    <s v="Flood"/>
    <x v="485"/>
    <n v="0"/>
  </r>
  <r>
    <s v="2006-0263-IND"/>
    <x v="14"/>
    <n v="2006"/>
    <s v="Flood"/>
    <x v="329"/>
    <n v="0"/>
  </r>
  <r>
    <s v="2006-0265-IND"/>
    <x v="14"/>
    <n v="2006"/>
    <s v="Flood"/>
    <x v="7"/>
    <n v="0"/>
  </r>
  <r>
    <s v="2006-0342-IND"/>
    <x v="14"/>
    <n v="2006"/>
    <s v="Flood"/>
    <x v="261"/>
    <n v="0"/>
  </r>
  <r>
    <s v="2006-0369-IND"/>
    <x v="14"/>
    <n v="2006"/>
    <s v="Flood"/>
    <x v="486"/>
    <n v="0"/>
  </r>
  <r>
    <s v="2006-0370-IND"/>
    <x v="14"/>
    <n v="2006"/>
    <s v="Flood"/>
    <x v="7"/>
    <n v="0"/>
  </r>
  <r>
    <s v="2006-0389-IND"/>
    <x v="14"/>
    <n v="2006"/>
    <s v="Flood"/>
    <x v="429"/>
    <n v="0"/>
  </r>
  <r>
    <s v="2006-0417-IND"/>
    <x v="14"/>
    <n v="2006"/>
    <s v="Flood"/>
    <x v="487"/>
    <n v="3390000"/>
  </r>
  <r>
    <s v="2006-0443-IND"/>
    <x v="14"/>
    <n v="2006"/>
    <s v="Flood"/>
    <x v="160"/>
    <n v="0"/>
  </r>
  <r>
    <s v="2006-0469-IND"/>
    <x v="14"/>
    <n v="2006"/>
    <s v="Flood"/>
    <x v="33"/>
    <n v="0"/>
  </r>
  <r>
    <s v="2006-0548-IND"/>
    <x v="14"/>
    <n v="2006"/>
    <s v="Flood"/>
    <x v="114"/>
    <n v="0"/>
  </r>
  <r>
    <s v="2006-0549-IND"/>
    <x v="14"/>
    <n v="2006"/>
    <s v="Flood"/>
    <x v="168"/>
    <n v="0"/>
  </r>
  <r>
    <s v="2006-0601-IND"/>
    <x v="14"/>
    <n v="2006"/>
    <s v="Flood"/>
    <x v="488"/>
    <n v="0"/>
  </r>
  <r>
    <s v="2006-0712-IND"/>
    <x v="14"/>
    <n v="2006"/>
    <s v="Flood"/>
    <x v="482"/>
    <n v="0"/>
  </r>
  <r>
    <s v="2006-0731-IND"/>
    <x v="14"/>
    <n v="2006"/>
    <s v="Flood"/>
    <x v="489"/>
    <n v="0"/>
  </r>
  <r>
    <s v="2006-0734-IND"/>
    <x v="14"/>
    <n v="2006"/>
    <s v="Flood"/>
    <x v="7"/>
    <n v="0"/>
  </r>
  <r>
    <s v="2006-0510-IND"/>
    <x v="14"/>
    <n v="2006"/>
    <s v="Storm"/>
    <x v="490"/>
    <n v="0"/>
  </r>
  <r>
    <s v="2006-0740-IND"/>
    <x v="14"/>
    <n v="2006"/>
    <s v="Storm"/>
    <x v="7"/>
    <n v="0"/>
  </r>
  <r>
    <s v="2007-0225-IND"/>
    <x v="14"/>
    <n v="2007"/>
    <s v="Flood"/>
    <x v="155"/>
    <n v="0"/>
  </r>
  <r>
    <s v="2007-0238-IND"/>
    <x v="14"/>
    <n v="2007"/>
    <s v="Flood"/>
    <x v="491"/>
    <n v="0"/>
  </r>
  <r>
    <s v="2007-0239-IND"/>
    <x v="14"/>
    <n v="2007"/>
    <s v="Flood"/>
    <x v="122"/>
    <n v="0"/>
  </r>
  <r>
    <s v="2007-0240-IND"/>
    <x v="14"/>
    <n v="2007"/>
    <s v="Flood"/>
    <x v="160"/>
    <n v="0"/>
  </r>
  <r>
    <s v="2007-0250-IND"/>
    <x v="14"/>
    <n v="2007"/>
    <s v="Flood"/>
    <x v="155"/>
    <n v="0"/>
  </r>
  <r>
    <s v="2007-0311-IND"/>
    <x v="14"/>
    <n v="2007"/>
    <s v="Flood"/>
    <x v="7"/>
    <n v="0"/>
  </r>
  <r>
    <s v="2007-0320-IND"/>
    <x v="14"/>
    <n v="2007"/>
    <s v="Flood"/>
    <x v="492"/>
    <n v="0"/>
  </r>
  <r>
    <s v="2007-0364-IND"/>
    <x v="14"/>
    <n v="2007"/>
    <s v="Flood"/>
    <x v="114"/>
    <n v="0"/>
  </r>
  <r>
    <s v="2007-0415-IND"/>
    <x v="14"/>
    <n v="2007"/>
    <s v="Flood"/>
    <x v="7"/>
    <n v="0"/>
  </r>
  <r>
    <s v="2007-0467-IND"/>
    <x v="14"/>
    <n v="2007"/>
    <s v="Flood"/>
    <x v="214"/>
    <n v="275000"/>
  </r>
  <r>
    <s v="2007-0469-IND"/>
    <x v="14"/>
    <n v="2007"/>
    <s v="Flood"/>
    <x v="33"/>
    <n v="0"/>
  </r>
  <r>
    <s v="2007-0524-IND"/>
    <x v="14"/>
    <n v="2007"/>
    <s v="Flood"/>
    <x v="160"/>
    <n v="0"/>
  </r>
  <r>
    <s v="2007-0596-IND"/>
    <x v="14"/>
    <n v="2007"/>
    <s v="Flood"/>
    <x v="154"/>
    <n v="0"/>
  </r>
  <r>
    <s v="2007-0602-IND"/>
    <x v="14"/>
    <n v="2007"/>
    <s v="Flood"/>
    <x v="493"/>
    <n v="0"/>
  </r>
  <r>
    <s v="2007-0603-IND"/>
    <x v="14"/>
    <n v="2007"/>
    <s v="Flood"/>
    <x v="113"/>
    <n v="101151"/>
  </r>
  <r>
    <s v="2007-0683-IND"/>
    <x v="14"/>
    <n v="2007"/>
    <s v="Flood"/>
    <x v="494"/>
    <n v="0"/>
  </r>
  <r>
    <s v="2007-0556-IND"/>
    <x v="14"/>
    <n v="2007"/>
    <s v="Storm"/>
    <x v="7"/>
    <n v="0"/>
  </r>
  <r>
    <s v="2008-0130-IND"/>
    <x v="14"/>
    <n v="2008"/>
    <s v="Flood"/>
    <x v="495"/>
    <n v="2000"/>
  </r>
  <r>
    <s v="2008-0246-IND"/>
    <x v="14"/>
    <n v="2008"/>
    <s v="Flood"/>
    <x v="496"/>
    <n v="123000"/>
  </r>
  <r>
    <s v="2008-0285-IND"/>
    <x v="14"/>
    <n v="2008"/>
    <s v="Flood"/>
    <x v="160"/>
    <n v="0"/>
  </r>
  <r>
    <s v="2008-0415-IND"/>
    <x v="14"/>
    <n v="2008"/>
    <s v="Flood"/>
    <x v="7"/>
    <n v="0"/>
  </r>
  <r>
    <s v="2008-0423-IND"/>
    <x v="14"/>
    <n v="2008"/>
    <s v="Flood"/>
    <x v="497"/>
    <n v="0"/>
  </r>
  <r>
    <s v="2008-0486-IND"/>
    <x v="14"/>
    <n v="2008"/>
    <s v="Flood"/>
    <x v="201"/>
    <n v="20000"/>
  </r>
  <r>
    <s v="2008-0560-IND"/>
    <x v="14"/>
    <n v="2008"/>
    <s v="Flood"/>
    <x v="498"/>
    <n v="0"/>
  </r>
  <r>
    <s v="2008-0615-IND"/>
    <x v="14"/>
    <n v="2008"/>
    <s v="Flood"/>
    <x v="488"/>
    <n v="0"/>
  </r>
  <r>
    <s v="2008-0646-IND"/>
    <x v="14"/>
    <n v="2008"/>
    <s v="Storm"/>
    <x v="97"/>
    <n v="25000"/>
  </r>
  <r>
    <s v="2009-9323-IND"/>
    <x v="14"/>
    <n v="2009"/>
    <s v="Drought"/>
    <x v="7"/>
    <n v="0"/>
  </r>
  <r>
    <s v="2009-0303-IND"/>
    <x v="14"/>
    <n v="2009"/>
    <s v="Flood"/>
    <x v="7"/>
    <n v="0"/>
  </r>
  <r>
    <s v="2009-0409-IND"/>
    <x v="14"/>
    <n v="2009"/>
    <s v="Flood"/>
    <x v="499"/>
    <n v="220000"/>
  </r>
  <r>
    <s v="2009-0429-IND"/>
    <x v="14"/>
    <n v="2009"/>
    <s v="Flood"/>
    <x v="500"/>
    <n v="2150000"/>
  </r>
  <r>
    <s v="2009-0443-IND"/>
    <x v="14"/>
    <n v="2009"/>
    <s v="Flood"/>
    <x v="7"/>
    <n v="0"/>
  </r>
  <r>
    <s v="2009-0483-IND"/>
    <x v="14"/>
    <n v="2009"/>
    <s v="Flood"/>
    <x v="494"/>
    <n v="64000"/>
  </r>
  <r>
    <s v="2009-0638-IND"/>
    <x v="14"/>
    <n v="2009"/>
    <s v="Flood"/>
    <x v="7"/>
    <n v="0"/>
  </r>
  <r>
    <s v="2009-0130-IND"/>
    <x v="14"/>
    <n v="2009"/>
    <s v="Storm"/>
    <x v="501"/>
    <n v="0"/>
  </r>
  <r>
    <s v="2009-0204-IND"/>
    <x v="14"/>
    <n v="2009"/>
    <s v="Storm"/>
    <x v="502"/>
    <n v="0"/>
  </r>
  <r>
    <s v="2009-0240-IND"/>
    <x v="14"/>
    <n v="2009"/>
    <s v="Storm"/>
    <x v="473"/>
    <n v="0"/>
  </r>
  <r>
    <s v="2009-0609-IND"/>
    <x v="14"/>
    <n v="2009"/>
    <s v="Storm"/>
    <x v="7"/>
    <n v="300000"/>
  </r>
  <r>
    <s v="2009-0640-IND"/>
    <x v="14"/>
    <n v="2009"/>
    <s v="Storm"/>
    <x v="503"/>
    <n v="0"/>
  </r>
  <r>
    <s v="2009-0641-IND"/>
    <x v="14"/>
    <n v="2009"/>
    <s v="Storm"/>
    <x v="7"/>
    <n v="0"/>
  </r>
  <r>
    <s v="2010-0276-IND"/>
    <x v="14"/>
    <n v="2010"/>
    <s v="Flood"/>
    <x v="196"/>
    <n v="447000"/>
  </r>
  <r>
    <s v="2010-0283-IND"/>
    <x v="14"/>
    <n v="2010"/>
    <s v="Flood"/>
    <x v="160"/>
    <n v="0"/>
  </r>
  <r>
    <s v="2010-0321-IND"/>
    <x v="14"/>
    <n v="2010"/>
    <s v="Flood"/>
    <x v="7"/>
    <n v="0"/>
  </r>
  <r>
    <s v="2010-0373-IND"/>
    <x v="14"/>
    <n v="2010"/>
    <s v="Flood"/>
    <x v="504"/>
    <n v="0"/>
  </r>
  <r>
    <s v="2010-0416-IND"/>
    <x v="14"/>
    <n v="2010"/>
    <s v="Flood"/>
    <x v="401"/>
    <n v="0"/>
  </r>
  <r>
    <s v="2010-0492-IND"/>
    <x v="14"/>
    <n v="2010"/>
    <s v="Flood"/>
    <x v="505"/>
    <n v="1680000"/>
  </r>
  <r>
    <s v="2010-0493-IND"/>
    <x v="14"/>
    <n v="2010"/>
    <s v="Flood"/>
    <x v="249"/>
    <n v="0"/>
  </r>
  <r>
    <s v="2010-0629-IND"/>
    <x v="14"/>
    <n v="2010"/>
    <s v="Flood"/>
    <x v="7"/>
    <n v="22000"/>
  </r>
  <r>
    <s v="2010-0171-IND"/>
    <x v="14"/>
    <n v="2010"/>
    <s v="Storm"/>
    <x v="154"/>
    <n v="0"/>
  </r>
  <r>
    <s v="2010-0177-IND"/>
    <x v="14"/>
    <n v="2010"/>
    <s v="Storm"/>
    <x v="97"/>
    <n v="0"/>
  </r>
  <r>
    <s v="2010-0198-IND"/>
    <x v="14"/>
    <n v="2010"/>
    <s v="Storm"/>
    <x v="7"/>
    <n v="0"/>
  </r>
  <r>
    <s v="2010-0428-IND"/>
    <x v="14"/>
    <n v="2010"/>
    <s v="Storm"/>
    <x v="7"/>
    <n v="0"/>
  </r>
  <r>
    <s v="2010-0688-IND"/>
    <x v="14"/>
    <n v="2010"/>
    <s v="Storm"/>
    <x v="506"/>
    <n v="0"/>
  </r>
  <r>
    <s v="2010-0693-IND"/>
    <x v="14"/>
    <n v="2010"/>
    <s v="Storm"/>
    <x v="7"/>
    <n v="0"/>
  </r>
  <r>
    <s v="2010-0694-IND"/>
    <x v="14"/>
    <n v="2010"/>
    <s v="Storm"/>
    <x v="44"/>
    <n v="0"/>
  </r>
  <r>
    <s v="2011-0351-IND"/>
    <x v="14"/>
    <n v="2011"/>
    <s v="Earthquake"/>
    <x v="507"/>
    <n v="0"/>
  </r>
  <r>
    <s v="2011-0327-IND"/>
    <x v="14"/>
    <n v="2011"/>
    <s v="Flood"/>
    <x v="279"/>
    <n v="275000"/>
  </r>
  <r>
    <s v="2011-0371-IND"/>
    <x v="14"/>
    <n v="2011"/>
    <s v="Flood"/>
    <x v="508"/>
    <n v="930000"/>
  </r>
  <r>
    <s v="2011-0422-IND"/>
    <x v="14"/>
    <n v="2011"/>
    <s v="Flood"/>
    <x v="116"/>
    <n v="0"/>
  </r>
  <r>
    <s v="2011-0424-IND"/>
    <x v="14"/>
    <n v="2011"/>
    <s v="Flood"/>
    <x v="509"/>
    <n v="0"/>
  </r>
  <r>
    <s v="2011-0428-IND"/>
    <x v="14"/>
    <n v="2011"/>
    <s v="Flood"/>
    <x v="155"/>
    <n v="0"/>
  </r>
  <r>
    <s v="2011-0473-IND"/>
    <x v="14"/>
    <n v="2011"/>
    <s v="Flood"/>
    <x v="510"/>
    <n v="432000"/>
  </r>
  <r>
    <s v="2011-0647-IND"/>
    <x v="14"/>
    <n v="2011"/>
    <s v="Flood"/>
    <x v="7"/>
    <n v="20000"/>
  </r>
  <r>
    <s v="2011-0176-IND"/>
    <x v="14"/>
    <n v="2011"/>
    <s v="Storm"/>
    <x v="97"/>
    <n v="0"/>
  </r>
  <r>
    <s v="2011-0566-IND"/>
    <x v="14"/>
    <n v="2011"/>
    <s v="Storm"/>
    <x v="189"/>
    <n v="375625"/>
  </r>
  <r>
    <s v="2011-0593-IND"/>
    <x v="14"/>
    <n v="2011"/>
    <s v="Storm"/>
    <x v="7"/>
    <n v="0"/>
  </r>
  <r>
    <s v="2012-0179-IND"/>
    <x v="14"/>
    <n v="2012"/>
    <s v="Flood"/>
    <x v="511"/>
    <n v="0"/>
  </r>
  <r>
    <s v="2012-0322-IND"/>
    <x v="14"/>
    <n v="2012"/>
    <s v="Flood"/>
    <x v="512"/>
    <n v="0"/>
  </r>
  <r>
    <s v="2012-0334-IND"/>
    <x v="14"/>
    <n v="2012"/>
    <s v="Flood"/>
    <x v="6"/>
    <n v="110000"/>
  </r>
  <r>
    <s v="2012-0354-IND"/>
    <x v="14"/>
    <n v="2012"/>
    <s v="Flood"/>
    <x v="96"/>
    <n v="20000"/>
  </r>
  <r>
    <s v="2012-0382-IND"/>
    <x v="14"/>
    <n v="2012"/>
    <s v="Flood"/>
    <x v="482"/>
    <n v="98000"/>
  </r>
  <r>
    <s v="2012-0584-IND"/>
    <x v="14"/>
    <n v="2012"/>
    <s v="Flood"/>
    <x v="513"/>
    <n v="16000"/>
  </r>
  <r>
    <s v="2012-0425-IND"/>
    <x v="14"/>
    <n v="2012"/>
    <s v="Storm"/>
    <x v="151"/>
    <n v="0"/>
  </r>
  <r>
    <s v="2013-0140-IND"/>
    <x v="14"/>
    <n v="2013"/>
    <s v="Earthquake"/>
    <x v="514"/>
    <n v="120000"/>
  </r>
  <r>
    <s v="2013-0192-IND"/>
    <x v="14"/>
    <n v="2013"/>
    <s v="Flood"/>
    <x v="515"/>
    <n v="1100000"/>
  </r>
  <r>
    <s v="2013-0260-IND"/>
    <x v="14"/>
    <n v="2013"/>
    <s v="Flood"/>
    <x v="154"/>
    <n v="2000"/>
  </r>
  <r>
    <s v="2013-0282-IND"/>
    <x v="14"/>
    <n v="2013"/>
    <s v="Flood"/>
    <x v="482"/>
    <n v="0"/>
  </r>
  <r>
    <s v="2013-0345-IND"/>
    <x v="14"/>
    <n v="2013"/>
    <s v="Flood"/>
    <x v="43"/>
    <n v="0"/>
  </r>
  <r>
    <s v="2013-0400-IND"/>
    <x v="14"/>
    <n v="2013"/>
    <s v="Flood"/>
    <x v="516"/>
    <n v="260000"/>
  </r>
  <r>
    <s v="2013-0090-IND"/>
    <x v="14"/>
    <n v="2013"/>
    <s v="Storm"/>
    <x v="7"/>
    <n v="0"/>
  </r>
  <r>
    <s v="2013-0138-IND"/>
    <x v="14"/>
    <n v="2013"/>
    <s v="Storm"/>
    <x v="94"/>
    <n v="0"/>
  </r>
  <r>
    <s v="2013-0401-IND"/>
    <x v="14"/>
    <n v="2013"/>
    <s v="Storm"/>
    <x v="517"/>
    <n v="633471"/>
  </r>
  <r>
    <s v="2013-0482-IND"/>
    <x v="14"/>
    <n v="2013"/>
    <s v="Storm"/>
    <x v="7"/>
    <n v="0"/>
  </r>
  <r>
    <s v="2013-0515-IND"/>
    <x v="14"/>
    <n v="2013"/>
    <s v="Storm"/>
    <x v="7"/>
    <n v="262000"/>
  </r>
  <r>
    <s v="2014-0218-IND"/>
    <x v="14"/>
    <n v="2014"/>
    <s v="Flood"/>
    <x v="518"/>
    <n v="2000"/>
  </r>
  <r>
    <s v="2014-0268-IND"/>
    <x v="14"/>
    <n v="2014"/>
    <s v="Flood"/>
    <x v="7"/>
    <n v="0"/>
  </r>
  <r>
    <s v="2014-0313-IND"/>
    <x v="14"/>
    <n v="2014"/>
    <s v="Flood"/>
    <x v="519"/>
    <n v="200000"/>
  </r>
  <r>
    <s v="2014-0343-IND"/>
    <x v="14"/>
    <n v="2014"/>
    <s v="Flood"/>
    <x v="223"/>
    <n v="16000000"/>
  </r>
  <r>
    <s v="2014-0391-IND"/>
    <x v="14"/>
    <n v="2014"/>
    <s v="Flood"/>
    <x v="520"/>
    <n v="163000"/>
  </r>
  <r>
    <s v="2014-0408-IND"/>
    <x v="14"/>
    <n v="2014"/>
    <s v="Flood"/>
    <x v="154"/>
    <n v="0"/>
  </r>
  <r>
    <s v="2014-0409-IND"/>
    <x v="14"/>
    <n v="2014"/>
    <s v="Flood"/>
    <x v="404"/>
    <n v="100000"/>
  </r>
  <r>
    <s v="2014-0106-IND"/>
    <x v="14"/>
    <n v="2014"/>
    <s v="Storm"/>
    <x v="521"/>
    <n v="0"/>
  </r>
  <r>
    <s v="2014-0182-IND"/>
    <x v="14"/>
    <n v="2014"/>
    <s v="Storm"/>
    <x v="522"/>
    <n v="0"/>
  </r>
  <r>
    <s v="2014-0392-IND"/>
    <x v="14"/>
    <n v="2014"/>
    <s v="Storm"/>
    <x v="523"/>
    <n v="7000000"/>
  </r>
  <r>
    <s v="2014-0538-IND"/>
    <x v="14"/>
    <n v="2014"/>
    <s v="Storm"/>
    <x v="7"/>
    <n v="0"/>
  </r>
  <r>
    <s v="2014-0551-IND"/>
    <x v="14"/>
    <n v="2014"/>
    <s v="Storm"/>
    <x v="524"/>
    <n v="0"/>
  </r>
  <r>
    <s v="2015-9618-IND"/>
    <x v="14"/>
    <n v="2015"/>
    <s v="Drought"/>
    <x v="525"/>
    <n v="3000000"/>
  </r>
  <r>
    <s v="2015-0144-IND"/>
    <x v="14"/>
    <n v="2015"/>
    <s v="Earthquake"/>
    <x v="526"/>
    <n v="0"/>
  </r>
  <r>
    <s v="2015-0175-IND"/>
    <x v="14"/>
    <n v="2015"/>
    <s v="Earthquake"/>
    <x v="7"/>
    <n v="0"/>
  </r>
  <r>
    <s v="2015-0476-IND"/>
    <x v="14"/>
    <n v="2015"/>
    <s v="Earthquake"/>
    <x v="230"/>
    <n v="0"/>
  </r>
  <r>
    <s v="2015-0107-IND"/>
    <x v="14"/>
    <n v="2015"/>
    <s v="Flood"/>
    <x v="527"/>
    <n v="76000"/>
  </r>
  <r>
    <s v="2015-0207-IND"/>
    <x v="14"/>
    <n v="2015"/>
    <s v="Flood"/>
    <x v="96"/>
    <n v="0"/>
  </r>
  <r>
    <s v="2015-0249-IND"/>
    <x v="14"/>
    <n v="2015"/>
    <s v="Flood"/>
    <x v="221"/>
    <n v="604000"/>
  </r>
  <r>
    <s v="2015-0253-IND"/>
    <x v="14"/>
    <n v="2015"/>
    <s v="Flood"/>
    <x v="10"/>
    <n v="0"/>
  </r>
  <r>
    <s v="2015-0317-IND"/>
    <x v="14"/>
    <n v="2015"/>
    <s v="Flood"/>
    <x v="528"/>
    <n v="0"/>
  </r>
  <r>
    <s v="2015-0333-IND"/>
    <x v="14"/>
    <n v="2015"/>
    <s v="Flood"/>
    <x v="7"/>
    <n v="0"/>
  </r>
  <r>
    <s v="2015-0374-IND"/>
    <x v="14"/>
    <n v="2015"/>
    <s v="Flood"/>
    <x v="529"/>
    <n v="0"/>
  </r>
  <r>
    <s v="2015-0406-IND"/>
    <x v="14"/>
    <n v="2015"/>
    <s v="Flood"/>
    <x v="530"/>
    <n v="0"/>
  </r>
  <r>
    <s v="2015-0413-IND"/>
    <x v="14"/>
    <n v="2015"/>
    <s v="Flood"/>
    <x v="531"/>
    <n v="0"/>
  </r>
  <r>
    <s v="2015-0504-IND"/>
    <x v="14"/>
    <n v="2015"/>
    <s v="Flood"/>
    <x v="532"/>
    <n v="2200000"/>
  </r>
  <r>
    <s v="2015-0118-IND"/>
    <x v="14"/>
    <n v="2015"/>
    <s v="Storm"/>
    <x v="122"/>
    <n v="3000"/>
  </r>
  <r>
    <s v="2015-0126-IND"/>
    <x v="14"/>
    <n v="2015"/>
    <s v="Storm"/>
    <x v="7"/>
    <n v="906000"/>
  </r>
  <r>
    <s v="2015-0164-IND"/>
    <x v="14"/>
    <n v="2015"/>
    <s v="Storm"/>
    <x v="533"/>
    <n v="160000"/>
  </r>
  <r>
    <s v="2015-0450-IND"/>
    <x v="14"/>
    <n v="2015"/>
    <s v="Storm"/>
    <x v="7"/>
    <n v="0"/>
  </r>
  <r>
    <s v="2015-0600-IND"/>
    <x v="14"/>
    <n v="2015"/>
    <s v="Storm"/>
    <x v="7"/>
    <n v="0"/>
  </r>
  <r>
    <s v="2015-0604-IND"/>
    <x v="14"/>
    <n v="2015"/>
    <s v="Storm"/>
    <x v="7"/>
    <n v="0"/>
  </r>
  <r>
    <s v="2016-0002-IND"/>
    <x v="14"/>
    <n v="2016"/>
    <s v="Earthquake"/>
    <x v="534"/>
    <n v="75000"/>
  </r>
  <r>
    <s v="2016-0139-IND"/>
    <x v="14"/>
    <n v="2016"/>
    <s v="Flood"/>
    <x v="168"/>
    <n v="150000"/>
  </r>
  <r>
    <s v="2016-0239-IND"/>
    <x v="14"/>
    <n v="2016"/>
    <s v="Flood"/>
    <x v="7"/>
    <n v="100000"/>
  </r>
  <r>
    <s v="2016-0267-IND"/>
    <x v="14"/>
    <n v="2016"/>
    <s v="Flood"/>
    <x v="482"/>
    <n v="150000"/>
  </r>
  <r>
    <s v="2016-0271-IND"/>
    <x v="14"/>
    <n v="2016"/>
    <s v="Flood"/>
    <x v="535"/>
    <n v="350000"/>
  </r>
  <r>
    <s v="2016-0276-IND"/>
    <x v="14"/>
    <n v="2016"/>
    <s v="Flood"/>
    <x v="168"/>
    <n v="160000"/>
  </r>
  <r>
    <s v="2016-0304-IND"/>
    <x v="14"/>
    <n v="2016"/>
    <s v="Flood"/>
    <x v="139"/>
    <n v="0"/>
  </r>
  <r>
    <s v="2016-0391-IND"/>
    <x v="14"/>
    <n v="2016"/>
    <s v="Flood"/>
    <x v="139"/>
    <n v="589000"/>
  </r>
  <r>
    <s v="2016-0554-IND"/>
    <x v="14"/>
    <n v="2016"/>
    <s v="Flood"/>
    <x v="7"/>
    <n v="0"/>
  </r>
  <r>
    <s v="2016-0234-IND"/>
    <x v="14"/>
    <n v="2016"/>
    <s v="Storm"/>
    <x v="7"/>
    <n v="0"/>
  </r>
  <r>
    <s v="2016-0237-IND"/>
    <x v="14"/>
    <n v="2016"/>
    <s v="Storm"/>
    <x v="7"/>
    <n v="0"/>
  </r>
  <r>
    <s v="2016-0485-IND"/>
    <x v="14"/>
    <n v="2016"/>
    <s v="Storm"/>
    <x v="7"/>
    <n v="1000000"/>
  </r>
  <r>
    <s v="2017-0180-IND"/>
    <x v="14"/>
    <n v="2017"/>
    <s v="Flood"/>
    <x v="168"/>
    <n v="0"/>
  </r>
  <r>
    <s v="2017-0257-IND"/>
    <x v="14"/>
    <n v="2017"/>
    <s v="Flood"/>
    <x v="7"/>
    <n v="0"/>
  </r>
  <r>
    <s v="2017-0289-IND"/>
    <x v="14"/>
    <n v="2017"/>
    <s v="Flood"/>
    <x v="536"/>
    <n v="0"/>
  </r>
  <r>
    <s v="2017-0290-IND"/>
    <x v="14"/>
    <n v="2017"/>
    <s v="Flood"/>
    <x v="537"/>
    <n v="0"/>
  </r>
  <r>
    <s v="2017-0294-IND"/>
    <x v="14"/>
    <n v="2017"/>
    <s v="Flood"/>
    <x v="538"/>
    <n v="250000"/>
  </r>
  <r>
    <s v="2017-0342-IND"/>
    <x v="14"/>
    <n v="2017"/>
    <s v="Flood"/>
    <x v="539"/>
    <n v="1567000"/>
  </r>
  <r>
    <s v="2017-0364-IND"/>
    <x v="14"/>
    <n v="2017"/>
    <s v="Flood"/>
    <x v="473"/>
    <n v="300000"/>
  </r>
  <r>
    <s v="2017-0495-IND"/>
    <x v="14"/>
    <n v="2017"/>
    <s v="Flood"/>
    <x v="36"/>
    <n v="0"/>
  </r>
  <r>
    <s v="2017-0517-IND"/>
    <x v="14"/>
    <n v="2017"/>
    <s v="Flood"/>
    <x v="540"/>
    <n v="0"/>
  </r>
  <r>
    <s v="2017-0152-IND"/>
    <x v="14"/>
    <n v="2017"/>
    <s v="Storm"/>
    <x v="541"/>
    <n v="0"/>
  </r>
  <r>
    <s v="2017-0265-IND"/>
    <x v="14"/>
    <n v="2017"/>
    <s v="Storm"/>
    <x v="473"/>
    <n v="0"/>
  </r>
  <r>
    <s v="2017-0508-IND"/>
    <x v="14"/>
    <n v="2017"/>
    <s v="Storm"/>
    <x v="104"/>
    <n v="0"/>
  </r>
  <r>
    <s v="2017-0569-IND"/>
    <x v="14"/>
    <n v="2017"/>
    <s v="Storm"/>
    <x v="198"/>
    <n v="0"/>
  </r>
  <r>
    <s v="2017-0570-IND"/>
    <x v="14"/>
    <n v="2017"/>
    <s v="Storm"/>
    <x v="542"/>
    <n v="0"/>
  </r>
  <r>
    <s v="2018-9372-IND"/>
    <x v="14"/>
    <n v="2018"/>
    <s v="Drought"/>
    <x v="543"/>
    <n v="1100000"/>
  </r>
  <r>
    <s v="2018-0205-IND"/>
    <x v="14"/>
    <n v="2018"/>
    <s v="Flood"/>
    <x v="7"/>
    <n v="0"/>
  </r>
  <r>
    <s v="2018-0213-IND"/>
    <x v="14"/>
    <n v="2018"/>
    <s v="Flood"/>
    <x v="544"/>
    <n v="10000"/>
  </r>
  <r>
    <s v="2018-0216-IND"/>
    <x v="14"/>
    <n v="2018"/>
    <s v="Flood"/>
    <x v="545"/>
    <n v="2500"/>
  </r>
  <r>
    <s v="2018-0267-IND"/>
    <x v="14"/>
    <n v="2018"/>
    <s v="Flood"/>
    <x v="546"/>
    <n v="0"/>
  </r>
  <r>
    <s v="2018-0286-IND"/>
    <x v="14"/>
    <n v="2018"/>
    <s v="Flood"/>
    <x v="547"/>
    <n v="0"/>
  </r>
  <r>
    <s v="2018-0295-IND"/>
    <x v="14"/>
    <n v="2018"/>
    <s v="Flood"/>
    <x v="548"/>
    <n v="2852480"/>
  </r>
  <r>
    <s v="2018-0345-IND"/>
    <x v="14"/>
    <n v="2018"/>
    <s v="Flood"/>
    <x v="120"/>
    <n v="0"/>
  </r>
  <r>
    <s v="2018-0370-IND"/>
    <x v="14"/>
    <n v="2018"/>
    <s v="Flood"/>
    <x v="549"/>
    <n v="0"/>
  </r>
  <r>
    <s v="2018-0372-IND"/>
    <x v="14"/>
    <n v="2018"/>
    <s v="Flood"/>
    <x v="7"/>
    <n v="0"/>
  </r>
  <r>
    <s v="2018-0137-IND"/>
    <x v="14"/>
    <n v="2018"/>
    <s v="Storm"/>
    <x v="96"/>
    <n v="100000"/>
  </r>
  <r>
    <s v="2018-0138-IND"/>
    <x v="14"/>
    <n v="2018"/>
    <s v="Storm"/>
    <x v="550"/>
    <n v="100000"/>
  </r>
  <r>
    <s v="2018-0149-IND"/>
    <x v="14"/>
    <n v="2018"/>
    <s v="Storm"/>
    <x v="7"/>
    <n v="0"/>
  </r>
  <r>
    <s v="2018-0150-IND"/>
    <x v="14"/>
    <n v="2018"/>
    <s v="Storm"/>
    <x v="96"/>
    <n v="24000"/>
  </r>
  <r>
    <s v="2018-0199-IND"/>
    <x v="14"/>
    <n v="2018"/>
    <s v="Storm"/>
    <x v="7"/>
    <n v="0"/>
  </r>
  <r>
    <s v="2018-0202-IND"/>
    <x v="14"/>
    <n v="2018"/>
    <s v="Storm"/>
    <x v="7"/>
    <n v="50000"/>
  </r>
  <r>
    <s v="2018-0209-IND"/>
    <x v="14"/>
    <n v="2018"/>
    <s v="Storm"/>
    <x v="551"/>
    <n v="50000"/>
  </r>
  <r>
    <s v="2018-0214-IND"/>
    <x v="14"/>
    <n v="2018"/>
    <s v="Storm"/>
    <x v="7"/>
    <n v="25000"/>
  </r>
  <r>
    <s v="2018-0385-IND"/>
    <x v="14"/>
    <n v="2018"/>
    <s v="Storm"/>
    <x v="552"/>
    <n v="920000"/>
  </r>
  <r>
    <s v="2018-0431-IND"/>
    <x v="14"/>
    <n v="2018"/>
    <s v="Storm"/>
    <x v="154"/>
    <n v="775000"/>
  </r>
  <r>
    <s v="2018-0473-IND"/>
    <x v="14"/>
    <n v="2018"/>
    <s v="Storm"/>
    <x v="122"/>
    <n v="100000"/>
  </r>
  <r>
    <s v="2019-0288-IND"/>
    <x v="14"/>
    <n v="2019"/>
    <s v="Flood"/>
    <x v="231"/>
    <n v="0"/>
  </r>
  <r>
    <s v="2019-0331-IND"/>
    <x v="14"/>
    <n v="2019"/>
    <s v="Flood"/>
    <x v="465"/>
    <n v="10000000"/>
  </r>
  <r>
    <s v="2019-0383-IND"/>
    <x v="14"/>
    <n v="2019"/>
    <s v="Flood"/>
    <x v="553"/>
    <n v="0"/>
  </r>
  <r>
    <s v="2019-0499-IND"/>
    <x v="14"/>
    <n v="2019"/>
    <s v="Flood"/>
    <x v="554"/>
    <n v="0"/>
  </r>
  <r>
    <s v="2019-0574-IND"/>
    <x v="14"/>
    <n v="2019"/>
    <s v="Flood"/>
    <x v="120"/>
    <n v="0"/>
  </r>
  <r>
    <s v="2019-0155-IND"/>
    <x v="14"/>
    <n v="2019"/>
    <s v="Storm"/>
    <x v="7"/>
    <n v="0"/>
  </r>
  <r>
    <s v="2019-0164-IND"/>
    <x v="14"/>
    <n v="2019"/>
    <s v="Storm"/>
    <x v="555"/>
    <n v="1810000"/>
  </r>
  <r>
    <s v="2019-0311-IND"/>
    <x v="14"/>
    <n v="2019"/>
    <s v="Storm"/>
    <x v="7"/>
    <n v="0"/>
  </r>
  <r>
    <s v="2019-0321-IND"/>
    <x v="14"/>
    <n v="2019"/>
    <s v="Storm"/>
    <x v="7"/>
    <n v="0"/>
  </r>
  <r>
    <s v="2019-0550-IND"/>
    <x v="14"/>
    <n v="2019"/>
    <s v="Storm"/>
    <x v="556"/>
    <n v="0"/>
  </r>
  <r>
    <s v="2020-0198-IND"/>
    <x v="14"/>
    <n v="2020"/>
    <s v="Flood"/>
    <x v="7"/>
    <n v="10000"/>
  </r>
  <r>
    <s v="2020-0206-IND"/>
    <x v="14"/>
    <n v="2020"/>
    <s v="Flood"/>
    <x v="557"/>
    <n v="0"/>
  </r>
  <r>
    <s v="2020-0249-IND"/>
    <x v="14"/>
    <n v="2020"/>
    <s v="Flood"/>
    <x v="44"/>
    <n v="0"/>
  </r>
  <r>
    <s v="2020-0304-IND"/>
    <x v="14"/>
    <n v="2020"/>
    <s v="Flood"/>
    <x v="213"/>
    <n v="7500000"/>
  </r>
  <r>
    <s v="2020-0446-IND"/>
    <x v="14"/>
    <n v="2020"/>
    <s v="Flood"/>
    <x v="264"/>
    <n v="4000000"/>
  </r>
  <r>
    <s v="2020-0057-IND"/>
    <x v="14"/>
    <n v="2020"/>
    <s v="Storm"/>
    <x v="7"/>
    <n v="0"/>
  </r>
  <r>
    <s v="2020-0211-IND"/>
    <x v="14"/>
    <n v="2020"/>
    <s v="Storm"/>
    <x v="558"/>
    <n v="13500000"/>
  </r>
  <r>
    <s v="2020-0217-IND"/>
    <x v="14"/>
    <n v="2020"/>
    <s v="Storm"/>
    <x v="559"/>
    <n v="820000"/>
  </r>
  <r>
    <s v="2020-0524-IND"/>
    <x v="14"/>
    <n v="2020"/>
    <s v="Storm"/>
    <x v="7"/>
    <n v="600000"/>
  </r>
  <r>
    <s v="2021-0225-IND"/>
    <x v="14"/>
    <n v="2021"/>
    <s v="Earthquake"/>
    <x v="62"/>
    <n v="0"/>
  </r>
  <r>
    <s v="2021-0316-IND"/>
    <x v="14"/>
    <n v="2021"/>
    <s v="Flood"/>
    <x v="10"/>
    <n v="100000"/>
  </r>
  <r>
    <s v="2021-0366-IND"/>
    <x v="14"/>
    <n v="2021"/>
    <s v="Flood"/>
    <x v="560"/>
    <n v="0"/>
  </r>
  <r>
    <s v="2021-0435-IND"/>
    <x v="14"/>
    <n v="2021"/>
    <s v="Flood"/>
    <x v="516"/>
    <n v="3100000"/>
  </r>
  <r>
    <s v="2021-0458-IND"/>
    <x v="14"/>
    <n v="2021"/>
    <s v="Flood"/>
    <x v="561"/>
    <n v="0"/>
  </r>
  <r>
    <s v="2021-0585-IND"/>
    <x v="14"/>
    <n v="2021"/>
    <s v="Flood"/>
    <x v="562"/>
    <n v="0"/>
  </r>
  <r>
    <s v="2021-0677-IND"/>
    <x v="14"/>
    <n v="2021"/>
    <s v="Flood"/>
    <x v="563"/>
    <n v="0"/>
  </r>
  <r>
    <s v="2021-0681-IND"/>
    <x v="14"/>
    <n v="2021"/>
    <s v="Flood"/>
    <x v="564"/>
    <n v="0"/>
  </r>
  <r>
    <s v="2021-0722-IND"/>
    <x v="14"/>
    <n v="2021"/>
    <s v="Flood"/>
    <x v="116"/>
    <n v="0"/>
  </r>
  <r>
    <s v="2021-0748-IND"/>
    <x v="14"/>
    <n v="2021"/>
    <s v="Flood"/>
    <x v="565"/>
    <n v="0"/>
  </r>
  <r>
    <s v="2021-0252-IND"/>
    <x v="14"/>
    <n v="2021"/>
    <s v="Storm"/>
    <x v="566"/>
    <n v="1400000"/>
  </r>
  <r>
    <s v="2021-0295-IND"/>
    <x v="14"/>
    <n v="2021"/>
    <s v="Storm"/>
    <x v="567"/>
    <n v="3000000"/>
  </r>
  <r>
    <s v="2021-0630-IND"/>
    <x v="14"/>
    <n v="2021"/>
    <s v="Storm"/>
    <x v="7"/>
    <n v="0"/>
  </r>
  <r>
    <s v="2021-0645-IND"/>
    <x v="14"/>
    <n v="2021"/>
    <s v="Storm"/>
    <x v="519"/>
    <n v="0"/>
  </r>
  <r>
    <s v="2021-0777-IND"/>
    <x v="14"/>
    <n v="2021"/>
    <s v="Storm"/>
    <x v="568"/>
    <n v="0"/>
  </r>
  <r>
    <s v="2022-0293-IND"/>
    <x v="14"/>
    <n v="2022"/>
    <s v="Flood"/>
    <x v="569"/>
    <n v="4200000"/>
  </r>
  <r>
    <s v="2022-0539-IND"/>
    <x v="14"/>
    <n v="2022"/>
    <s v="Flood"/>
    <x v="478"/>
    <n v="0"/>
  </r>
  <r>
    <s v="2022-0590-IND"/>
    <x v="14"/>
    <n v="2022"/>
    <s v="Flood"/>
    <x v="7"/>
    <n v="0"/>
  </r>
  <r>
    <s v="2022-0219-IND"/>
    <x v="14"/>
    <n v="2022"/>
    <s v="Storm"/>
    <x v="570"/>
    <n v="0"/>
  </r>
  <r>
    <s v="2022-0798-IND"/>
    <x v="14"/>
    <n v="2022"/>
    <s v="Storm"/>
    <x v="7"/>
    <n v="0"/>
  </r>
  <r>
    <s v="2023-0330-IND"/>
    <x v="14"/>
    <n v="2023"/>
    <s v="Flood"/>
    <x v="154"/>
    <n v="0"/>
  </r>
  <r>
    <s v="2023-0359-IND"/>
    <x v="14"/>
    <n v="2023"/>
    <s v="Flood"/>
    <x v="48"/>
    <n v="3000"/>
  </r>
  <r>
    <s v="2023-0428-IND"/>
    <x v="14"/>
    <n v="2023"/>
    <s v="Flood"/>
    <x v="571"/>
    <n v="0"/>
  </r>
  <r>
    <s v="2023-0486-IND"/>
    <x v="14"/>
    <n v="2023"/>
    <s v="Flood"/>
    <x v="7"/>
    <n v="0"/>
  </r>
  <r>
    <s v="2023-0846-IND"/>
    <x v="14"/>
    <n v="2023"/>
    <s v="Flood"/>
    <x v="7"/>
    <n v="0"/>
  </r>
  <r>
    <s v="2023-0161-IND"/>
    <x v="14"/>
    <n v="2023"/>
    <s v="Storm"/>
    <x v="572"/>
    <n v="0"/>
  </r>
  <r>
    <s v="2023-0294-IND"/>
    <x v="14"/>
    <n v="2023"/>
    <s v="Storm"/>
    <x v="10"/>
    <n v="0"/>
  </r>
  <r>
    <s v="2023-0331-IND"/>
    <x v="14"/>
    <n v="2023"/>
    <s v="Storm"/>
    <x v="122"/>
    <n v="0"/>
  </r>
  <r>
    <s v="2023-0606-IND"/>
    <x v="14"/>
    <n v="2023"/>
    <s v="Storm"/>
    <x v="248"/>
    <n v="0"/>
  </r>
  <r>
    <s v="2023-0792-IND"/>
    <x v="14"/>
    <n v="2023"/>
    <s v="Storm"/>
    <x v="573"/>
    <n v="125000"/>
  </r>
  <r>
    <s v="2023-0812-IND"/>
    <x v="14"/>
    <n v="2023"/>
    <s v="Storm"/>
    <x v="238"/>
    <n v="0"/>
  </r>
  <r>
    <s v="2024-0399-IND"/>
    <x v="14"/>
    <n v="2024"/>
    <s v="Flood"/>
    <x v="510"/>
    <n v="0"/>
  </r>
  <r>
    <s v="2024-0481-IND"/>
    <x v="14"/>
    <n v="2024"/>
    <s v="Flood"/>
    <x v="574"/>
    <n v="0"/>
  </r>
  <r>
    <s v="2024-0561-IND"/>
    <x v="14"/>
    <n v="2024"/>
    <s v="Flood"/>
    <x v="7"/>
    <n v="0"/>
  </r>
  <r>
    <s v="2024-0624-IND"/>
    <x v="14"/>
    <n v="2024"/>
    <s v="Flood"/>
    <x v="575"/>
    <n v="0"/>
  </r>
  <r>
    <s v="2024-0647-IND"/>
    <x v="14"/>
    <n v="2024"/>
    <s v="Flood"/>
    <x v="576"/>
    <n v="0"/>
  </r>
  <r>
    <s v="2024-0719-IND"/>
    <x v="14"/>
    <n v="2024"/>
    <s v="Flood"/>
    <x v="7"/>
    <n v="0"/>
  </r>
  <r>
    <s v="2024-0149-IND"/>
    <x v="14"/>
    <n v="2024"/>
    <s v="Storm"/>
    <x v="577"/>
    <n v="0"/>
  </r>
  <r>
    <s v="2024-0280-IND"/>
    <x v="14"/>
    <n v="2024"/>
    <s v="Storm"/>
    <x v="578"/>
    <n v="0"/>
  </r>
  <r>
    <s v="2024-0290-IND"/>
    <x v="14"/>
    <n v="2024"/>
    <s v="Storm"/>
    <x v="579"/>
    <n v="0"/>
  </r>
  <r>
    <s v="2024-0320-IND"/>
    <x v="14"/>
    <n v="2024"/>
    <s v="Storm"/>
    <x v="580"/>
    <n v="0"/>
  </r>
  <r>
    <s v="2024-0778-IND"/>
    <x v="14"/>
    <n v="2024"/>
    <s v="Storm"/>
    <x v="581"/>
    <n v="73300"/>
  </r>
  <r>
    <s v="2024-0881-IND"/>
    <x v="14"/>
    <n v="2024"/>
    <s v="Storm"/>
    <x v="7"/>
    <n v="0"/>
  </r>
  <r>
    <s v="2001-0546-IDN"/>
    <x v="15"/>
    <n v="2001"/>
    <s v="Earthquake"/>
    <x v="582"/>
    <n v="0"/>
  </r>
  <r>
    <s v="2001-0669-IDN"/>
    <x v="15"/>
    <n v="2001"/>
    <s v="Earthquake"/>
    <x v="7"/>
    <n v="0"/>
  </r>
  <r>
    <s v="2001-0051-IDN"/>
    <x v="15"/>
    <n v="2001"/>
    <s v="Flood"/>
    <x v="583"/>
    <n v="10000"/>
  </r>
  <r>
    <s v="2001-0407-IDN"/>
    <x v="15"/>
    <n v="2001"/>
    <s v="Flood"/>
    <x v="584"/>
    <n v="0"/>
  </r>
  <r>
    <s v="2001-0719-IDN"/>
    <x v="15"/>
    <n v="2001"/>
    <s v="Flood"/>
    <x v="9"/>
    <n v="0"/>
  </r>
  <r>
    <s v="2002-0512-IDN"/>
    <x v="15"/>
    <n v="2002"/>
    <s v="Earthquake"/>
    <x v="108"/>
    <n v="0"/>
  </r>
  <r>
    <s v="2002-0643-IDN"/>
    <x v="15"/>
    <n v="2002"/>
    <s v="Earthquake"/>
    <x v="585"/>
    <n v="0"/>
  </r>
  <r>
    <s v="2002-0820-IDN"/>
    <x v="15"/>
    <n v="2002"/>
    <s v="Earthquake"/>
    <x v="368"/>
    <n v="0"/>
  </r>
  <r>
    <s v="2002-0822-IDN"/>
    <x v="15"/>
    <n v="2002"/>
    <s v="Earthquake"/>
    <x v="231"/>
    <n v="0"/>
  </r>
  <r>
    <s v="2002-0018-IDN"/>
    <x v="15"/>
    <n v="2002"/>
    <s v="Flood"/>
    <x v="237"/>
    <n v="0"/>
  </r>
  <r>
    <s v="2002-0035-IDN"/>
    <x v="15"/>
    <n v="2002"/>
    <s v="Flood"/>
    <x v="9"/>
    <n v="0"/>
  </r>
  <r>
    <s v="2002-0054-IDN"/>
    <x v="15"/>
    <n v="2002"/>
    <s v="Flood"/>
    <x v="586"/>
    <n v="350000"/>
  </r>
  <r>
    <s v="2002-0186-IDN"/>
    <x v="15"/>
    <n v="2002"/>
    <s v="Flood"/>
    <x v="587"/>
    <n v="0"/>
  </r>
  <r>
    <s v="2002-0236-IDN"/>
    <x v="15"/>
    <n v="2002"/>
    <s v="Flood"/>
    <x v="7"/>
    <n v="0"/>
  </r>
  <r>
    <s v="2002-0291-IDN"/>
    <x v="15"/>
    <n v="2002"/>
    <s v="Flood"/>
    <x v="10"/>
    <n v="0"/>
  </r>
  <r>
    <s v="2002-0732-IDN"/>
    <x v="15"/>
    <n v="2002"/>
    <s v="Flood"/>
    <x v="588"/>
    <n v="1600"/>
  </r>
  <r>
    <s v="2003-9760-IDN"/>
    <x v="15"/>
    <n v="2003"/>
    <s v="Drought"/>
    <x v="114"/>
    <n v="1000"/>
  </r>
  <r>
    <s v="2003-0069-IDN"/>
    <x v="15"/>
    <n v="2003"/>
    <s v="Earthquake"/>
    <x v="589"/>
    <n v="0"/>
  </r>
  <r>
    <s v="2003-0254-IDN"/>
    <x v="15"/>
    <n v="2003"/>
    <s v="Earthquake"/>
    <x v="590"/>
    <n v="0"/>
  </r>
  <r>
    <s v="2003-0414-IDN"/>
    <x v="15"/>
    <n v="2003"/>
    <s v="Earthquake"/>
    <x v="20"/>
    <n v="0"/>
  </r>
  <r>
    <s v="2003-0016-IDN"/>
    <x v="15"/>
    <n v="2003"/>
    <s v="Flood"/>
    <x v="122"/>
    <n v="0"/>
  </r>
  <r>
    <s v="2003-0021-IDN"/>
    <x v="15"/>
    <n v="2003"/>
    <s v="Flood"/>
    <x v="50"/>
    <n v="0"/>
  </r>
  <r>
    <s v="2003-0067-IDN"/>
    <x v="15"/>
    <n v="2003"/>
    <s v="Flood"/>
    <x v="591"/>
    <n v="0"/>
  </r>
  <r>
    <s v="2003-0074-IDN"/>
    <x v="15"/>
    <n v="2003"/>
    <s v="Flood"/>
    <x v="114"/>
    <n v="0"/>
  </r>
  <r>
    <s v="2003-0118-IDN"/>
    <x v="15"/>
    <n v="2003"/>
    <s v="Flood"/>
    <x v="592"/>
    <n v="0"/>
  </r>
  <r>
    <s v="2003-0531-IDN"/>
    <x v="15"/>
    <n v="2003"/>
    <s v="Flood"/>
    <x v="593"/>
    <n v="0"/>
  </r>
  <r>
    <s v="2003-0593-IDN"/>
    <x v="15"/>
    <n v="2003"/>
    <s v="Flood"/>
    <x v="120"/>
    <n v="0"/>
  </r>
  <r>
    <s v="2003-0776-IDN"/>
    <x v="15"/>
    <n v="2003"/>
    <s v="Flood"/>
    <x v="594"/>
    <n v="0"/>
  </r>
  <r>
    <s v="2004-0001-IDN"/>
    <x v="15"/>
    <n v="2004"/>
    <s v="Earthquake"/>
    <x v="595"/>
    <n v="12000"/>
  </r>
  <r>
    <s v="2004-0040-IDN"/>
    <x v="15"/>
    <n v="2004"/>
    <s v="Earthquake"/>
    <x v="596"/>
    <n v="1000"/>
  </r>
  <r>
    <s v="2004-0088-IDN"/>
    <x v="15"/>
    <n v="2004"/>
    <s v="Earthquake"/>
    <x v="597"/>
    <n v="0"/>
  </r>
  <r>
    <s v="2004-0562-IDN"/>
    <x v="15"/>
    <n v="2004"/>
    <s v="Earthquake"/>
    <x v="598"/>
    <n v="0"/>
  </r>
  <r>
    <s v="2004-0607-IDN"/>
    <x v="15"/>
    <n v="2004"/>
    <s v="Earthquake"/>
    <x v="599"/>
    <n v="55000"/>
  </r>
  <r>
    <s v="2004-0659-IDN"/>
    <x v="15"/>
    <n v="2004"/>
    <s v="Earthquake"/>
    <x v="600"/>
    <n v="4451600"/>
  </r>
  <r>
    <s v="2004-0098-IDN"/>
    <x v="15"/>
    <n v="2004"/>
    <s v="Flood"/>
    <x v="164"/>
    <n v="60000"/>
  </r>
  <r>
    <s v="2004-0062-IDN"/>
    <x v="15"/>
    <n v="2004"/>
    <s v="Storm"/>
    <x v="601"/>
    <n v="0"/>
  </r>
  <r>
    <s v="2004-0144-IDN"/>
    <x v="15"/>
    <n v="2004"/>
    <s v="Storm"/>
    <x v="602"/>
    <n v="0"/>
  </r>
  <r>
    <s v="2005-0031-IDN"/>
    <x v="15"/>
    <n v="2005"/>
    <s v="Earthquake"/>
    <x v="603"/>
    <n v="0"/>
  </r>
  <r>
    <s v="2005-0160-IDN"/>
    <x v="15"/>
    <n v="2005"/>
    <s v="Earthquake"/>
    <x v="604"/>
    <n v="0"/>
  </r>
  <r>
    <s v="2005-0223-IDN"/>
    <x v="15"/>
    <n v="2005"/>
    <s v="Flood"/>
    <x v="605"/>
    <n v="0"/>
  </r>
  <r>
    <s v="2005-0589-IDN"/>
    <x v="15"/>
    <n v="2005"/>
    <s v="Flood"/>
    <x v="606"/>
    <n v="0"/>
  </r>
  <r>
    <s v="2005-0718-IDN"/>
    <x v="15"/>
    <n v="2005"/>
    <s v="Flood"/>
    <x v="607"/>
    <n v="0"/>
  </r>
  <r>
    <s v="2006-0231-IDN"/>
    <x v="15"/>
    <n v="2006"/>
    <s v="Earthquake"/>
    <x v="608"/>
    <n v="0"/>
  </r>
  <r>
    <s v="2006-0279-IDN"/>
    <x v="15"/>
    <n v="2006"/>
    <s v="Earthquake"/>
    <x v="609"/>
    <n v="3100000"/>
  </r>
  <r>
    <s v="2006-0372-IDN"/>
    <x v="15"/>
    <n v="2006"/>
    <s v="Earthquake"/>
    <x v="610"/>
    <n v="55000"/>
  </r>
  <r>
    <s v="2006-0678-IDN"/>
    <x v="15"/>
    <n v="2006"/>
    <s v="Earthquake"/>
    <x v="6"/>
    <n v="0"/>
  </r>
  <r>
    <s v="2006-0705-IDN"/>
    <x v="15"/>
    <n v="2006"/>
    <s v="Earthquake"/>
    <x v="611"/>
    <n v="0"/>
  </r>
  <r>
    <s v="2006-0074-IDN"/>
    <x v="15"/>
    <n v="2006"/>
    <s v="Flood"/>
    <x v="122"/>
    <n v="27100"/>
  </r>
  <r>
    <s v="2006-0099-IDN"/>
    <x v="15"/>
    <n v="2006"/>
    <s v="Flood"/>
    <x v="612"/>
    <n v="25000"/>
  </r>
  <r>
    <s v="2006-0192-IDN"/>
    <x v="15"/>
    <n v="2006"/>
    <s v="Flood"/>
    <x v="613"/>
    <n v="0"/>
  </r>
  <r>
    <s v="2006-0311-IDN"/>
    <x v="15"/>
    <n v="2006"/>
    <s v="Flood"/>
    <x v="614"/>
    <n v="55200"/>
  </r>
  <r>
    <s v="2006-0328-IDN"/>
    <x v="15"/>
    <n v="2006"/>
    <s v="Flood"/>
    <x v="7"/>
    <n v="0"/>
  </r>
  <r>
    <s v="2006-0332-IDN"/>
    <x v="15"/>
    <n v="2006"/>
    <s v="Flood"/>
    <x v="615"/>
    <n v="0"/>
  </r>
  <r>
    <s v="2006-0343-IDN"/>
    <x v="15"/>
    <n v="2006"/>
    <s v="Flood"/>
    <x v="44"/>
    <n v="0"/>
  </r>
  <r>
    <s v="2006-0680-IDN"/>
    <x v="15"/>
    <n v="2006"/>
    <s v="Flood"/>
    <x v="616"/>
    <n v="0"/>
  </r>
  <r>
    <s v="2007-0087-IDN"/>
    <x v="15"/>
    <n v="2007"/>
    <s v="Earthquake"/>
    <x v="617"/>
    <n v="200000"/>
  </r>
  <r>
    <s v="2007-0440-IDN"/>
    <x v="15"/>
    <n v="2007"/>
    <s v="Earthquake"/>
    <x v="618"/>
    <n v="500000"/>
  </r>
  <r>
    <s v="2007-0485-IDN"/>
    <x v="15"/>
    <n v="2007"/>
    <s v="Earthquake"/>
    <x v="619"/>
    <n v="0"/>
  </r>
  <r>
    <s v="2007-0565-IDN"/>
    <x v="15"/>
    <n v="2007"/>
    <s v="Earthquake"/>
    <x v="620"/>
    <n v="0"/>
  </r>
  <r>
    <s v="2007-0050-IDN"/>
    <x v="15"/>
    <n v="2007"/>
    <s v="Flood"/>
    <x v="621"/>
    <n v="971000"/>
  </r>
  <r>
    <s v="2007-0086-IDN"/>
    <x v="15"/>
    <n v="2007"/>
    <s v="Flood"/>
    <x v="622"/>
    <n v="0"/>
  </r>
  <r>
    <s v="2007-0175-IDN"/>
    <x v="15"/>
    <n v="2007"/>
    <s v="Flood"/>
    <x v="104"/>
    <n v="0"/>
  </r>
  <r>
    <s v="2007-0283-IDN"/>
    <x v="15"/>
    <n v="2007"/>
    <s v="Flood"/>
    <x v="44"/>
    <n v="0"/>
  </r>
  <r>
    <s v="2007-0309-IDN"/>
    <x v="15"/>
    <n v="2007"/>
    <s v="Flood"/>
    <x v="9"/>
    <n v="0"/>
  </r>
  <r>
    <s v="2007-0312-IDN"/>
    <x v="15"/>
    <n v="2007"/>
    <s v="Flood"/>
    <x v="623"/>
    <n v="0"/>
  </r>
  <r>
    <s v="2007-0447-IDN"/>
    <x v="15"/>
    <n v="2007"/>
    <s v="Flood"/>
    <x v="10"/>
    <n v="0"/>
  </r>
  <r>
    <s v="2007-0610-IDN"/>
    <x v="15"/>
    <n v="2007"/>
    <s v="Flood"/>
    <x v="624"/>
    <n v="0"/>
  </r>
  <r>
    <s v="2008-0403-IDN"/>
    <x v="15"/>
    <n v="2008"/>
    <s v="Earthquake"/>
    <x v="625"/>
    <n v="0"/>
  </r>
  <r>
    <s v="2008-0536-IDN"/>
    <x v="15"/>
    <n v="2008"/>
    <s v="Earthquake"/>
    <x v="626"/>
    <n v="0"/>
  </r>
  <r>
    <s v="2008-0013-IDN"/>
    <x v="15"/>
    <n v="2008"/>
    <s v="Flood"/>
    <x v="10"/>
    <n v="0"/>
  </r>
  <r>
    <s v="2008-0042-IDN"/>
    <x v="15"/>
    <n v="2008"/>
    <s v="Flood"/>
    <x v="627"/>
    <n v="0"/>
  </r>
  <r>
    <s v="2008-0052-IDN"/>
    <x v="15"/>
    <n v="2008"/>
    <s v="Flood"/>
    <x v="43"/>
    <n v="653"/>
  </r>
  <r>
    <s v="2008-0067-IDN"/>
    <x v="15"/>
    <n v="2008"/>
    <s v="Flood"/>
    <x v="291"/>
    <n v="0"/>
  </r>
  <r>
    <s v="2008-0092-IDN"/>
    <x v="15"/>
    <n v="2008"/>
    <s v="Flood"/>
    <x v="628"/>
    <n v="0"/>
  </r>
  <r>
    <s v="2008-0108-IDN"/>
    <x v="15"/>
    <n v="2008"/>
    <s v="Flood"/>
    <x v="172"/>
    <n v="0"/>
  </r>
  <r>
    <s v="2008-0128-IDN"/>
    <x v="15"/>
    <n v="2008"/>
    <s v="Flood"/>
    <x v="104"/>
    <n v="0"/>
  </r>
  <r>
    <s v="2008-0176-IDN"/>
    <x v="15"/>
    <n v="2008"/>
    <s v="Flood"/>
    <x v="629"/>
    <n v="0"/>
  </r>
  <r>
    <s v="2008-0383-IDN"/>
    <x v="15"/>
    <n v="2008"/>
    <s v="Flood"/>
    <x v="630"/>
    <n v="1080"/>
  </r>
  <r>
    <s v="2008-0526-IDN"/>
    <x v="15"/>
    <n v="2008"/>
    <s v="Flood"/>
    <x v="631"/>
    <n v="0"/>
  </r>
  <r>
    <s v="2008-0618-IDN"/>
    <x v="15"/>
    <n v="2008"/>
    <s v="Flood"/>
    <x v="116"/>
    <n v="0"/>
  </r>
  <r>
    <s v="2008-0635-IDN"/>
    <x v="15"/>
    <n v="2008"/>
    <s v="Flood"/>
    <x v="114"/>
    <n v="0"/>
  </r>
  <r>
    <s v="2009-0001-IDN"/>
    <x v="15"/>
    <n v="2009"/>
    <s v="Earthquake"/>
    <x v="632"/>
    <n v="10000"/>
  </r>
  <r>
    <s v="2009-0112-IDN"/>
    <x v="15"/>
    <n v="2009"/>
    <s v="Earthquake"/>
    <x v="633"/>
    <n v="9000"/>
  </r>
  <r>
    <s v="2009-0354-IDN"/>
    <x v="15"/>
    <n v="2009"/>
    <s v="Earthquake"/>
    <x v="634"/>
    <n v="160000"/>
  </r>
  <r>
    <s v="2009-0421-IDN"/>
    <x v="15"/>
    <n v="2009"/>
    <s v="Earthquake"/>
    <x v="635"/>
    <n v="2200000"/>
  </r>
  <r>
    <s v="2009-0479-IDN"/>
    <x v="15"/>
    <n v="2009"/>
    <s v="Earthquake"/>
    <x v="636"/>
    <n v="2430"/>
  </r>
  <r>
    <s v="2009-0063-IDN"/>
    <x v="15"/>
    <n v="2009"/>
    <s v="Flood"/>
    <x v="172"/>
    <n v="0"/>
  </r>
  <r>
    <s v="2009-0121-IDN"/>
    <x v="15"/>
    <n v="2009"/>
    <s v="Flood"/>
    <x v="637"/>
    <n v="0"/>
  </r>
  <r>
    <s v="2009-0352-IDN"/>
    <x v="15"/>
    <n v="2009"/>
    <s v="Flood"/>
    <x v="122"/>
    <n v="0"/>
  </r>
  <r>
    <s v="2009-0436-IDN"/>
    <x v="15"/>
    <n v="2009"/>
    <s v="Flood"/>
    <x v="16"/>
    <n v="0"/>
  </r>
  <r>
    <s v="2009-0540-IDN"/>
    <x v="15"/>
    <n v="2009"/>
    <s v="Flood"/>
    <x v="638"/>
    <n v="0"/>
  </r>
  <r>
    <s v="2010-0238-IDN"/>
    <x v="15"/>
    <n v="2010"/>
    <s v="Earthquake"/>
    <x v="468"/>
    <n v="0"/>
  </r>
  <r>
    <s v="2010-0563-IDN"/>
    <x v="15"/>
    <n v="2010"/>
    <s v="Earthquake"/>
    <x v="639"/>
    <n v="0"/>
  </r>
  <r>
    <s v="2010-0026-IDN"/>
    <x v="15"/>
    <n v="2010"/>
    <s v="Flood"/>
    <x v="640"/>
    <n v="0"/>
  </r>
  <r>
    <s v="2010-0034-IDN"/>
    <x v="15"/>
    <n v="2010"/>
    <s v="Flood"/>
    <x v="641"/>
    <n v="0"/>
  </r>
  <r>
    <s v="2010-0075-IDN"/>
    <x v="15"/>
    <n v="2010"/>
    <s v="Flood"/>
    <x v="12"/>
    <n v="0"/>
  </r>
  <r>
    <s v="2010-0301-IDN"/>
    <x v="15"/>
    <n v="2010"/>
    <s v="Flood"/>
    <x v="642"/>
    <n v="0"/>
  </r>
  <r>
    <s v="2010-0512-IDN"/>
    <x v="15"/>
    <n v="2010"/>
    <s v="Flood"/>
    <x v="643"/>
    <n v="78000"/>
  </r>
  <r>
    <s v="2010-0576-IDN"/>
    <x v="15"/>
    <n v="2010"/>
    <s v="Flood"/>
    <x v="96"/>
    <n v="0"/>
  </r>
  <r>
    <s v="2010-0684-IDN"/>
    <x v="15"/>
    <n v="2010"/>
    <s v="Flood"/>
    <x v="7"/>
    <n v="0"/>
  </r>
  <r>
    <s v="2011-0082-IDN"/>
    <x v="15"/>
    <n v="2011"/>
    <s v="Earthquake"/>
    <x v="644"/>
    <n v="0"/>
  </r>
  <r>
    <s v="2011-0389-IDN"/>
    <x v="15"/>
    <n v="2011"/>
    <s v="Earthquake"/>
    <x v="7"/>
    <n v="5850"/>
  </r>
  <r>
    <s v="2011-0023-IDN"/>
    <x v="15"/>
    <n v="2011"/>
    <s v="Flood"/>
    <x v="172"/>
    <n v="0"/>
  </r>
  <r>
    <s v="2011-0088-IDN"/>
    <x v="15"/>
    <n v="2011"/>
    <s v="Flood"/>
    <x v="374"/>
    <n v="0"/>
  </r>
  <r>
    <s v="2011-0094-IDN"/>
    <x v="15"/>
    <n v="2011"/>
    <s v="Flood"/>
    <x v="645"/>
    <n v="0"/>
  </r>
  <r>
    <s v="2011-0575-IDN"/>
    <x v="15"/>
    <n v="2011"/>
    <s v="Flood"/>
    <x v="139"/>
    <n v="0"/>
  </r>
  <r>
    <s v="2011-0603-IDN"/>
    <x v="15"/>
    <n v="2011"/>
    <s v="Flood"/>
    <x v="646"/>
    <n v="0"/>
  </r>
  <r>
    <s v="2011-0645-IDN"/>
    <x v="15"/>
    <n v="2011"/>
    <s v="Flood"/>
    <x v="139"/>
    <n v="0"/>
  </r>
  <r>
    <s v="2012-0097-IDN"/>
    <x v="15"/>
    <n v="2012"/>
    <s v="Earthquake"/>
    <x v="647"/>
    <n v="0"/>
  </r>
  <r>
    <s v="2012-0398-IDN"/>
    <x v="15"/>
    <n v="2012"/>
    <s v="Earthquake"/>
    <x v="648"/>
    <n v="0"/>
  </r>
  <r>
    <s v="2012-0266-IDN"/>
    <x v="15"/>
    <n v="2012"/>
    <s v="Flood"/>
    <x v="625"/>
    <n v="0"/>
  </r>
  <r>
    <s v="2012-0378-IDN"/>
    <x v="15"/>
    <n v="2012"/>
    <s v="Flood"/>
    <x v="649"/>
    <n v="0"/>
  </r>
  <r>
    <s v="2012-0426-IDN"/>
    <x v="15"/>
    <n v="2012"/>
    <s v="Flood"/>
    <x v="650"/>
    <n v="0"/>
  </r>
  <r>
    <s v="2012-0432-IDN"/>
    <x v="15"/>
    <n v="2012"/>
    <s v="Flood"/>
    <x v="651"/>
    <n v="0"/>
  </r>
  <r>
    <s v="2012-0539-IDN"/>
    <x v="15"/>
    <n v="2012"/>
    <s v="Flood"/>
    <x v="170"/>
    <n v="0"/>
  </r>
  <r>
    <s v="2012-0575-IDN"/>
    <x v="15"/>
    <n v="2012"/>
    <s v="Flood"/>
    <x v="652"/>
    <n v="0"/>
  </r>
  <r>
    <s v="2012-0582-IDN"/>
    <x v="15"/>
    <n v="2012"/>
    <s v="Flood"/>
    <x v="653"/>
    <n v="0"/>
  </r>
  <r>
    <s v="2012-0558-IDN"/>
    <x v="15"/>
    <n v="2012"/>
    <s v="Storm"/>
    <x v="654"/>
    <n v="1000"/>
  </r>
  <r>
    <s v="2012-0561-IDN"/>
    <x v="15"/>
    <n v="2012"/>
    <s v="Storm"/>
    <x v="655"/>
    <n v="0"/>
  </r>
  <r>
    <s v="2013-0020-IDN"/>
    <x v="15"/>
    <n v="2013"/>
    <s v="Earthquake"/>
    <x v="656"/>
    <n v="0"/>
  </r>
  <r>
    <s v="2013-0235-IDN"/>
    <x v="15"/>
    <n v="2013"/>
    <s v="Earthquake"/>
    <x v="657"/>
    <n v="130000"/>
  </r>
  <r>
    <s v="2013-0436-IDN"/>
    <x v="15"/>
    <n v="2013"/>
    <s v="Earthquake"/>
    <x v="658"/>
    <n v="0"/>
  </r>
  <r>
    <s v="2013-0007-IDN"/>
    <x v="15"/>
    <n v="2013"/>
    <s v="Flood"/>
    <x v="659"/>
    <n v="3000000"/>
  </r>
  <r>
    <s v="2013-0034-IDN"/>
    <x v="15"/>
    <n v="2013"/>
    <s v="Flood"/>
    <x v="10"/>
    <n v="0"/>
  </r>
  <r>
    <s v="2013-0063-IDN"/>
    <x v="15"/>
    <n v="2013"/>
    <s v="Flood"/>
    <x v="660"/>
    <n v="2000"/>
  </r>
  <r>
    <s v="2013-0126-IDN"/>
    <x v="15"/>
    <n v="2013"/>
    <s v="Flood"/>
    <x v="661"/>
    <n v="0"/>
  </r>
  <r>
    <s v="2013-0267-IDN"/>
    <x v="15"/>
    <n v="2013"/>
    <s v="Flood"/>
    <x v="662"/>
    <n v="0"/>
  </r>
  <r>
    <s v="2013-0364-IDN"/>
    <x v="15"/>
    <n v="2013"/>
    <s v="Flood"/>
    <x v="663"/>
    <n v="0"/>
  </r>
  <r>
    <s v="2013-0428-IDN"/>
    <x v="15"/>
    <n v="2013"/>
    <s v="Flood"/>
    <x v="349"/>
    <n v="0"/>
  </r>
  <r>
    <s v="2013-0541-IDN"/>
    <x v="15"/>
    <n v="2013"/>
    <s v="Flood"/>
    <x v="664"/>
    <n v="2000"/>
  </r>
  <r>
    <s v="2013-0553-IDN"/>
    <x v="15"/>
    <n v="2013"/>
    <s v="Flood"/>
    <x v="665"/>
    <n v="2000"/>
  </r>
  <r>
    <s v="2013-0560-IDN"/>
    <x v="15"/>
    <n v="2013"/>
    <s v="Flood"/>
    <x v="666"/>
    <n v="0"/>
  </r>
  <r>
    <s v="2014-0018-IDN"/>
    <x v="15"/>
    <n v="2014"/>
    <s v="Flood"/>
    <x v="667"/>
    <n v="153000"/>
  </r>
  <r>
    <s v="2014-0038-IDN"/>
    <x v="15"/>
    <n v="2014"/>
    <s v="Flood"/>
    <x v="668"/>
    <n v="173000"/>
  </r>
  <r>
    <s v="2014-0056-IDN"/>
    <x v="15"/>
    <n v="2014"/>
    <s v="Flood"/>
    <x v="33"/>
    <n v="600000"/>
  </r>
  <r>
    <s v="2014-0057-IDN"/>
    <x v="15"/>
    <n v="2014"/>
    <s v="Flood"/>
    <x v="36"/>
    <n v="2000"/>
  </r>
  <r>
    <s v="2014-0081-IDN"/>
    <x v="15"/>
    <n v="2014"/>
    <s v="Flood"/>
    <x v="669"/>
    <n v="0"/>
  </r>
  <r>
    <s v="2014-0473-IDN"/>
    <x v="15"/>
    <n v="2014"/>
    <s v="Flood"/>
    <x v="670"/>
    <n v="0"/>
  </r>
  <r>
    <s v="2015-9411-IDN"/>
    <x v="15"/>
    <n v="2015"/>
    <s v="Drought"/>
    <x v="7"/>
    <n v="0"/>
  </r>
  <r>
    <s v="2015-0415-IDN"/>
    <x v="15"/>
    <n v="2015"/>
    <s v="Earthquake"/>
    <x v="671"/>
    <n v="0"/>
  </r>
  <r>
    <s v="2015-0036-IDN"/>
    <x v="15"/>
    <n v="2015"/>
    <s v="Flood"/>
    <x v="672"/>
    <n v="0"/>
  </r>
  <r>
    <s v="2015-0056-IDN"/>
    <x v="15"/>
    <n v="2015"/>
    <s v="Flood"/>
    <x v="98"/>
    <n v="0"/>
  </r>
  <r>
    <s v="2015-0076-IDN"/>
    <x v="15"/>
    <n v="2015"/>
    <s v="Flood"/>
    <x v="120"/>
    <n v="0"/>
  </r>
  <r>
    <s v="2015-0077-IDN"/>
    <x v="15"/>
    <n v="2015"/>
    <s v="Flood"/>
    <x v="7"/>
    <n v="235000"/>
  </r>
  <r>
    <s v="2015-0129-IDN"/>
    <x v="15"/>
    <n v="2015"/>
    <s v="Flood"/>
    <x v="30"/>
    <n v="0"/>
  </r>
  <r>
    <s v="2015-0412-IDN"/>
    <x v="15"/>
    <n v="2015"/>
    <s v="Flood"/>
    <x v="673"/>
    <n v="0"/>
  </r>
  <r>
    <s v="2016-0019-IDN"/>
    <x v="15"/>
    <n v="2016"/>
    <s v="Earthquake"/>
    <x v="674"/>
    <n v="0"/>
  </r>
  <r>
    <s v="2016-0458-IDN"/>
    <x v="15"/>
    <n v="2016"/>
    <s v="Earthquake"/>
    <x v="675"/>
    <n v="0"/>
  </r>
  <r>
    <s v="2016-0475-IDN"/>
    <x v="15"/>
    <n v="2016"/>
    <s v="Earthquake"/>
    <x v="676"/>
    <n v="100000"/>
  </r>
  <r>
    <s v="2016-0040-IDN"/>
    <x v="15"/>
    <n v="2016"/>
    <s v="Flood"/>
    <x v="677"/>
    <n v="2000"/>
  </r>
  <r>
    <s v="2016-0057-IDN"/>
    <x v="15"/>
    <n v="2016"/>
    <s v="Flood"/>
    <x v="401"/>
    <n v="0"/>
  </r>
  <r>
    <s v="2016-0092-IDN"/>
    <x v="15"/>
    <n v="2016"/>
    <s v="Flood"/>
    <x v="249"/>
    <n v="0"/>
  </r>
  <r>
    <s v="2016-0094-IDN"/>
    <x v="15"/>
    <n v="2016"/>
    <s v="Flood"/>
    <x v="678"/>
    <n v="0"/>
  </r>
  <r>
    <s v="2016-0306-IDN"/>
    <x v="15"/>
    <n v="2016"/>
    <s v="Flood"/>
    <x v="679"/>
    <n v="0"/>
  </r>
  <r>
    <s v="2016-0345-IDN"/>
    <x v="15"/>
    <n v="2016"/>
    <s v="Flood"/>
    <x v="680"/>
    <n v="22000"/>
  </r>
  <r>
    <s v="2016-0425-IDN"/>
    <x v="15"/>
    <n v="2016"/>
    <s v="Flood"/>
    <x v="681"/>
    <n v="0"/>
  </r>
  <r>
    <s v="2016-0479-IDN"/>
    <x v="15"/>
    <n v="2016"/>
    <s v="Flood"/>
    <x v="682"/>
    <n v="0"/>
  </r>
  <r>
    <s v="2016-0525-IDN"/>
    <x v="15"/>
    <n v="2016"/>
    <s v="Flood"/>
    <x v="683"/>
    <n v="10000"/>
  </r>
  <r>
    <s v="2016-0527-IDN"/>
    <x v="15"/>
    <n v="2016"/>
    <s v="Flood"/>
    <x v="684"/>
    <n v="74000"/>
  </r>
  <r>
    <s v="2017-0530-IDN"/>
    <x v="15"/>
    <n v="2017"/>
    <s v="Earthquake"/>
    <x v="685"/>
    <n v="0"/>
  </r>
  <r>
    <s v="2017-0059-IDN"/>
    <x v="15"/>
    <n v="2017"/>
    <s v="Flood"/>
    <x v="11"/>
    <n v="0"/>
  </r>
  <r>
    <s v="2017-0111-IDN"/>
    <x v="15"/>
    <n v="2017"/>
    <s v="Flood"/>
    <x v="686"/>
    <n v="19000"/>
  </r>
  <r>
    <s v="2017-0147-IDN"/>
    <x v="15"/>
    <n v="2017"/>
    <s v="Flood"/>
    <x v="687"/>
    <n v="0"/>
  </r>
  <r>
    <s v="2017-0177-IDN"/>
    <x v="15"/>
    <n v="2017"/>
    <s v="Flood"/>
    <x v="688"/>
    <n v="0"/>
  </r>
  <r>
    <s v="2017-0206-IDN"/>
    <x v="15"/>
    <n v="2017"/>
    <s v="Flood"/>
    <x v="689"/>
    <n v="2000"/>
  </r>
  <r>
    <s v="2017-0494-IDN"/>
    <x v="15"/>
    <n v="2017"/>
    <s v="Flood"/>
    <x v="172"/>
    <n v="0"/>
  </r>
  <r>
    <s v="2017-0576-IDN"/>
    <x v="15"/>
    <n v="2017"/>
    <s v="Flood"/>
    <x v="690"/>
    <n v="0"/>
  </r>
  <r>
    <s v="2017-0515-IDN"/>
    <x v="15"/>
    <n v="2017"/>
    <s v="Storm"/>
    <x v="691"/>
    <n v="0"/>
  </r>
  <r>
    <s v="2018-0031-IDN"/>
    <x v="15"/>
    <n v="2018"/>
    <s v="Earthquake"/>
    <x v="692"/>
    <n v="80000"/>
  </r>
  <r>
    <s v="2018-0254-IDN"/>
    <x v="15"/>
    <n v="2018"/>
    <s v="Earthquake"/>
    <x v="693"/>
    <n v="29000"/>
  </r>
  <r>
    <s v="2018-0257-IDN"/>
    <x v="15"/>
    <n v="2018"/>
    <s v="Earthquake"/>
    <x v="694"/>
    <n v="790000"/>
  </r>
  <r>
    <s v="2018-0302-IDN"/>
    <x v="15"/>
    <n v="2018"/>
    <s v="Earthquake"/>
    <x v="695"/>
    <n v="5000"/>
  </r>
  <r>
    <s v="2018-0352-IDN"/>
    <x v="15"/>
    <n v="2018"/>
    <s v="Earthquake"/>
    <x v="482"/>
    <n v="1450000"/>
  </r>
  <r>
    <s v="2018-0121-IDN"/>
    <x v="15"/>
    <n v="2018"/>
    <s v="Flood"/>
    <x v="696"/>
    <n v="0"/>
  </r>
  <r>
    <s v="2018-0166-IDN"/>
    <x v="15"/>
    <n v="2018"/>
    <s v="Flood"/>
    <x v="139"/>
    <n v="0"/>
  </r>
  <r>
    <s v="2018-0425-IDN"/>
    <x v="15"/>
    <n v="2018"/>
    <s v="Flood"/>
    <x v="33"/>
    <n v="0"/>
  </r>
  <r>
    <s v="2018-0471-IDN"/>
    <x v="15"/>
    <n v="2018"/>
    <s v="Flood"/>
    <x v="139"/>
    <n v="0"/>
  </r>
  <r>
    <s v="2018-0472-IDN"/>
    <x v="15"/>
    <n v="2018"/>
    <s v="Flood"/>
    <x v="697"/>
    <n v="0"/>
  </r>
  <r>
    <s v="2018-0483-IDN"/>
    <x v="15"/>
    <n v="2018"/>
    <s v="Flood"/>
    <x v="168"/>
    <n v="0"/>
  </r>
  <r>
    <s v="2019-0085-IDN"/>
    <x v="15"/>
    <n v="2019"/>
    <s v="Earthquake"/>
    <x v="698"/>
    <n v="0"/>
  </r>
  <r>
    <s v="2019-0109-IDN"/>
    <x v="15"/>
    <n v="2019"/>
    <s v="Earthquake"/>
    <x v="699"/>
    <n v="0"/>
  </r>
  <r>
    <s v="2019-0334-IDN"/>
    <x v="15"/>
    <n v="2019"/>
    <s v="Earthquake"/>
    <x v="700"/>
    <n v="0"/>
  </r>
  <r>
    <s v="2019-0377-IDN"/>
    <x v="15"/>
    <n v="2019"/>
    <s v="Earthquake"/>
    <x v="701"/>
    <n v="0"/>
  </r>
  <r>
    <s v="2019-0451-IDN"/>
    <x v="15"/>
    <n v="2019"/>
    <s v="Earthquake"/>
    <x v="702"/>
    <n v="0"/>
  </r>
  <r>
    <s v="2019-0022-IDN"/>
    <x v="15"/>
    <n v="2019"/>
    <s v="Flood"/>
    <x v="703"/>
    <n v="0"/>
  </r>
  <r>
    <s v="2019-0107-IDN"/>
    <x v="15"/>
    <n v="2019"/>
    <s v="Flood"/>
    <x v="704"/>
    <n v="0"/>
  </r>
  <r>
    <s v="2019-0111-IDN"/>
    <x v="15"/>
    <n v="2019"/>
    <s v="Flood"/>
    <x v="705"/>
    <n v="103000"/>
  </r>
  <r>
    <s v="2019-0167-IDN"/>
    <x v="15"/>
    <n v="2019"/>
    <s v="Flood"/>
    <x v="706"/>
    <n v="0"/>
  </r>
  <r>
    <s v="2019-0168-IDN"/>
    <x v="15"/>
    <n v="2019"/>
    <s v="Flood"/>
    <x v="707"/>
    <n v="15000"/>
  </r>
  <r>
    <s v="2019-0210-IDN"/>
    <x v="15"/>
    <n v="2019"/>
    <s v="Flood"/>
    <x v="708"/>
    <n v="0"/>
  </r>
  <r>
    <s v="2019-0281-IDN"/>
    <x v="15"/>
    <n v="2019"/>
    <s v="Flood"/>
    <x v="709"/>
    <n v="0"/>
  </r>
  <r>
    <s v="2019-0523-IDN"/>
    <x v="15"/>
    <n v="2019"/>
    <s v="Flood"/>
    <x v="710"/>
    <n v="0"/>
  </r>
  <r>
    <s v="2019-0620-IDN"/>
    <x v="15"/>
    <n v="2019"/>
    <s v="Flood"/>
    <x v="44"/>
    <n v="0"/>
  </r>
  <r>
    <s v="2019-0632-IDN"/>
    <x v="15"/>
    <n v="2019"/>
    <s v="Flood"/>
    <x v="711"/>
    <n v="1200000"/>
  </r>
  <r>
    <s v="2019-0657-IDN"/>
    <x v="15"/>
    <n v="2019"/>
    <s v="Flood"/>
    <x v="104"/>
    <n v="0"/>
  </r>
  <r>
    <s v="2020-0225-IDN"/>
    <x v="15"/>
    <n v="2020"/>
    <s v="Earthquake"/>
    <x v="712"/>
    <n v="0"/>
  </r>
  <r>
    <s v="2020-0014-IDN"/>
    <x v="15"/>
    <n v="2020"/>
    <s v="Flood"/>
    <x v="713"/>
    <n v="0"/>
  </r>
  <r>
    <s v="2020-0018-IDN"/>
    <x v="15"/>
    <n v="2020"/>
    <s v="Flood"/>
    <x v="7"/>
    <n v="0"/>
  </r>
  <r>
    <s v="2020-0033-IDN"/>
    <x v="15"/>
    <n v="2020"/>
    <s v="Flood"/>
    <x v="129"/>
    <n v="0"/>
  </r>
  <r>
    <s v="2020-0036-IDN"/>
    <x v="15"/>
    <n v="2020"/>
    <s v="Flood"/>
    <x v="527"/>
    <n v="0"/>
  </r>
  <r>
    <s v="2020-0052-IDN"/>
    <x v="15"/>
    <n v="2020"/>
    <s v="Flood"/>
    <x v="714"/>
    <n v="0"/>
  </r>
  <r>
    <s v="2020-0059-IDN"/>
    <x v="15"/>
    <n v="2020"/>
    <s v="Flood"/>
    <x v="661"/>
    <n v="10000"/>
  </r>
  <r>
    <s v="2020-0068-IDN"/>
    <x v="15"/>
    <n v="2020"/>
    <s v="Flood"/>
    <x v="715"/>
    <n v="0"/>
  </r>
  <r>
    <s v="2020-0086-IDN"/>
    <x v="15"/>
    <n v="2020"/>
    <s v="Flood"/>
    <x v="43"/>
    <n v="7200"/>
  </r>
  <r>
    <s v="2020-0115-IDN"/>
    <x v="15"/>
    <n v="2020"/>
    <s v="Flood"/>
    <x v="716"/>
    <n v="0"/>
  </r>
  <r>
    <s v="2020-0121-IDN"/>
    <x v="15"/>
    <n v="2020"/>
    <s v="Flood"/>
    <x v="717"/>
    <n v="0"/>
  </r>
  <r>
    <s v="2020-0134-IDN"/>
    <x v="15"/>
    <n v="2020"/>
    <s v="Flood"/>
    <x v="12"/>
    <n v="0"/>
  </r>
  <r>
    <s v="2020-0144-IDN"/>
    <x v="15"/>
    <n v="2020"/>
    <s v="Flood"/>
    <x v="120"/>
    <n v="0"/>
  </r>
  <r>
    <s v="2020-0151-IDN"/>
    <x v="15"/>
    <n v="2020"/>
    <s v="Flood"/>
    <x v="268"/>
    <n v="0"/>
  </r>
  <r>
    <s v="2020-0161-IDN"/>
    <x v="15"/>
    <n v="2020"/>
    <s v="Flood"/>
    <x v="9"/>
    <n v="0"/>
  </r>
  <r>
    <s v="2020-0185-IDN"/>
    <x v="15"/>
    <n v="2020"/>
    <s v="Flood"/>
    <x v="718"/>
    <n v="0"/>
  </r>
  <r>
    <s v="2020-0224-IDN"/>
    <x v="15"/>
    <n v="2020"/>
    <s v="Flood"/>
    <x v="719"/>
    <n v="0"/>
  </r>
  <r>
    <s v="2020-0245-IDN"/>
    <x v="15"/>
    <n v="2020"/>
    <s v="Flood"/>
    <x v="720"/>
    <n v="0"/>
  </r>
  <r>
    <s v="2020-0250-IDN"/>
    <x v="15"/>
    <n v="2020"/>
    <s v="Flood"/>
    <x v="721"/>
    <n v="2100"/>
  </r>
  <r>
    <s v="2020-0265-IDN"/>
    <x v="15"/>
    <n v="2020"/>
    <s v="Flood"/>
    <x v="122"/>
    <n v="0"/>
  </r>
  <r>
    <s v="2020-0310-IDN"/>
    <x v="15"/>
    <n v="2020"/>
    <s v="Flood"/>
    <x v="722"/>
    <n v="0"/>
  </r>
  <r>
    <s v="2020-0325-IDN"/>
    <x v="15"/>
    <n v="2020"/>
    <s v="Flood"/>
    <x v="723"/>
    <n v="10000"/>
  </r>
  <r>
    <s v="2020-0486-IDN"/>
    <x v="15"/>
    <n v="2020"/>
    <s v="Flood"/>
    <x v="122"/>
    <n v="0"/>
  </r>
  <r>
    <s v="2020-0532-IDN"/>
    <x v="15"/>
    <n v="2020"/>
    <s v="Flood"/>
    <x v="268"/>
    <n v="0"/>
  </r>
  <r>
    <s v="2020-0544-IDN"/>
    <x v="15"/>
    <n v="2020"/>
    <s v="Flood"/>
    <x v="724"/>
    <n v="0"/>
  </r>
  <r>
    <s v="2020-0551-IDN"/>
    <x v="15"/>
    <n v="2020"/>
    <s v="Flood"/>
    <x v="725"/>
    <n v="0"/>
  </r>
  <r>
    <s v="2021-0003-IDN"/>
    <x v="15"/>
    <n v="2021"/>
    <s v="Earthquake"/>
    <x v="726"/>
    <n v="58700"/>
  </r>
  <r>
    <s v="2021-0200-IDN"/>
    <x v="15"/>
    <n v="2021"/>
    <s v="Earthquake"/>
    <x v="727"/>
    <n v="0"/>
  </r>
  <r>
    <s v="2021-0323-IDN"/>
    <x v="15"/>
    <n v="2021"/>
    <s v="Earthquake"/>
    <x v="374"/>
    <n v="0"/>
  </r>
  <r>
    <s v="2021-0720-IDN"/>
    <x v="15"/>
    <n v="2021"/>
    <s v="Earthquake"/>
    <x v="728"/>
    <n v="0"/>
  </r>
  <r>
    <s v="2021-0801-IDN"/>
    <x v="15"/>
    <n v="2021"/>
    <s v="Earthquake"/>
    <x v="729"/>
    <n v="0"/>
  </r>
  <r>
    <s v="2021-0005-IDN"/>
    <x v="15"/>
    <n v="2021"/>
    <s v="Flood"/>
    <x v="730"/>
    <n v="0"/>
  </r>
  <r>
    <s v="2021-0023-IDN"/>
    <x v="15"/>
    <n v="2021"/>
    <s v="Flood"/>
    <x v="122"/>
    <n v="0"/>
  </r>
  <r>
    <s v="2021-0062-IDN"/>
    <x v="15"/>
    <n v="2021"/>
    <s v="Flood"/>
    <x v="731"/>
    <n v="0"/>
  </r>
  <r>
    <s v="2021-0088-IDN"/>
    <x v="15"/>
    <n v="2021"/>
    <s v="Flood"/>
    <x v="732"/>
    <n v="50000"/>
  </r>
  <r>
    <s v="2021-0104-IDN"/>
    <x v="15"/>
    <n v="2021"/>
    <s v="Flood"/>
    <x v="733"/>
    <n v="0"/>
  </r>
  <r>
    <s v="2021-0165-IDN"/>
    <x v="15"/>
    <n v="2021"/>
    <s v="Flood"/>
    <x v="734"/>
    <n v="0"/>
  </r>
  <r>
    <s v="2021-0185-IDN"/>
    <x v="15"/>
    <n v="2021"/>
    <s v="Flood"/>
    <x v="735"/>
    <n v="0"/>
  </r>
  <r>
    <s v="2021-0302-IDN"/>
    <x v="15"/>
    <n v="2021"/>
    <s v="Flood"/>
    <x v="736"/>
    <n v="0"/>
  </r>
  <r>
    <s v="2021-0379-IDN"/>
    <x v="15"/>
    <n v="2021"/>
    <s v="Flood"/>
    <x v="737"/>
    <n v="0"/>
  </r>
  <r>
    <s v="2021-0530-IDN"/>
    <x v="15"/>
    <n v="2021"/>
    <s v="Flood"/>
    <x v="738"/>
    <n v="0"/>
  </r>
  <r>
    <s v="2021-0584-IDN"/>
    <x v="15"/>
    <n v="2021"/>
    <s v="Flood"/>
    <x v="739"/>
    <n v="0"/>
  </r>
  <r>
    <s v="2021-0653-IDN"/>
    <x v="15"/>
    <n v="2021"/>
    <s v="Flood"/>
    <x v="740"/>
    <n v="0"/>
  </r>
  <r>
    <s v="2021-0695-IDN"/>
    <x v="15"/>
    <n v="2021"/>
    <s v="Flood"/>
    <x v="741"/>
    <n v="0"/>
  </r>
  <r>
    <s v="2021-0719-IDN"/>
    <x v="15"/>
    <n v="2021"/>
    <s v="Flood"/>
    <x v="742"/>
    <n v="0"/>
  </r>
  <r>
    <s v="2021-0768-IDN"/>
    <x v="15"/>
    <n v="2021"/>
    <s v="Flood"/>
    <x v="743"/>
    <n v="0"/>
  </r>
  <r>
    <s v="2021-0788-IDN"/>
    <x v="15"/>
    <n v="2021"/>
    <s v="Flood"/>
    <x v="744"/>
    <n v="0"/>
  </r>
  <r>
    <s v="2021-0823-IDN"/>
    <x v="15"/>
    <n v="2021"/>
    <s v="Flood"/>
    <x v="745"/>
    <n v="0"/>
  </r>
  <r>
    <s v="2021-0835-IDN"/>
    <x v="15"/>
    <n v="2021"/>
    <s v="Flood"/>
    <x v="554"/>
    <n v="0"/>
  </r>
  <r>
    <s v="2021-0173-IDN"/>
    <x v="15"/>
    <n v="2021"/>
    <s v="Storm"/>
    <x v="746"/>
    <n v="800000"/>
  </r>
  <r>
    <s v="2022-0012-IDN"/>
    <x v="15"/>
    <n v="2022"/>
    <s v="Earthquake"/>
    <x v="747"/>
    <n v="0"/>
  </r>
  <r>
    <s v="2022-0042-IDN"/>
    <x v="15"/>
    <n v="2022"/>
    <s v="Earthquake"/>
    <x v="748"/>
    <n v="23000"/>
  </r>
  <r>
    <s v="2022-0115-IDN"/>
    <x v="15"/>
    <n v="2022"/>
    <s v="Earthquake"/>
    <x v="749"/>
    <n v="39000"/>
  </r>
  <r>
    <s v="2022-0595-IDN"/>
    <x v="15"/>
    <n v="2022"/>
    <s v="Earthquake"/>
    <x v="750"/>
    <n v="0"/>
  </r>
  <r>
    <s v="2022-0755-IDN"/>
    <x v="15"/>
    <n v="2022"/>
    <s v="Earthquake"/>
    <x v="751"/>
    <n v="0"/>
  </r>
  <r>
    <s v="2022-0011-IDN"/>
    <x v="15"/>
    <n v="2022"/>
    <s v="Flood"/>
    <x v="370"/>
    <n v="0"/>
  </r>
  <r>
    <s v="2022-0087-IDN"/>
    <x v="15"/>
    <n v="2022"/>
    <s v="Flood"/>
    <x v="752"/>
    <n v="12000"/>
  </r>
  <r>
    <s v="2022-0120-IDN"/>
    <x v="15"/>
    <n v="2022"/>
    <s v="Flood"/>
    <x v="753"/>
    <n v="62000"/>
  </r>
  <r>
    <s v="2022-0136-IDN"/>
    <x v="15"/>
    <n v="2022"/>
    <s v="Flood"/>
    <x v="754"/>
    <n v="0"/>
  </r>
  <r>
    <s v="2022-0324-IDN"/>
    <x v="15"/>
    <n v="2022"/>
    <s v="Flood"/>
    <x v="755"/>
    <n v="0"/>
  </r>
  <r>
    <s v="2022-0418-IDN"/>
    <x v="15"/>
    <n v="2022"/>
    <s v="Flood"/>
    <x v="756"/>
    <n v="0"/>
  </r>
  <r>
    <s v="2022-0642-IDN"/>
    <x v="15"/>
    <n v="2022"/>
    <s v="Flood"/>
    <x v="757"/>
    <n v="0"/>
  </r>
  <r>
    <s v="2022-0694-IDN"/>
    <x v="15"/>
    <n v="2022"/>
    <s v="Flood"/>
    <x v="758"/>
    <n v="0"/>
  </r>
  <r>
    <s v="2022-0732-IDN"/>
    <x v="15"/>
    <n v="2022"/>
    <s v="Flood"/>
    <x v="759"/>
    <n v="0"/>
  </r>
  <r>
    <s v="2022-0736-IDN"/>
    <x v="15"/>
    <n v="2022"/>
    <s v="Flood"/>
    <x v="291"/>
    <n v="0"/>
  </r>
  <r>
    <s v="2022-0782-IDN"/>
    <x v="15"/>
    <n v="2022"/>
    <s v="Flood"/>
    <x v="249"/>
    <n v="0"/>
  </r>
  <r>
    <s v="2022-0845-IDN"/>
    <x v="15"/>
    <n v="2022"/>
    <s v="Flood"/>
    <x v="760"/>
    <n v="0"/>
  </r>
  <r>
    <s v="2022-0847-IDN"/>
    <x v="15"/>
    <n v="2022"/>
    <s v="Flood"/>
    <x v="761"/>
    <n v="0"/>
  </r>
  <r>
    <s v="2023-9494-IDN"/>
    <x v="15"/>
    <n v="2023"/>
    <s v="Drought"/>
    <x v="762"/>
    <n v="0"/>
  </r>
  <r>
    <s v="2023-0006-IDN"/>
    <x v="15"/>
    <n v="2023"/>
    <s v="Earthquake"/>
    <x v="763"/>
    <n v="0"/>
  </r>
  <r>
    <s v="2023-0073-IDN"/>
    <x v="15"/>
    <n v="2023"/>
    <s v="Earthquake"/>
    <x v="764"/>
    <n v="0"/>
  </r>
  <r>
    <s v="2023-0378-IDN"/>
    <x v="15"/>
    <n v="2023"/>
    <s v="Earthquake"/>
    <x v="765"/>
    <n v="0"/>
  </r>
  <r>
    <s v="2023-0041-IDN"/>
    <x v="15"/>
    <n v="2023"/>
    <s v="Flood"/>
    <x v="168"/>
    <n v="0"/>
  </r>
  <r>
    <s v="2023-0044-IDN"/>
    <x v="15"/>
    <n v="2023"/>
    <s v="Flood"/>
    <x v="766"/>
    <n v="0"/>
  </r>
  <r>
    <s v="2023-0437-IDN"/>
    <x v="15"/>
    <n v="2023"/>
    <s v="Flood"/>
    <x v="767"/>
    <n v="0"/>
  </r>
  <r>
    <s v="2023-0601-IDN"/>
    <x v="15"/>
    <n v="2023"/>
    <s v="Flood"/>
    <x v="464"/>
    <n v="0"/>
  </r>
  <r>
    <s v="2023-0803-IDN"/>
    <x v="15"/>
    <n v="2023"/>
    <s v="Flood"/>
    <x v="768"/>
    <n v="0"/>
  </r>
  <r>
    <s v="2023-0127-IDN"/>
    <x v="15"/>
    <n v="2023"/>
    <s v="Storm"/>
    <x v="769"/>
    <n v="0"/>
  </r>
  <r>
    <s v="2023-0366-IDN"/>
    <x v="15"/>
    <n v="2023"/>
    <s v="Storm"/>
    <x v="770"/>
    <n v="0"/>
  </r>
  <r>
    <s v="2024-0154-IDN"/>
    <x v="15"/>
    <n v="2024"/>
    <s v="Earthquake"/>
    <x v="771"/>
    <n v="40000"/>
  </r>
  <r>
    <s v="2024-0262-IDN"/>
    <x v="15"/>
    <n v="2024"/>
    <s v="Earthquake"/>
    <x v="772"/>
    <n v="0"/>
  </r>
  <r>
    <s v="2024-0688-IDN"/>
    <x v="15"/>
    <n v="2024"/>
    <s v="Earthquake"/>
    <x v="773"/>
    <n v="30000"/>
  </r>
  <r>
    <s v="2024-0101-IDN"/>
    <x v="15"/>
    <n v="2024"/>
    <s v="Flood"/>
    <x v="774"/>
    <n v="0"/>
  </r>
  <r>
    <s v="2024-0204-IDN"/>
    <x v="15"/>
    <n v="2024"/>
    <s v="Flood"/>
    <x v="775"/>
    <n v="0"/>
  </r>
  <r>
    <s v="2024-0249-IDN"/>
    <x v="15"/>
    <n v="2024"/>
    <s v="Flood"/>
    <x v="776"/>
    <n v="0"/>
  </r>
  <r>
    <s v="2024-0289-IDN"/>
    <x v="15"/>
    <n v="2024"/>
    <s v="Flood"/>
    <x v="777"/>
    <n v="0"/>
  </r>
  <r>
    <s v="2024-0327-IDN"/>
    <x v="15"/>
    <n v="2024"/>
    <s v="Flood"/>
    <x v="778"/>
    <n v="0"/>
  </r>
  <r>
    <s v="2024-0644-IDN"/>
    <x v="15"/>
    <n v="2024"/>
    <s v="Flood"/>
    <x v="28"/>
    <n v="0"/>
  </r>
  <r>
    <s v="2024-0865-IDN"/>
    <x v="15"/>
    <n v="2024"/>
    <s v="Flood"/>
    <x v="10"/>
    <n v="0"/>
  </r>
  <r>
    <s v="2024-0898-IDN"/>
    <x v="15"/>
    <n v="2024"/>
    <s v="Flood"/>
    <x v="779"/>
    <n v="0"/>
  </r>
  <r>
    <s v="2001-0750-IRN"/>
    <x v="16"/>
    <n v="2001"/>
    <s v="Earthquake"/>
    <x v="10"/>
    <n v="0"/>
  </r>
  <r>
    <s v="2001-0180-IRN"/>
    <x v="16"/>
    <n v="2001"/>
    <s v="Flood"/>
    <x v="780"/>
    <n v="0"/>
  </r>
  <r>
    <s v="2001-0375-IRN"/>
    <x v="16"/>
    <n v="2001"/>
    <s v="Flood"/>
    <x v="781"/>
    <n v="25000"/>
  </r>
  <r>
    <s v="2001-0453-IRN"/>
    <x v="16"/>
    <n v="2001"/>
    <s v="Flood"/>
    <x v="782"/>
    <n v="78800"/>
  </r>
  <r>
    <s v="2001-0545-IRN"/>
    <x v="16"/>
    <n v="2001"/>
    <s v="Flood"/>
    <x v="139"/>
    <n v="0"/>
  </r>
  <r>
    <s v="2002-0107-IRN"/>
    <x v="16"/>
    <n v="2002"/>
    <s v="Earthquake"/>
    <x v="587"/>
    <n v="0"/>
  </r>
  <r>
    <s v="2002-0246-IRN"/>
    <x v="16"/>
    <n v="2002"/>
    <s v="Earthquake"/>
    <x v="783"/>
    <n v="0"/>
  </r>
  <r>
    <s v="2002-0378-IRN"/>
    <x v="16"/>
    <n v="2002"/>
    <s v="Earthquake"/>
    <x v="784"/>
    <n v="300000"/>
  </r>
  <r>
    <s v="2002-0804-IRN"/>
    <x v="16"/>
    <n v="2002"/>
    <s v="Earthquake"/>
    <x v="785"/>
    <n v="0"/>
  </r>
  <r>
    <s v="2002-0821-IRN"/>
    <x v="16"/>
    <n v="2002"/>
    <s v="Earthquake"/>
    <x v="48"/>
    <n v="0"/>
  </r>
  <r>
    <s v="2002-0020-IRN"/>
    <x v="16"/>
    <n v="2002"/>
    <s v="Flood"/>
    <x v="681"/>
    <n v="59060"/>
  </r>
  <r>
    <s v="2002-0218-IRN"/>
    <x v="16"/>
    <n v="2002"/>
    <s v="Flood"/>
    <x v="7"/>
    <n v="0"/>
  </r>
  <r>
    <s v="2002-0500-IRN"/>
    <x v="16"/>
    <n v="2002"/>
    <s v="Flood"/>
    <x v="155"/>
    <n v="4000"/>
  </r>
  <r>
    <s v="2003-0068-IRN"/>
    <x v="16"/>
    <n v="2003"/>
    <s v="Earthquake"/>
    <x v="344"/>
    <n v="0"/>
  </r>
  <r>
    <s v="2003-0322-IRN"/>
    <x v="16"/>
    <n v="2003"/>
    <s v="Earthquake"/>
    <x v="786"/>
    <n v="0"/>
  </r>
  <r>
    <s v="2003-0438-IRN"/>
    <x v="16"/>
    <n v="2003"/>
    <s v="Earthquake"/>
    <x v="787"/>
    <n v="21666"/>
  </r>
  <r>
    <s v="2003-0630-IRN"/>
    <x v="16"/>
    <n v="2003"/>
    <s v="Earthquake"/>
    <x v="788"/>
    <n v="500000"/>
  </r>
  <r>
    <s v="2003-0649-IRN"/>
    <x v="16"/>
    <n v="2003"/>
    <s v="Earthquake"/>
    <x v="789"/>
    <n v="0"/>
  </r>
  <r>
    <s v="2003-0232-IRN"/>
    <x v="16"/>
    <n v="2003"/>
    <s v="Flood"/>
    <x v="790"/>
    <n v="838"/>
  </r>
  <r>
    <s v="2004-0234-IRN"/>
    <x v="16"/>
    <n v="2004"/>
    <s v="Earthquake"/>
    <x v="791"/>
    <n v="165000"/>
  </r>
  <r>
    <s v="2004-0626-IRN"/>
    <x v="16"/>
    <n v="2004"/>
    <s v="Flood"/>
    <x v="792"/>
    <n v="0"/>
  </r>
  <r>
    <s v="2004-0084-IRN"/>
    <x v="16"/>
    <n v="2004"/>
    <s v="Storm"/>
    <x v="16"/>
    <n v="240"/>
  </r>
  <r>
    <s v="2005-0016-IRN"/>
    <x v="16"/>
    <n v="2005"/>
    <s v="Earthquake"/>
    <x v="793"/>
    <n v="0"/>
  </r>
  <r>
    <s v="2005-0092-IRN"/>
    <x v="16"/>
    <n v="2005"/>
    <s v="Earthquake"/>
    <x v="794"/>
    <n v="80000"/>
  </r>
  <r>
    <s v="2005-0654-IRN"/>
    <x v="16"/>
    <n v="2005"/>
    <s v="Earthquake"/>
    <x v="12"/>
    <n v="0"/>
  </r>
  <r>
    <s v="2005-0738-IRN"/>
    <x v="16"/>
    <n v="2005"/>
    <s v="Earthquake"/>
    <x v="795"/>
    <n v="0"/>
  </r>
  <r>
    <s v="2005-0113-IRN"/>
    <x v="16"/>
    <n v="2005"/>
    <s v="Flood"/>
    <x v="139"/>
    <n v="0"/>
  </r>
  <r>
    <s v="2005-0414-IRN"/>
    <x v="16"/>
    <n v="2005"/>
    <s v="Flood"/>
    <x v="7"/>
    <n v="0"/>
  </r>
  <r>
    <s v="2005-0426-IRN"/>
    <x v="16"/>
    <n v="2005"/>
    <s v="Flood"/>
    <x v="102"/>
    <n v="0"/>
  </r>
  <r>
    <s v="2005-0436-IRN"/>
    <x v="16"/>
    <n v="2005"/>
    <s v="Flood"/>
    <x v="7"/>
    <n v="0"/>
  </r>
  <r>
    <s v="2005-0084-IRN"/>
    <x v="16"/>
    <n v="2005"/>
    <s v="Storm"/>
    <x v="30"/>
    <n v="0"/>
  </r>
  <r>
    <s v="2006-0123-IRN"/>
    <x v="16"/>
    <n v="2006"/>
    <s v="Earthquake"/>
    <x v="796"/>
    <n v="0"/>
  </r>
  <r>
    <s v="2006-0153-IRN"/>
    <x v="16"/>
    <n v="2006"/>
    <s v="Earthquake"/>
    <x v="797"/>
    <n v="42262"/>
  </r>
  <r>
    <s v="2006-0239-IRN"/>
    <x v="16"/>
    <n v="2006"/>
    <s v="Earthquake"/>
    <x v="101"/>
    <n v="0"/>
  </r>
  <r>
    <s v="2006-0245-IRN"/>
    <x v="16"/>
    <n v="2006"/>
    <s v="Flood"/>
    <x v="276"/>
    <n v="16000"/>
  </r>
  <r>
    <s v="2007-0242-IRN"/>
    <x v="16"/>
    <n v="2007"/>
    <s v="Flood"/>
    <x v="7"/>
    <n v="22000"/>
  </r>
  <r>
    <s v="2007-0164-IRN"/>
    <x v="16"/>
    <n v="2007"/>
    <s v="Storm"/>
    <x v="798"/>
    <n v="0"/>
  </r>
  <r>
    <s v="2008-0178-IRN"/>
    <x v="16"/>
    <n v="2008"/>
    <s v="Earthquake"/>
    <x v="799"/>
    <n v="0"/>
  </r>
  <r>
    <s v="2008-0401-IRN"/>
    <x v="16"/>
    <n v="2008"/>
    <s v="Earthquake"/>
    <x v="800"/>
    <n v="0"/>
  </r>
  <r>
    <s v="2008-0380-IRN"/>
    <x v="16"/>
    <n v="2008"/>
    <s v="Flood"/>
    <x v="96"/>
    <n v="0"/>
  </r>
  <r>
    <s v="2008-0417-IRN"/>
    <x v="16"/>
    <n v="2008"/>
    <s v="Flood"/>
    <x v="801"/>
    <n v="0"/>
  </r>
  <r>
    <s v="2008-0008-IRN"/>
    <x v="16"/>
    <n v="2008"/>
    <s v="Storm"/>
    <x v="7"/>
    <n v="0"/>
  </r>
  <r>
    <s v="2009-0493-IRN"/>
    <x v="16"/>
    <n v="2009"/>
    <s v="Earthquake"/>
    <x v="802"/>
    <n v="0"/>
  </r>
  <r>
    <s v="2010-0018-IRN"/>
    <x v="16"/>
    <n v="2010"/>
    <s v="Earthquake"/>
    <x v="374"/>
    <n v="0"/>
  </r>
  <r>
    <s v="2010-0361-IRN"/>
    <x v="16"/>
    <n v="2010"/>
    <s v="Earthquake"/>
    <x v="803"/>
    <n v="0"/>
  </r>
  <r>
    <s v="2010-0591-IRN"/>
    <x v="16"/>
    <n v="2010"/>
    <s v="Earthquake"/>
    <x v="804"/>
    <n v="0"/>
  </r>
  <r>
    <s v="2010-0645-IRN"/>
    <x v="16"/>
    <n v="2010"/>
    <s v="Earthquake"/>
    <x v="238"/>
    <n v="0"/>
  </r>
  <r>
    <s v="2010-0672-IRN"/>
    <x v="16"/>
    <n v="2010"/>
    <s v="Earthquake"/>
    <x v="805"/>
    <n v="0"/>
  </r>
  <r>
    <s v="2012-0275-IRN"/>
    <x v="16"/>
    <n v="2012"/>
    <s v="Earthquake"/>
    <x v="806"/>
    <n v="500000"/>
  </r>
  <r>
    <s v="2012-0502-IRN"/>
    <x v="16"/>
    <n v="2012"/>
    <s v="Earthquake"/>
    <x v="807"/>
    <n v="0"/>
  </r>
  <r>
    <s v="2012-0597-IRN"/>
    <x v="16"/>
    <n v="2012"/>
    <s v="Earthquake"/>
    <x v="808"/>
    <n v="0"/>
  </r>
  <r>
    <s v="2012-0471-IRN"/>
    <x v="16"/>
    <n v="2012"/>
    <s v="Flood"/>
    <x v="10"/>
    <n v="0"/>
  </r>
  <r>
    <s v="2013-0098-IRN"/>
    <x v="16"/>
    <n v="2013"/>
    <s v="Earthquake"/>
    <x v="809"/>
    <n v="600000"/>
  </r>
  <r>
    <s v="2013-0099-IRN"/>
    <x v="16"/>
    <n v="2013"/>
    <s v="Earthquake"/>
    <x v="810"/>
    <n v="0"/>
  </r>
  <r>
    <s v="2013-0516-IRN"/>
    <x v="16"/>
    <n v="2013"/>
    <s v="Earthquake"/>
    <x v="811"/>
    <n v="0"/>
  </r>
  <r>
    <s v="2014-0054-IRN"/>
    <x v="16"/>
    <n v="2014"/>
    <s v="Earthquake"/>
    <x v="812"/>
    <n v="2000"/>
  </r>
  <r>
    <s v="2014-0287-IRN"/>
    <x v="16"/>
    <n v="2014"/>
    <s v="Earthquake"/>
    <x v="813"/>
    <n v="43000"/>
  </r>
  <r>
    <s v="2014-0171-IRN"/>
    <x v="16"/>
    <n v="2014"/>
    <s v="Flood"/>
    <x v="814"/>
    <n v="49000"/>
  </r>
  <r>
    <s v="2015-0088-IRN"/>
    <x v="16"/>
    <n v="2015"/>
    <s v="Flood"/>
    <x v="9"/>
    <n v="60000"/>
  </r>
  <r>
    <s v="2015-0127-IRN"/>
    <x v="16"/>
    <n v="2015"/>
    <s v="Flood"/>
    <x v="815"/>
    <n v="60000"/>
  </r>
  <r>
    <s v="2015-0258-IRN"/>
    <x v="16"/>
    <n v="2015"/>
    <s v="Flood"/>
    <x v="816"/>
    <n v="0"/>
  </r>
  <r>
    <s v="2015-0438-IRN"/>
    <x v="16"/>
    <n v="2015"/>
    <s v="Flood"/>
    <x v="7"/>
    <n v="0"/>
  </r>
  <r>
    <s v="2015-0499-IRN"/>
    <x v="16"/>
    <n v="2015"/>
    <s v="Flood"/>
    <x v="446"/>
    <n v="516000"/>
  </r>
  <r>
    <s v="2016-0544-IRN"/>
    <x v="16"/>
    <n v="2016"/>
    <s v="Storm"/>
    <x v="9"/>
    <n v="0"/>
  </r>
  <r>
    <s v="2017-0204-IRN"/>
    <x v="16"/>
    <n v="2017"/>
    <s v="Earthquake"/>
    <x v="817"/>
    <n v="2000"/>
  </r>
  <r>
    <s v="2017-0446-IRN"/>
    <x v="16"/>
    <n v="2017"/>
    <s v="Earthquake"/>
    <x v="818"/>
    <n v="740000"/>
  </r>
  <r>
    <s v="2017-0521-IRN"/>
    <x v="16"/>
    <n v="2017"/>
    <s v="Earthquake"/>
    <x v="4"/>
    <n v="0"/>
  </r>
  <r>
    <s v="2017-0096-IRN"/>
    <x v="16"/>
    <n v="2017"/>
    <s v="Flood"/>
    <x v="7"/>
    <n v="353000"/>
  </r>
  <r>
    <s v="2017-0472-IRN"/>
    <x v="16"/>
    <n v="2017"/>
    <s v="Flood"/>
    <x v="9"/>
    <n v="35000"/>
  </r>
  <r>
    <s v="2018-0281-IRN"/>
    <x v="16"/>
    <n v="2018"/>
    <s v="Earthquake"/>
    <x v="819"/>
    <n v="10000"/>
  </r>
  <r>
    <s v="2018-0310-IRN"/>
    <x v="16"/>
    <n v="2018"/>
    <s v="Earthquake"/>
    <x v="820"/>
    <n v="0"/>
  </r>
  <r>
    <s v="2018-0426-IRN"/>
    <x v="16"/>
    <n v="2018"/>
    <s v="Earthquake"/>
    <x v="821"/>
    <n v="10000"/>
  </r>
  <r>
    <s v="2018-0383-IRN"/>
    <x v="16"/>
    <n v="2018"/>
    <s v="Flood"/>
    <x v="822"/>
    <n v="166000"/>
  </r>
  <r>
    <s v="2019-0299-IRN"/>
    <x v="16"/>
    <n v="2019"/>
    <s v="Earthquake"/>
    <x v="823"/>
    <n v="0"/>
  </r>
  <r>
    <s v="2019-0553-IRN"/>
    <x v="16"/>
    <n v="2019"/>
    <s v="Earthquake"/>
    <x v="824"/>
    <n v="90000"/>
  </r>
  <r>
    <s v="2019-0082-IRN"/>
    <x v="16"/>
    <n v="2019"/>
    <s v="Flood"/>
    <x v="31"/>
    <n v="80000"/>
  </r>
  <r>
    <s v="2019-0125-IRN"/>
    <x v="16"/>
    <n v="2019"/>
    <s v="Flood"/>
    <x v="825"/>
    <n v="2500000"/>
  </r>
  <r>
    <s v="2019-0495-IRN"/>
    <x v="16"/>
    <n v="2019"/>
    <s v="Flood"/>
    <x v="255"/>
    <n v="0"/>
  </r>
  <r>
    <s v="2020-0073-IRN"/>
    <x v="16"/>
    <n v="2020"/>
    <s v="Earthquake"/>
    <x v="826"/>
    <n v="0"/>
  </r>
  <r>
    <s v="2020-0017-IRN"/>
    <x v="16"/>
    <n v="2020"/>
    <s v="Flood"/>
    <x v="827"/>
    <n v="808000"/>
  </r>
  <r>
    <s v="2020-0076-IRN"/>
    <x v="16"/>
    <n v="2020"/>
    <s v="Flood"/>
    <x v="678"/>
    <n v="0"/>
  </r>
  <r>
    <s v="2020-0118-IRN"/>
    <x v="16"/>
    <n v="2020"/>
    <s v="Flood"/>
    <x v="828"/>
    <n v="1500000"/>
  </r>
  <r>
    <s v="2020-0142-IRN"/>
    <x v="16"/>
    <n v="2020"/>
    <s v="Flood"/>
    <x v="829"/>
    <n v="0"/>
  </r>
  <r>
    <s v="2020-0519-IRN"/>
    <x v="16"/>
    <n v="2020"/>
    <s v="Flood"/>
    <x v="830"/>
    <n v="0"/>
  </r>
  <r>
    <s v="2020-0535-IRN"/>
    <x v="16"/>
    <n v="2020"/>
    <s v="Flood"/>
    <x v="10"/>
    <n v="50000"/>
  </r>
  <r>
    <s v="2021-9510-IRN"/>
    <x v="16"/>
    <n v="2021"/>
    <s v="Drought"/>
    <x v="831"/>
    <n v="0"/>
  </r>
  <r>
    <s v="2021-0095-IRN"/>
    <x v="16"/>
    <n v="2021"/>
    <s v="Earthquake"/>
    <x v="832"/>
    <n v="10000"/>
  </r>
  <r>
    <s v="2021-0215-IRN"/>
    <x v="16"/>
    <n v="2021"/>
    <s v="Earthquake"/>
    <x v="833"/>
    <n v="0"/>
  </r>
  <r>
    <s v="2021-0738-IRN"/>
    <x v="16"/>
    <n v="2021"/>
    <s v="Earthquake"/>
    <x v="834"/>
    <n v="165000"/>
  </r>
  <r>
    <s v="2021-0259-IRN"/>
    <x v="16"/>
    <n v="2021"/>
    <s v="Flood"/>
    <x v="835"/>
    <n v="0"/>
  </r>
  <r>
    <s v="2021-0430-IRN"/>
    <x v="16"/>
    <n v="2021"/>
    <s v="Storm"/>
    <x v="836"/>
    <n v="0"/>
  </r>
  <r>
    <s v="2021-0645-IRN"/>
    <x v="16"/>
    <n v="2021"/>
    <s v="Storm"/>
    <x v="561"/>
    <n v="0"/>
  </r>
  <r>
    <s v="2022-0402-IRN"/>
    <x v="16"/>
    <n v="2022"/>
    <s v="Earthquake"/>
    <x v="837"/>
    <n v="143000"/>
  </r>
  <r>
    <s v="2022-0634-IRN"/>
    <x v="16"/>
    <n v="2022"/>
    <s v="Earthquake"/>
    <x v="838"/>
    <n v="0"/>
  </r>
  <r>
    <s v="2022-0002-IRN"/>
    <x v="16"/>
    <n v="2022"/>
    <s v="Flood"/>
    <x v="839"/>
    <n v="0"/>
  </r>
  <r>
    <s v="2022-0044-IRN"/>
    <x v="16"/>
    <n v="2022"/>
    <s v="Flood"/>
    <x v="840"/>
    <n v="0"/>
  </r>
  <r>
    <s v="2022-0476-IRN"/>
    <x v="16"/>
    <n v="2022"/>
    <s v="Flood"/>
    <x v="841"/>
    <n v="201000"/>
  </r>
  <r>
    <s v="2023-0012-IRN"/>
    <x v="16"/>
    <n v="2023"/>
    <s v="Earthquake"/>
    <x v="842"/>
    <n v="50000"/>
  </r>
  <r>
    <s v="2023-0047-IRN"/>
    <x v="16"/>
    <n v="2023"/>
    <s v="Earthquake"/>
    <x v="843"/>
    <n v="255000"/>
  </r>
  <r>
    <s v="2023-0169-IRN"/>
    <x v="16"/>
    <n v="2023"/>
    <s v="Earthquake"/>
    <x v="844"/>
    <n v="0"/>
  </r>
  <r>
    <s v="2023-0229-IRN"/>
    <x v="16"/>
    <n v="2023"/>
    <s v="Storm"/>
    <x v="11"/>
    <n v="0"/>
  </r>
  <r>
    <s v="2023-0353-IRN"/>
    <x v="16"/>
    <n v="2023"/>
    <s v="Storm"/>
    <x v="845"/>
    <n v="0"/>
  </r>
  <r>
    <s v="2023-0659-IRN"/>
    <x v="16"/>
    <n v="2023"/>
    <s v="Storm"/>
    <x v="846"/>
    <n v="0"/>
  </r>
  <r>
    <s v="2024-0392-IRN"/>
    <x v="16"/>
    <n v="2024"/>
    <s v="Earthquake"/>
    <x v="4"/>
    <n v="0"/>
  </r>
  <r>
    <s v="2024-0120-IRN"/>
    <x v="16"/>
    <n v="2024"/>
    <s v="Flood"/>
    <x v="847"/>
    <n v="0"/>
  </r>
  <r>
    <s v="2024-0233-IRN"/>
    <x v="16"/>
    <n v="2024"/>
    <s v="Flood"/>
    <x v="848"/>
    <n v="0"/>
  </r>
  <r>
    <s v="2024-0357-IRN"/>
    <x v="16"/>
    <n v="2024"/>
    <s v="Flood"/>
    <x v="293"/>
    <n v="0"/>
  </r>
  <r>
    <s v="2024-0707-IRN"/>
    <x v="16"/>
    <n v="2024"/>
    <s v="Flood"/>
    <x v="7"/>
    <n v="0"/>
  </r>
  <r>
    <s v="2001-0615-JAM"/>
    <x v="17"/>
    <n v="2001"/>
    <s v="Storm"/>
    <x v="96"/>
    <n v="55487"/>
  </r>
  <r>
    <s v="2002-0325-JAM"/>
    <x v="17"/>
    <n v="2002"/>
    <s v="Flood"/>
    <x v="120"/>
    <n v="20000"/>
  </r>
  <r>
    <s v="2002-0627-JAM"/>
    <x v="17"/>
    <n v="2002"/>
    <s v="Storm"/>
    <x v="18"/>
    <n v="30"/>
  </r>
  <r>
    <s v="2002-0656-JAM"/>
    <x v="17"/>
    <n v="2002"/>
    <s v="Storm"/>
    <x v="7"/>
    <n v="1000"/>
  </r>
  <r>
    <s v="2004-0415-JAM"/>
    <x v="17"/>
    <n v="2004"/>
    <s v="Storm"/>
    <x v="849"/>
    <n v="300000"/>
  </r>
  <r>
    <s v="2004-0462-JAM"/>
    <x v="17"/>
    <n v="2004"/>
    <s v="Storm"/>
    <x v="594"/>
    <n v="595000"/>
  </r>
  <r>
    <s v="2005-0351-JAM"/>
    <x v="17"/>
    <n v="2005"/>
    <s v="Storm"/>
    <x v="30"/>
    <n v="30000"/>
  </r>
  <r>
    <s v="2005-0382-JAM"/>
    <x v="17"/>
    <n v="2005"/>
    <s v="Storm"/>
    <x v="850"/>
    <n v="1000"/>
  </r>
  <r>
    <s v="2005-0585-JAM"/>
    <x v="17"/>
    <n v="2005"/>
    <s v="Storm"/>
    <x v="12"/>
    <n v="3500"/>
  </r>
  <r>
    <s v="2006-0656-JAM"/>
    <x v="17"/>
    <n v="2006"/>
    <s v="Flood"/>
    <x v="44"/>
    <n v="0"/>
  </r>
  <r>
    <s v="2007-0360-JAM"/>
    <x v="17"/>
    <n v="2007"/>
    <s v="Storm"/>
    <x v="851"/>
    <n v="300000"/>
  </r>
  <r>
    <s v="2007-0523-JAM"/>
    <x v="17"/>
    <n v="2007"/>
    <s v="Storm"/>
    <x v="7"/>
    <n v="0"/>
  </r>
  <r>
    <s v="2008-0338-JAM"/>
    <x v="17"/>
    <n v="2008"/>
    <s v="Storm"/>
    <x v="7"/>
    <n v="0"/>
  </r>
  <r>
    <s v="2008-0352-JAM"/>
    <x v="17"/>
    <n v="2008"/>
    <s v="Storm"/>
    <x v="36"/>
    <n v="66198"/>
  </r>
  <r>
    <s v="2010-0501-JAM"/>
    <x v="17"/>
    <n v="2010"/>
    <s v="Storm"/>
    <x v="852"/>
    <n v="150000"/>
  </r>
  <r>
    <s v="2012-0410-JAM"/>
    <x v="17"/>
    <n v="2012"/>
    <s v="Storm"/>
    <x v="853"/>
    <n v="16542"/>
  </r>
  <r>
    <s v="2014-9469-JAM"/>
    <x v="17"/>
    <n v="2014"/>
    <s v="Drought"/>
    <x v="854"/>
    <n v="10000"/>
  </r>
  <r>
    <s v="2016-0355-JAM"/>
    <x v="17"/>
    <n v="2016"/>
    <s v="Storm"/>
    <x v="439"/>
    <n v="0"/>
  </r>
  <r>
    <s v="2017-0137-JAM"/>
    <x v="17"/>
    <n v="2017"/>
    <s v="Storm"/>
    <x v="44"/>
    <n v="0"/>
  </r>
  <r>
    <s v="2024-0422-JAM"/>
    <x v="17"/>
    <n v="2024"/>
    <s v="Storm"/>
    <x v="855"/>
    <n v="1000000"/>
  </r>
  <r>
    <s v="2024-0822-JAM"/>
    <x v="17"/>
    <n v="2024"/>
    <s v="Storm"/>
    <x v="7"/>
    <n v="8000"/>
  </r>
  <r>
    <s v="2002-0265-KEN"/>
    <x v="18"/>
    <n v="2002"/>
    <s v="Flood"/>
    <x v="856"/>
    <n v="0"/>
  </r>
  <r>
    <s v="2002-0689-KEN"/>
    <x v="18"/>
    <n v="2002"/>
    <s v="Flood"/>
    <x v="33"/>
    <n v="0"/>
  </r>
  <r>
    <s v="2002-0711-KEN"/>
    <x v="18"/>
    <n v="2002"/>
    <s v="Flood"/>
    <x v="9"/>
    <n v="0"/>
  </r>
  <r>
    <s v="2002-0800-KEN"/>
    <x v="18"/>
    <n v="2002"/>
    <s v="Flood"/>
    <x v="139"/>
    <n v="0"/>
  </r>
  <r>
    <s v="2003-0204-KEN"/>
    <x v="18"/>
    <n v="2003"/>
    <s v="Flood"/>
    <x v="104"/>
    <n v="0"/>
  </r>
  <r>
    <s v="2003-0729-KEN"/>
    <x v="18"/>
    <n v="2003"/>
    <s v="Flood"/>
    <x v="98"/>
    <n v="0"/>
  </r>
  <r>
    <s v="2004-9288-KEN"/>
    <x v="18"/>
    <n v="2004"/>
    <s v="Drought"/>
    <x v="857"/>
    <n v="0"/>
  </r>
  <r>
    <s v="2004-0659-KEN"/>
    <x v="18"/>
    <n v="2004"/>
    <s v="Earthquake"/>
    <x v="7"/>
    <n v="100000"/>
  </r>
  <r>
    <s v="2004-0152-KEN"/>
    <x v="18"/>
    <n v="2004"/>
    <s v="Flood"/>
    <x v="9"/>
    <n v="0"/>
  </r>
  <r>
    <s v="2004-0194-KEN"/>
    <x v="18"/>
    <n v="2004"/>
    <s v="Flood"/>
    <x v="122"/>
    <n v="0"/>
  </r>
  <r>
    <s v="2005-9719-KEN"/>
    <x v="18"/>
    <n v="2005"/>
    <s v="Drought"/>
    <x v="858"/>
    <n v="0"/>
  </r>
  <r>
    <s v="2005-0215-KEN"/>
    <x v="18"/>
    <n v="2005"/>
    <s v="Flood"/>
    <x v="120"/>
    <n v="500"/>
  </r>
  <r>
    <s v="2005-0260-KEN"/>
    <x v="18"/>
    <n v="2005"/>
    <s v="Flood"/>
    <x v="122"/>
    <n v="0"/>
  </r>
  <r>
    <s v="2005-0526-KEN"/>
    <x v="18"/>
    <n v="2005"/>
    <s v="Flood"/>
    <x v="6"/>
    <n v="0"/>
  </r>
  <r>
    <s v="2006-0178-KEN"/>
    <x v="18"/>
    <n v="2006"/>
    <s v="Flood"/>
    <x v="326"/>
    <n v="0"/>
  </r>
  <r>
    <s v="2006-0234-KEN"/>
    <x v="18"/>
    <n v="2006"/>
    <s v="Flood"/>
    <x v="164"/>
    <n v="0"/>
  </r>
  <r>
    <s v="2006-0587-KEN"/>
    <x v="18"/>
    <n v="2006"/>
    <s v="Flood"/>
    <x v="401"/>
    <n v="0"/>
  </r>
  <r>
    <s v="2006-0624-KEN"/>
    <x v="18"/>
    <n v="2006"/>
    <s v="Flood"/>
    <x v="859"/>
    <n v="0"/>
  </r>
  <r>
    <s v="2007-0177-KEN"/>
    <x v="18"/>
    <n v="2007"/>
    <s v="Flood"/>
    <x v="860"/>
    <n v="0"/>
  </r>
  <r>
    <s v="2007-0408-KEN"/>
    <x v="18"/>
    <n v="2007"/>
    <s v="Flood"/>
    <x v="43"/>
    <n v="0"/>
  </r>
  <r>
    <s v="2007-0613-KEN"/>
    <x v="18"/>
    <n v="2007"/>
    <s v="Flood"/>
    <x v="9"/>
    <n v="0"/>
  </r>
  <r>
    <s v="2008-9302-KEN"/>
    <x v="18"/>
    <n v="2008"/>
    <s v="Drought"/>
    <x v="861"/>
    <n v="0"/>
  </r>
  <r>
    <s v="2008-0127-KEN"/>
    <x v="18"/>
    <n v="2008"/>
    <s v="Flood"/>
    <x v="862"/>
    <n v="0"/>
  </r>
  <r>
    <s v="2008-0129-KEN"/>
    <x v="18"/>
    <n v="2008"/>
    <s v="Flood"/>
    <x v="122"/>
    <n v="0"/>
  </r>
  <r>
    <s v="2008-0260-KEN"/>
    <x v="18"/>
    <n v="2008"/>
    <s v="Flood"/>
    <x v="863"/>
    <n v="0"/>
  </r>
  <r>
    <s v="2008-0482-KEN"/>
    <x v="18"/>
    <n v="2008"/>
    <s v="Flood"/>
    <x v="123"/>
    <n v="0"/>
  </r>
  <r>
    <s v="2008-0483-KEN"/>
    <x v="18"/>
    <n v="2008"/>
    <s v="Flood"/>
    <x v="864"/>
    <n v="0"/>
  </r>
  <r>
    <s v="2008-0518-KEN"/>
    <x v="18"/>
    <n v="2008"/>
    <s v="Flood"/>
    <x v="865"/>
    <n v="0"/>
  </r>
  <r>
    <s v="2009-0494-KEN"/>
    <x v="18"/>
    <n v="2009"/>
    <s v="Flood"/>
    <x v="866"/>
    <n v="0"/>
  </r>
  <r>
    <s v="2009-0597-KEN"/>
    <x v="18"/>
    <n v="2009"/>
    <s v="Flood"/>
    <x v="867"/>
    <n v="0"/>
  </r>
  <r>
    <s v="2010-0094-KEN"/>
    <x v="18"/>
    <n v="2010"/>
    <s v="Flood"/>
    <x v="868"/>
    <n v="0"/>
  </r>
  <r>
    <s v="2010-0285-KEN"/>
    <x v="18"/>
    <n v="2010"/>
    <s v="Flood"/>
    <x v="151"/>
    <n v="0"/>
  </r>
  <r>
    <s v="2010-9082-KEN"/>
    <x v="18"/>
    <n v="2011"/>
    <s v="Drought"/>
    <x v="869"/>
    <n v="0"/>
  </r>
  <r>
    <s v="2011-9663-KEN"/>
    <x v="18"/>
    <n v="2011"/>
    <s v="Drought"/>
    <x v="870"/>
    <n v="0"/>
  </r>
  <r>
    <s v="2011-0423-KEN"/>
    <x v="18"/>
    <n v="2011"/>
    <s v="Flood"/>
    <x v="36"/>
    <n v="0"/>
  </r>
  <r>
    <s v="2011-0476-KEN"/>
    <x v="18"/>
    <n v="2011"/>
    <s v="Flood"/>
    <x v="44"/>
    <n v="0"/>
  </r>
  <r>
    <s v="2011-0504-KEN"/>
    <x v="18"/>
    <n v="2011"/>
    <s v="Flood"/>
    <x v="871"/>
    <n v="0"/>
  </r>
  <r>
    <s v="2012-0166-KEN"/>
    <x v="18"/>
    <n v="2012"/>
    <s v="Flood"/>
    <x v="872"/>
    <n v="100000"/>
  </r>
  <r>
    <s v="2013-0123-KEN"/>
    <x v="18"/>
    <n v="2013"/>
    <s v="Flood"/>
    <x v="873"/>
    <n v="36000"/>
  </r>
  <r>
    <s v="2013-0281-KEN"/>
    <x v="18"/>
    <n v="2013"/>
    <s v="Flood"/>
    <x v="44"/>
    <n v="0"/>
  </r>
  <r>
    <s v="2013-0305-KEN"/>
    <x v="18"/>
    <n v="2013"/>
    <s v="Flood"/>
    <x v="874"/>
    <n v="0"/>
  </r>
  <r>
    <s v="2013-0545-KEN"/>
    <x v="18"/>
    <n v="2013"/>
    <s v="Flood"/>
    <x v="7"/>
    <n v="0"/>
  </r>
  <r>
    <s v="2014-9404-KEN"/>
    <x v="18"/>
    <n v="2014"/>
    <s v="Drought"/>
    <x v="535"/>
    <n v="0"/>
  </r>
  <r>
    <s v="2015-0158-KEN"/>
    <x v="18"/>
    <n v="2015"/>
    <s v="Flood"/>
    <x v="18"/>
    <n v="0"/>
  </r>
  <r>
    <s v="2015-0159-KEN"/>
    <x v="18"/>
    <n v="2015"/>
    <s v="Flood"/>
    <x v="139"/>
    <n v="0"/>
  </r>
  <r>
    <s v="2015-0564-KEN"/>
    <x v="18"/>
    <n v="2015"/>
    <s v="Flood"/>
    <x v="875"/>
    <n v="0"/>
  </r>
  <r>
    <s v="2016-9452-KEN"/>
    <x v="18"/>
    <n v="2016"/>
    <s v="Drought"/>
    <x v="876"/>
    <n v="0"/>
  </r>
  <r>
    <s v="2016-0089-KEN"/>
    <x v="18"/>
    <n v="2016"/>
    <s v="Flood"/>
    <x v="10"/>
    <n v="0"/>
  </r>
  <r>
    <s v="2016-0161-KEN"/>
    <x v="18"/>
    <n v="2016"/>
    <s v="Flood"/>
    <x v="122"/>
    <n v="0"/>
  </r>
  <r>
    <s v="2017-0205-KEN"/>
    <x v="18"/>
    <n v="2017"/>
    <s v="Flood"/>
    <x v="120"/>
    <n v="0"/>
  </r>
  <r>
    <s v="2018-0116-KEN"/>
    <x v="18"/>
    <n v="2018"/>
    <s v="Flood"/>
    <x v="7"/>
    <n v="0"/>
  </r>
  <r>
    <s v="2018-0132-KEN"/>
    <x v="18"/>
    <n v="2018"/>
    <s v="Flood"/>
    <x v="877"/>
    <n v="350000"/>
  </r>
  <r>
    <s v="2018-0148-KEN"/>
    <x v="18"/>
    <n v="2018"/>
    <s v="Flood"/>
    <x v="7"/>
    <n v="0"/>
  </r>
  <r>
    <s v="2019-9145-KEN"/>
    <x v="18"/>
    <n v="2019"/>
    <s v="Drought"/>
    <x v="201"/>
    <n v="0"/>
  </r>
  <r>
    <s v="2019-0500-KEN"/>
    <x v="18"/>
    <n v="2019"/>
    <s v="Flood"/>
    <x v="878"/>
    <n v="0"/>
  </r>
  <r>
    <s v="2020-9609-KEN"/>
    <x v="18"/>
    <n v="2020"/>
    <s v="Drought"/>
    <x v="879"/>
    <n v="250000"/>
  </r>
  <r>
    <s v="2020-0164-KEN"/>
    <x v="18"/>
    <n v="2020"/>
    <s v="Flood"/>
    <x v="880"/>
    <n v="10000"/>
  </r>
  <r>
    <s v="2021-0227-KEN"/>
    <x v="18"/>
    <n v="2021"/>
    <s v="Flood"/>
    <x v="261"/>
    <n v="0"/>
  </r>
  <r>
    <s v="2023-0187-KEN"/>
    <x v="18"/>
    <n v="2023"/>
    <s v="Flood"/>
    <x v="881"/>
    <n v="0"/>
  </r>
  <r>
    <s v="2023-0259-KEN"/>
    <x v="18"/>
    <n v="2023"/>
    <s v="Flood"/>
    <x v="664"/>
    <n v="0"/>
  </r>
  <r>
    <s v="2023-0721-KEN"/>
    <x v="18"/>
    <n v="2023"/>
    <s v="Flood"/>
    <x v="882"/>
    <n v="0"/>
  </r>
  <r>
    <s v="2024-0150-KEN"/>
    <x v="18"/>
    <n v="2024"/>
    <s v="Flood"/>
    <x v="883"/>
    <n v="0"/>
  </r>
  <r>
    <s v="2024-0210-KEN"/>
    <x v="18"/>
    <n v="2024"/>
    <s v="Flood"/>
    <x v="884"/>
    <n v="0"/>
  </r>
  <r>
    <s v="2024-0247-KEN"/>
    <x v="18"/>
    <n v="2024"/>
    <s v="Flood"/>
    <x v="7"/>
    <n v="0"/>
  </r>
  <r>
    <s v="2024-0892-KEN"/>
    <x v="18"/>
    <n v="2024"/>
    <s v="Flood"/>
    <x v="885"/>
    <n v="0"/>
  </r>
  <r>
    <s v="2005-0359-KGZ"/>
    <x v="19"/>
    <n v="2005"/>
    <s v="Flood"/>
    <x v="568"/>
    <n v="2660"/>
  </r>
  <r>
    <s v="2006-0694-KGZ"/>
    <x v="19"/>
    <n v="2006"/>
    <s v="Earthquake"/>
    <x v="886"/>
    <n v="0"/>
  </r>
  <r>
    <s v="2006-0142-KGZ"/>
    <x v="19"/>
    <n v="2006"/>
    <s v="Storm"/>
    <x v="887"/>
    <n v="0"/>
  </r>
  <r>
    <s v="2007-0195-KGZ"/>
    <x v="19"/>
    <n v="2007"/>
    <s v="Flood"/>
    <x v="299"/>
    <n v="200"/>
  </r>
  <r>
    <s v="2008-0001-KGZ"/>
    <x v="19"/>
    <n v="2008"/>
    <s v="Earthquake"/>
    <x v="139"/>
    <n v="0"/>
  </r>
  <r>
    <s v="2008-0454-KGZ"/>
    <x v="19"/>
    <n v="2008"/>
    <s v="Earthquake"/>
    <x v="888"/>
    <n v="0"/>
  </r>
  <r>
    <s v="2009-9661-KGZ"/>
    <x v="19"/>
    <n v="2009"/>
    <s v="Drought"/>
    <x v="482"/>
    <n v="0"/>
  </r>
  <r>
    <s v="2011-0243-KGZ"/>
    <x v="19"/>
    <n v="2011"/>
    <s v="Earthquake"/>
    <x v="7"/>
    <n v="0"/>
  </r>
  <r>
    <s v="2012-0416-KGZ"/>
    <x v="19"/>
    <n v="2012"/>
    <s v="Flood"/>
    <x v="116"/>
    <n v="0"/>
  </r>
  <r>
    <s v="2014-0084-KGZ"/>
    <x v="19"/>
    <n v="2014"/>
    <s v="Storm"/>
    <x v="7"/>
    <n v="0"/>
  </r>
  <r>
    <s v="2015-0512-KGZ"/>
    <x v="19"/>
    <n v="2015"/>
    <s v="Earthquake"/>
    <x v="889"/>
    <n v="12000"/>
  </r>
  <r>
    <s v="2017-0451-KGZ"/>
    <x v="19"/>
    <n v="2017"/>
    <s v="Earthquake"/>
    <x v="44"/>
    <n v="0"/>
  </r>
  <r>
    <s v="2024-0250-KGZ"/>
    <x v="19"/>
    <n v="2024"/>
    <s v="Flood"/>
    <x v="890"/>
    <n v="0"/>
  </r>
  <r>
    <s v="2024-0284-KGZ"/>
    <x v="19"/>
    <n v="2024"/>
    <s v="Flood"/>
    <x v="20"/>
    <n v="0"/>
  </r>
  <r>
    <s v="2024-0487-KGZ"/>
    <x v="19"/>
    <n v="2024"/>
    <s v="Flood"/>
    <x v="139"/>
    <n v="0"/>
  </r>
  <r>
    <s v="2002-9707-MDG"/>
    <x v="20"/>
    <n v="2002"/>
    <s v="Drought"/>
    <x v="162"/>
    <n v="0"/>
  </r>
  <r>
    <s v="2002-0004-MDG"/>
    <x v="20"/>
    <n v="2002"/>
    <s v="Storm"/>
    <x v="891"/>
    <n v="181"/>
  </r>
  <r>
    <s v="2002-0281-MDG"/>
    <x v="20"/>
    <n v="2002"/>
    <s v="Storm"/>
    <x v="892"/>
    <n v="0"/>
  </r>
  <r>
    <s v="2003-0037-MDG"/>
    <x v="20"/>
    <n v="2003"/>
    <s v="Flood"/>
    <x v="893"/>
    <n v="150000"/>
  </r>
  <r>
    <s v="2003-0065-MDG"/>
    <x v="20"/>
    <n v="2003"/>
    <s v="Storm"/>
    <x v="20"/>
    <n v="0"/>
  </r>
  <r>
    <s v="2003-0218-MDG"/>
    <x v="20"/>
    <n v="2003"/>
    <s v="Storm"/>
    <x v="894"/>
    <n v="0"/>
  </r>
  <r>
    <s v="2003-0602-MDG"/>
    <x v="20"/>
    <n v="2003"/>
    <s v="Storm"/>
    <x v="895"/>
    <n v="0"/>
  </r>
  <r>
    <s v="2004-0029-MDG"/>
    <x v="20"/>
    <n v="2004"/>
    <s v="Storm"/>
    <x v="896"/>
    <n v="0"/>
  </r>
  <r>
    <s v="2004-0103-MDG"/>
    <x v="20"/>
    <n v="2004"/>
    <s v="Storm"/>
    <x v="897"/>
    <n v="250000"/>
  </r>
  <r>
    <s v="2005-9637-MDG"/>
    <x v="20"/>
    <n v="2005"/>
    <s v="Drought"/>
    <x v="207"/>
    <n v="0"/>
  </r>
  <r>
    <s v="2005-0097-MDG"/>
    <x v="20"/>
    <n v="2005"/>
    <s v="Flood"/>
    <x v="898"/>
    <n v="0"/>
  </r>
  <r>
    <s v="2005-0165-MDG"/>
    <x v="20"/>
    <n v="2005"/>
    <s v="Flood"/>
    <x v="899"/>
    <n v="0"/>
  </r>
  <r>
    <s v="2005-0048-MDG"/>
    <x v="20"/>
    <n v="2005"/>
    <s v="Storm"/>
    <x v="900"/>
    <n v="0"/>
  </r>
  <r>
    <s v="2006-0089-MDG"/>
    <x v="20"/>
    <n v="2006"/>
    <s v="Storm"/>
    <x v="901"/>
    <n v="0"/>
  </r>
  <r>
    <s v="2006-0687-MDG"/>
    <x v="20"/>
    <n v="2006"/>
    <s v="Storm"/>
    <x v="902"/>
    <n v="0"/>
  </r>
  <r>
    <s v="2007-0069-MDG"/>
    <x v="20"/>
    <n v="2007"/>
    <s v="Flood"/>
    <x v="592"/>
    <n v="0"/>
  </r>
  <r>
    <s v="2007-0032-MDG"/>
    <x v="20"/>
    <n v="2007"/>
    <s v="Storm"/>
    <x v="903"/>
    <n v="0"/>
  </r>
  <r>
    <s v="2007-0095-MDG"/>
    <x v="20"/>
    <n v="2007"/>
    <s v="Storm"/>
    <x v="904"/>
    <n v="240000"/>
  </r>
  <r>
    <s v="2008-9644-MDG"/>
    <x v="20"/>
    <n v="2008"/>
    <s v="Drought"/>
    <x v="905"/>
    <n v="0"/>
  </r>
  <r>
    <s v="2008-0043-MDG"/>
    <x v="20"/>
    <n v="2008"/>
    <s v="Storm"/>
    <x v="906"/>
    <n v="0"/>
  </r>
  <r>
    <s v="2008-0070-MDG"/>
    <x v="20"/>
    <n v="2008"/>
    <s v="Storm"/>
    <x v="907"/>
    <n v="60000"/>
  </r>
  <r>
    <s v="2008-0111-MDG"/>
    <x v="20"/>
    <n v="2008"/>
    <s v="Storm"/>
    <x v="11"/>
    <n v="0"/>
  </r>
  <r>
    <s v="2009-0047-MDG"/>
    <x v="20"/>
    <n v="2009"/>
    <s v="Storm"/>
    <x v="908"/>
    <n v="0"/>
  </r>
  <r>
    <s v="2009-0123-MDG"/>
    <x v="20"/>
    <n v="2009"/>
    <s v="Storm"/>
    <x v="909"/>
    <n v="0"/>
  </r>
  <r>
    <s v="2009-0137-MDG"/>
    <x v="20"/>
    <n v="2009"/>
    <s v="Storm"/>
    <x v="910"/>
    <n v="5000"/>
  </r>
  <r>
    <s v="2010-0104-MDG"/>
    <x v="20"/>
    <n v="2010"/>
    <s v="Storm"/>
    <x v="911"/>
    <n v="0"/>
  </r>
  <r>
    <s v="2011-0057-MDG"/>
    <x v="20"/>
    <n v="2011"/>
    <s v="Storm"/>
    <x v="912"/>
    <n v="0"/>
  </r>
  <r>
    <s v="2012-0005-MDG"/>
    <x v="20"/>
    <n v="2012"/>
    <s v="Storm"/>
    <x v="98"/>
    <n v="0"/>
  </r>
  <r>
    <s v="2012-0043-MDG"/>
    <x v="20"/>
    <n v="2012"/>
    <s v="Storm"/>
    <x v="913"/>
    <n v="100000"/>
  </r>
  <r>
    <s v="2012-0056-MDG"/>
    <x v="20"/>
    <n v="2012"/>
    <s v="Storm"/>
    <x v="914"/>
    <n v="0"/>
  </r>
  <r>
    <s v="2013-0026-MDG"/>
    <x v="20"/>
    <n v="2013"/>
    <s v="Storm"/>
    <x v="915"/>
    <n v="0"/>
  </r>
  <r>
    <s v="2013-0032-MDG"/>
    <x v="20"/>
    <n v="2013"/>
    <s v="Storm"/>
    <x v="916"/>
    <n v="25000"/>
  </r>
  <r>
    <s v="2014-9533-MDG"/>
    <x v="20"/>
    <n v="2014"/>
    <s v="Drought"/>
    <x v="33"/>
    <n v="0"/>
  </r>
  <r>
    <s v="2014-0092-MDG"/>
    <x v="20"/>
    <n v="2014"/>
    <s v="Storm"/>
    <x v="917"/>
    <n v="0"/>
  </r>
  <r>
    <s v="2015-0057-MDG"/>
    <x v="20"/>
    <n v="2015"/>
    <s v="Flood"/>
    <x v="678"/>
    <n v="0"/>
  </r>
  <r>
    <s v="2015-0016-MDG"/>
    <x v="20"/>
    <n v="2015"/>
    <s v="Storm"/>
    <x v="918"/>
    <n v="36000"/>
  </r>
  <r>
    <s v="2015-0074-MDG"/>
    <x v="20"/>
    <n v="2015"/>
    <s v="Storm"/>
    <x v="919"/>
    <n v="10000"/>
  </r>
  <r>
    <s v="2016-9020-MDG"/>
    <x v="20"/>
    <n v="2016"/>
    <s v="Drought"/>
    <x v="920"/>
    <n v="0"/>
  </r>
  <r>
    <s v="2017-9468-MDG"/>
    <x v="20"/>
    <n v="2017"/>
    <s v="Drought"/>
    <x v="921"/>
    <n v="0"/>
  </r>
  <r>
    <s v="2017-0075-MDG"/>
    <x v="20"/>
    <n v="2017"/>
    <s v="Storm"/>
    <x v="922"/>
    <n v="20000"/>
  </r>
  <r>
    <s v="2018-0008-MDG"/>
    <x v="20"/>
    <n v="2018"/>
    <s v="Storm"/>
    <x v="923"/>
    <n v="0"/>
  </r>
  <r>
    <s v="2018-0086-MDG"/>
    <x v="20"/>
    <n v="2018"/>
    <s v="Storm"/>
    <x v="924"/>
    <n v="0"/>
  </r>
  <r>
    <s v="2019-0020-MDG"/>
    <x v="20"/>
    <n v="2019"/>
    <s v="Flood"/>
    <x v="7"/>
    <n v="0"/>
  </r>
  <r>
    <s v="2019-0110-MDG"/>
    <x v="20"/>
    <n v="2019"/>
    <s v="Storm"/>
    <x v="166"/>
    <n v="0"/>
  </r>
  <r>
    <s v="2019-0601-MDG"/>
    <x v="20"/>
    <n v="2019"/>
    <s v="Storm"/>
    <x v="925"/>
    <n v="25000"/>
  </r>
  <r>
    <s v="2020-9424-MDG"/>
    <x v="20"/>
    <n v="2020"/>
    <s v="Drought"/>
    <x v="926"/>
    <n v="0"/>
  </r>
  <r>
    <s v="2020-0016-MDG"/>
    <x v="20"/>
    <n v="2020"/>
    <s v="Flood"/>
    <x v="927"/>
    <n v="0"/>
  </r>
  <r>
    <s v="2020-0103-MDG"/>
    <x v="20"/>
    <n v="2020"/>
    <s v="Storm"/>
    <x v="928"/>
    <n v="0"/>
  </r>
  <r>
    <s v="2021-0090-MDG"/>
    <x v="20"/>
    <n v="2021"/>
    <s v="Flood"/>
    <x v="929"/>
    <n v="0"/>
  </r>
  <r>
    <s v="2021-0036-MDG"/>
    <x v="20"/>
    <n v="2021"/>
    <s v="Storm"/>
    <x v="10"/>
    <n v="0"/>
  </r>
  <r>
    <s v="2022-0032-MDG"/>
    <x v="20"/>
    <n v="2022"/>
    <s v="Flood"/>
    <x v="930"/>
    <n v="0"/>
  </r>
  <r>
    <s v="2022-0052-MDG"/>
    <x v="20"/>
    <n v="2022"/>
    <s v="Storm"/>
    <x v="931"/>
    <n v="0"/>
  </r>
  <r>
    <s v="2022-0061-MDG"/>
    <x v="20"/>
    <n v="2022"/>
    <s v="Storm"/>
    <x v="932"/>
    <n v="0"/>
  </r>
  <r>
    <s v="2022-0099-MDG"/>
    <x v="20"/>
    <n v="2022"/>
    <s v="Storm"/>
    <x v="933"/>
    <n v="0"/>
  </r>
  <r>
    <s v="2022-0101-MDG"/>
    <x v="20"/>
    <n v="2022"/>
    <s v="Storm"/>
    <x v="934"/>
    <n v="16000"/>
  </r>
  <r>
    <s v="2022-0137-MDG"/>
    <x v="20"/>
    <n v="2022"/>
    <s v="Storm"/>
    <x v="899"/>
    <n v="0"/>
  </r>
  <r>
    <s v="2022-0239-MDG"/>
    <x v="20"/>
    <n v="2022"/>
    <s v="Storm"/>
    <x v="935"/>
    <n v="0"/>
  </r>
  <r>
    <s v="2023-0020-MDG"/>
    <x v="20"/>
    <n v="2023"/>
    <s v="Storm"/>
    <x v="936"/>
    <n v="20000"/>
  </r>
  <r>
    <s v="2023-0095-MDG"/>
    <x v="20"/>
    <n v="2023"/>
    <s v="Storm"/>
    <x v="937"/>
    <n v="0"/>
  </r>
  <r>
    <s v="2024-0002-MDG"/>
    <x v="20"/>
    <n v="2024"/>
    <s v="Storm"/>
    <x v="938"/>
    <n v="0"/>
  </r>
  <r>
    <s v="2024-0172-MDG"/>
    <x v="20"/>
    <n v="2024"/>
    <s v="Storm"/>
    <x v="939"/>
    <n v="50000"/>
  </r>
  <r>
    <s v="2024-0910-MDG"/>
    <x v="20"/>
    <n v="2024"/>
    <s v="Storm"/>
    <x v="940"/>
    <n v="0"/>
  </r>
  <r>
    <s v="2001-0559-MEX"/>
    <x v="21"/>
    <n v="2001"/>
    <s v="Flood"/>
    <x v="7"/>
    <n v="0"/>
  </r>
  <r>
    <s v="2001-0488-MEX"/>
    <x v="21"/>
    <n v="2001"/>
    <s v="Storm"/>
    <x v="12"/>
    <n v="0"/>
  </r>
  <r>
    <s v="2001-0562-MEX"/>
    <x v="21"/>
    <n v="2001"/>
    <s v="Storm"/>
    <x v="941"/>
    <n v="400000"/>
  </r>
  <r>
    <s v="2001-0570-MEX"/>
    <x v="21"/>
    <n v="2001"/>
    <s v="Storm"/>
    <x v="7"/>
    <n v="1000"/>
  </r>
  <r>
    <s v="2001-0735-MEX"/>
    <x v="21"/>
    <n v="2001"/>
    <s v="Storm"/>
    <x v="16"/>
    <n v="0"/>
  </r>
  <r>
    <s v="2002-9292-MEX"/>
    <x v="21"/>
    <n v="2002"/>
    <s v="Drought"/>
    <x v="7"/>
    <n v="210000"/>
  </r>
  <r>
    <s v="2002-0510-MEX"/>
    <x v="21"/>
    <n v="2002"/>
    <s v="Flood"/>
    <x v="291"/>
    <n v="0"/>
  </r>
  <r>
    <s v="2002-0638-MEX"/>
    <x v="21"/>
    <n v="2002"/>
    <s v="Flood"/>
    <x v="7"/>
    <n v="0"/>
  </r>
  <r>
    <s v="2002-0609-MEX"/>
    <x v="21"/>
    <n v="2002"/>
    <s v="Storm"/>
    <x v="942"/>
    <n v="640000"/>
  </r>
  <r>
    <s v="2002-0647-MEX"/>
    <x v="21"/>
    <n v="2002"/>
    <s v="Storm"/>
    <x v="20"/>
    <n v="0"/>
  </r>
  <r>
    <s v="2002-0669-MEX"/>
    <x v="21"/>
    <n v="2002"/>
    <s v="Storm"/>
    <x v="221"/>
    <n v="200000"/>
  </r>
  <r>
    <s v="2003-0039-MEX"/>
    <x v="21"/>
    <n v="2003"/>
    <s v="Earthquake"/>
    <x v="943"/>
    <n v="116300"/>
  </r>
  <r>
    <s v="2003-0482-MEX"/>
    <x v="21"/>
    <n v="2003"/>
    <s v="Flood"/>
    <x v="160"/>
    <n v="0"/>
  </r>
  <r>
    <s v="2003-0710-MEX"/>
    <x v="21"/>
    <n v="2003"/>
    <s v="Flood"/>
    <x v="429"/>
    <n v="0"/>
  </r>
  <r>
    <s v="2003-0712-MEX"/>
    <x v="21"/>
    <n v="2003"/>
    <s v="Flood"/>
    <x v="549"/>
    <n v="0"/>
  </r>
  <r>
    <s v="2003-0474-MEX"/>
    <x v="21"/>
    <n v="2003"/>
    <s v="Storm"/>
    <x v="123"/>
    <n v="100000"/>
  </r>
  <r>
    <s v="2003-0688-MEX"/>
    <x v="21"/>
    <n v="2003"/>
    <s v="Storm"/>
    <x v="139"/>
    <n v="0"/>
  </r>
  <r>
    <s v="2004-0141-MEX"/>
    <x v="21"/>
    <n v="2004"/>
    <s v="Flood"/>
    <x v="944"/>
    <n v="0"/>
  </r>
  <r>
    <s v="2004-0259-MEX"/>
    <x v="21"/>
    <n v="2004"/>
    <s v="Flood"/>
    <x v="945"/>
    <n v="3600"/>
  </r>
  <r>
    <s v="2005-0283-MEX"/>
    <x v="21"/>
    <n v="2005"/>
    <s v="Flood"/>
    <x v="10"/>
    <n v="0"/>
  </r>
  <r>
    <s v="2005-0470-MEX"/>
    <x v="21"/>
    <n v="2005"/>
    <s v="Flood"/>
    <x v="122"/>
    <n v="0"/>
  </r>
  <r>
    <s v="2005-0601-MEX"/>
    <x v="21"/>
    <n v="2005"/>
    <s v="Flood"/>
    <x v="139"/>
    <n v="0"/>
  </r>
  <r>
    <s v="2005-0382-MEX"/>
    <x v="21"/>
    <n v="2005"/>
    <s v="Storm"/>
    <x v="7"/>
    <n v="400000"/>
  </r>
  <r>
    <s v="2005-0524-MEX"/>
    <x v="21"/>
    <n v="2005"/>
    <s v="Storm"/>
    <x v="114"/>
    <n v="10000"/>
  </r>
  <r>
    <s v="2005-0567-MEX"/>
    <x v="21"/>
    <n v="2005"/>
    <s v="Storm"/>
    <x v="946"/>
    <n v="2500000"/>
  </r>
  <r>
    <s v="2005-0585-MEX"/>
    <x v="21"/>
    <n v="2005"/>
    <s v="Storm"/>
    <x v="167"/>
    <n v="5000000"/>
  </r>
  <r>
    <s v="2006-0413-MEX"/>
    <x v="21"/>
    <n v="2006"/>
    <s v="Flood"/>
    <x v="7"/>
    <n v="0"/>
  </r>
  <r>
    <s v="2006-0483-MEX"/>
    <x v="21"/>
    <n v="2006"/>
    <s v="Storm"/>
    <x v="122"/>
    <n v="0"/>
  </r>
  <r>
    <s v="2006-0505-MEX"/>
    <x v="21"/>
    <n v="2006"/>
    <s v="Storm"/>
    <x v="947"/>
    <n v="2700"/>
  </r>
  <r>
    <s v="2006-0604-MEX"/>
    <x v="21"/>
    <n v="2006"/>
    <s v="Storm"/>
    <x v="33"/>
    <n v="0"/>
  </r>
  <r>
    <s v="2007-0435-MEX"/>
    <x v="21"/>
    <n v="2007"/>
    <s v="Flood"/>
    <x v="253"/>
    <n v="0"/>
  </r>
  <r>
    <s v="2007-0521-MEX"/>
    <x v="21"/>
    <n v="2007"/>
    <s v="Flood"/>
    <x v="535"/>
    <n v="3000000"/>
  </r>
  <r>
    <s v="2007-0360-MEX"/>
    <x v="21"/>
    <n v="2007"/>
    <s v="Storm"/>
    <x v="948"/>
    <n v="600000"/>
  </r>
  <r>
    <s v="2007-0439-MEX"/>
    <x v="21"/>
    <n v="2007"/>
    <s v="Storm"/>
    <x v="401"/>
    <n v="0"/>
  </r>
  <r>
    <s v="2007-0464-MEX"/>
    <x v="21"/>
    <n v="2007"/>
    <s v="Storm"/>
    <x v="592"/>
    <n v="0"/>
  </r>
  <r>
    <s v="2007-0671-MEX"/>
    <x v="21"/>
    <n v="2007"/>
    <s v="Storm"/>
    <x v="7"/>
    <n v="0"/>
  </r>
  <r>
    <s v="2008-0288-MEX"/>
    <x v="21"/>
    <n v="2008"/>
    <s v="Flood"/>
    <x v="33"/>
    <n v="0"/>
  </r>
  <r>
    <s v="2008-0304-MEX"/>
    <x v="21"/>
    <n v="2008"/>
    <s v="Storm"/>
    <x v="154"/>
    <n v="75000"/>
  </r>
  <r>
    <s v="2009-0367-MEX"/>
    <x v="21"/>
    <n v="2009"/>
    <s v="Flood"/>
    <x v="18"/>
    <n v="0"/>
  </r>
  <r>
    <s v="2009-0377-MEX"/>
    <x v="21"/>
    <n v="2009"/>
    <s v="Flood"/>
    <x v="529"/>
    <n v="0"/>
  </r>
  <r>
    <s v="2009-0515-MEX"/>
    <x v="21"/>
    <n v="2009"/>
    <s v="Flood"/>
    <x v="949"/>
    <n v="0"/>
  </r>
  <r>
    <s v="2009-0561-MEX"/>
    <x v="21"/>
    <n v="2009"/>
    <s v="Flood"/>
    <x v="950"/>
    <n v="0"/>
  </r>
  <r>
    <s v="2009-0614-MEX"/>
    <x v="21"/>
    <n v="2009"/>
    <s v="Flood"/>
    <x v="7"/>
    <n v="0"/>
  </r>
  <r>
    <s v="2009-0384-MEX"/>
    <x v="21"/>
    <n v="2009"/>
    <s v="Storm"/>
    <x v="951"/>
    <n v="40000"/>
  </r>
  <r>
    <s v="2009-0477-MEX"/>
    <x v="21"/>
    <n v="2009"/>
    <s v="Storm"/>
    <x v="43"/>
    <n v="0"/>
  </r>
  <r>
    <s v="2010-0158-MEX"/>
    <x v="21"/>
    <n v="2010"/>
    <s v="Earthquake"/>
    <x v="952"/>
    <n v="1150000"/>
  </r>
  <r>
    <s v="2010-0058-MEX"/>
    <x v="21"/>
    <n v="2010"/>
    <s v="Flood"/>
    <x v="33"/>
    <n v="16000"/>
  </r>
  <r>
    <s v="2010-0467-MEX"/>
    <x v="21"/>
    <n v="2010"/>
    <s v="Flood"/>
    <x v="167"/>
    <n v="0"/>
  </r>
  <r>
    <s v="2010-0260-MEX"/>
    <x v="21"/>
    <n v="2010"/>
    <s v="Storm"/>
    <x v="953"/>
    <n v="2000000"/>
  </r>
  <r>
    <s v="2010-0426-MEX"/>
    <x v="21"/>
    <n v="2010"/>
    <s v="Storm"/>
    <x v="954"/>
    <n v="0"/>
  </r>
  <r>
    <s v="2010-0494-MEX"/>
    <x v="21"/>
    <n v="2010"/>
    <s v="Storm"/>
    <x v="955"/>
    <n v="3900000"/>
  </r>
  <r>
    <s v="2010-0503-MEX"/>
    <x v="21"/>
    <n v="2010"/>
    <s v="Storm"/>
    <x v="141"/>
    <n v="0"/>
  </r>
  <r>
    <s v="2011-9363-MEX"/>
    <x v="21"/>
    <n v="2011"/>
    <s v="Drought"/>
    <x v="328"/>
    <n v="0"/>
  </r>
  <r>
    <s v="2011-0512-MEX"/>
    <x v="21"/>
    <n v="2011"/>
    <s v="Earthquake"/>
    <x v="319"/>
    <n v="0"/>
  </r>
  <r>
    <s v="2011-0392-MEX"/>
    <x v="21"/>
    <n v="2011"/>
    <s v="Flood"/>
    <x v="189"/>
    <n v="0"/>
  </r>
  <r>
    <s v="2011-0589-MEX"/>
    <x v="21"/>
    <n v="2011"/>
    <s v="Flood"/>
    <x v="956"/>
    <n v="0"/>
  </r>
  <r>
    <s v="2011-0633-MEX"/>
    <x v="21"/>
    <n v="2011"/>
    <s v="Flood"/>
    <x v="43"/>
    <n v="0"/>
  </r>
  <r>
    <s v="2011-0228-MEX"/>
    <x v="21"/>
    <n v="2011"/>
    <s v="Storm"/>
    <x v="293"/>
    <n v="0"/>
  </r>
  <r>
    <s v="2011-0241-MEX"/>
    <x v="21"/>
    <n v="2011"/>
    <s v="Storm"/>
    <x v="261"/>
    <n v="70000"/>
  </r>
  <r>
    <s v="2011-0267-MEX"/>
    <x v="21"/>
    <n v="2011"/>
    <s v="Storm"/>
    <x v="155"/>
    <n v="0"/>
  </r>
  <r>
    <s v="2011-0385-MEX"/>
    <x v="21"/>
    <n v="2011"/>
    <s v="Storm"/>
    <x v="160"/>
    <n v="27700"/>
  </r>
  <r>
    <s v="2011-0460-MEX"/>
    <x v="21"/>
    <n v="2011"/>
    <s v="Storm"/>
    <x v="7"/>
    <n v="0"/>
  </r>
  <r>
    <s v="2012-0124-MEX"/>
    <x v="21"/>
    <n v="2012"/>
    <s v="Earthquake"/>
    <x v="957"/>
    <n v="320000"/>
  </r>
  <r>
    <s v="2012-0276-MEX"/>
    <x v="21"/>
    <n v="2012"/>
    <s v="Storm"/>
    <x v="7"/>
    <n v="300000"/>
  </r>
  <r>
    <s v="2012-0401-MEX"/>
    <x v="21"/>
    <n v="2012"/>
    <s v="Storm"/>
    <x v="588"/>
    <n v="555000"/>
  </r>
  <r>
    <s v="2013-0348-MEX"/>
    <x v="21"/>
    <n v="2013"/>
    <s v="Flood"/>
    <x v="7"/>
    <n v="0"/>
  </r>
  <r>
    <s v="2013-0188-MEX"/>
    <x v="21"/>
    <n v="2013"/>
    <s v="Storm"/>
    <x v="172"/>
    <n v="0"/>
  </r>
  <r>
    <s v="2013-0335-MEX"/>
    <x v="21"/>
    <n v="2013"/>
    <s v="Storm"/>
    <x v="44"/>
    <n v="2000"/>
  </r>
  <r>
    <s v="2013-0358-MEX"/>
    <x v="21"/>
    <n v="2013"/>
    <s v="Storm"/>
    <x v="683"/>
    <n v="4200000"/>
  </r>
  <r>
    <s v="2013-0406-MEX"/>
    <x v="21"/>
    <n v="2013"/>
    <s v="Storm"/>
    <x v="160"/>
    <n v="1500000"/>
  </r>
  <r>
    <s v="2014-0127-MEX"/>
    <x v="21"/>
    <n v="2014"/>
    <s v="Earthquake"/>
    <x v="958"/>
    <n v="0"/>
  </r>
  <r>
    <s v="2014-0234-MEX"/>
    <x v="21"/>
    <n v="2014"/>
    <s v="Earthquake"/>
    <x v="458"/>
    <n v="0"/>
  </r>
  <r>
    <s v="2014-0183-MEX"/>
    <x v="21"/>
    <n v="2014"/>
    <s v="Storm"/>
    <x v="7"/>
    <n v="0"/>
  </r>
  <r>
    <s v="2014-0325-MEX"/>
    <x v="21"/>
    <n v="2014"/>
    <s v="Storm"/>
    <x v="401"/>
    <n v="14000"/>
  </r>
  <r>
    <s v="2014-0333-MEX"/>
    <x v="21"/>
    <n v="2014"/>
    <s v="Storm"/>
    <x v="959"/>
    <n v="2500000"/>
  </r>
  <r>
    <s v="2014-0385-MEX"/>
    <x v="21"/>
    <n v="2014"/>
    <s v="Storm"/>
    <x v="18"/>
    <n v="500"/>
  </r>
  <r>
    <s v="2014-0386-MEX"/>
    <x v="21"/>
    <n v="2014"/>
    <s v="Storm"/>
    <x v="559"/>
    <n v="25000"/>
  </r>
  <r>
    <s v="2014-0417-MEX"/>
    <x v="21"/>
    <n v="2014"/>
    <s v="Storm"/>
    <x v="401"/>
    <n v="2000"/>
  </r>
  <r>
    <s v="2015-0382-MEX"/>
    <x v="21"/>
    <n v="2015"/>
    <s v="Flood"/>
    <x v="139"/>
    <n v="0"/>
  </r>
  <r>
    <s v="2015-0121-MEX"/>
    <x v="21"/>
    <n v="2015"/>
    <s v="Storm"/>
    <x v="960"/>
    <n v="2000"/>
  </r>
  <r>
    <s v="2015-0187-MEX"/>
    <x v="21"/>
    <n v="2015"/>
    <s v="Storm"/>
    <x v="961"/>
    <n v="0"/>
  </r>
  <r>
    <s v="2015-0470-MEX"/>
    <x v="21"/>
    <n v="2015"/>
    <s v="Storm"/>
    <x v="114"/>
    <n v="823000"/>
  </r>
  <r>
    <s v="2016-0325-MEX"/>
    <x v="21"/>
    <n v="2016"/>
    <s v="Flood"/>
    <x v="123"/>
    <n v="0"/>
  </r>
  <r>
    <s v="2016-0332-MEX"/>
    <x v="21"/>
    <n v="2016"/>
    <s v="Flood"/>
    <x v="123"/>
    <n v="0"/>
  </r>
  <r>
    <s v="2016-0333-MEX"/>
    <x v="21"/>
    <n v="2016"/>
    <s v="Flood"/>
    <x v="139"/>
    <n v="25000"/>
  </r>
  <r>
    <s v="2016-0424-MEX"/>
    <x v="21"/>
    <n v="2016"/>
    <s v="Flood"/>
    <x v="113"/>
    <n v="0"/>
  </r>
  <r>
    <s v="2016-0532-MEX"/>
    <x v="21"/>
    <n v="2016"/>
    <s v="Flood"/>
    <x v="139"/>
    <n v="0"/>
  </r>
  <r>
    <s v="2016-0284-MEX"/>
    <x v="21"/>
    <n v="2016"/>
    <s v="Storm"/>
    <x v="116"/>
    <n v="0"/>
  </r>
  <r>
    <s v="2016-0319-MEX"/>
    <x v="21"/>
    <n v="2016"/>
    <s v="Storm"/>
    <x v="170"/>
    <n v="50000"/>
  </r>
  <r>
    <s v="2017-0382-MEX"/>
    <x v="21"/>
    <n v="2017"/>
    <s v="Earthquake"/>
    <x v="962"/>
    <n v="2300000"/>
  </r>
  <r>
    <s v="2017-0387-MEX"/>
    <x v="21"/>
    <n v="2017"/>
    <s v="Earthquake"/>
    <x v="963"/>
    <n v="6000000"/>
  </r>
  <r>
    <s v="2017-0498-MEX"/>
    <x v="21"/>
    <n v="2017"/>
    <s v="Flood"/>
    <x v="429"/>
    <n v="0"/>
  </r>
  <r>
    <s v="2017-0168-MEX"/>
    <x v="21"/>
    <n v="2017"/>
    <s v="Storm"/>
    <x v="118"/>
    <n v="0"/>
  </r>
  <r>
    <s v="2017-0334-MEX"/>
    <x v="21"/>
    <n v="2017"/>
    <s v="Storm"/>
    <x v="98"/>
    <n v="2000"/>
  </r>
  <r>
    <s v="2017-0376-MEX"/>
    <x v="21"/>
    <n v="2017"/>
    <s v="Storm"/>
    <x v="10"/>
    <n v="0"/>
  </r>
  <r>
    <s v="2017-0392-MEX"/>
    <x v="21"/>
    <n v="2017"/>
    <s v="Storm"/>
    <x v="964"/>
    <n v="0"/>
  </r>
  <r>
    <s v="2018-0315-MEX"/>
    <x v="21"/>
    <n v="2018"/>
    <s v="Earthquake"/>
    <x v="965"/>
    <n v="0"/>
  </r>
  <r>
    <s v="2018-0367-MEX"/>
    <x v="21"/>
    <n v="2018"/>
    <s v="Flood"/>
    <x v="4"/>
    <n v="0"/>
  </r>
  <r>
    <s v="2018-0406-MEX"/>
    <x v="21"/>
    <n v="2018"/>
    <s v="Storm"/>
    <x v="122"/>
    <n v="536800"/>
  </r>
  <r>
    <s v="2018-0421-MEX"/>
    <x v="21"/>
    <n v="2018"/>
    <s v="Storm"/>
    <x v="7"/>
    <n v="7005"/>
  </r>
  <r>
    <s v="2019-0225-MEX"/>
    <x v="21"/>
    <n v="2019"/>
    <s v="Flood"/>
    <x v="139"/>
    <n v="0"/>
  </r>
  <r>
    <s v="2019-0297-MEX"/>
    <x v="21"/>
    <n v="2019"/>
    <s v="Flood"/>
    <x v="966"/>
    <n v="0"/>
  </r>
  <r>
    <s v="2019-0596-MEX"/>
    <x v="21"/>
    <n v="2019"/>
    <s v="Flood"/>
    <x v="20"/>
    <n v="0"/>
  </r>
  <r>
    <s v="2019-0418-MEX"/>
    <x v="21"/>
    <n v="2019"/>
    <s v="Storm"/>
    <x v="96"/>
    <n v="0"/>
  </r>
  <r>
    <s v="2019-0450-MEX"/>
    <x v="21"/>
    <n v="2019"/>
    <s v="Storm"/>
    <x v="10"/>
    <n v="0"/>
  </r>
  <r>
    <s v="2019-0519-MEX"/>
    <x v="21"/>
    <n v="2019"/>
    <s v="Storm"/>
    <x v="7"/>
    <n v="383000"/>
  </r>
  <r>
    <s v="2020-0281-MEX"/>
    <x v="21"/>
    <n v="2020"/>
    <s v="Earthquake"/>
    <x v="967"/>
    <n v="75000"/>
  </r>
  <r>
    <s v="2020-0353-MEX"/>
    <x v="21"/>
    <n v="2020"/>
    <s v="Flood"/>
    <x v="968"/>
    <n v="0"/>
  </r>
  <r>
    <s v="2020-0506-MEX"/>
    <x v="21"/>
    <n v="2020"/>
    <s v="Flood"/>
    <x v="277"/>
    <n v="0"/>
  </r>
  <r>
    <s v="2020-0219-MEX"/>
    <x v="21"/>
    <n v="2020"/>
    <s v="Storm"/>
    <x v="969"/>
    <n v="0"/>
  </r>
  <r>
    <s v="2020-0316-MEX"/>
    <x v="21"/>
    <n v="2020"/>
    <s v="Storm"/>
    <x v="7"/>
    <n v="135000"/>
  </r>
  <r>
    <s v="2020-0416-MEX"/>
    <x v="21"/>
    <n v="2020"/>
    <s v="Storm"/>
    <x v="628"/>
    <n v="100000"/>
  </r>
  <r>
    <s v="2020-0474-MEX"/>
    <x v="21"/>
    <n v="2020"/>
    <s v="Storm"/>
    <x v="7"/>
    <n v="0"/>
  </r>
  <r>
    <s v="2020-0483-MEX"/>
    <x v="21"/>
    <n v="2020"/>
    <s v="Storm"/>
    <x v="7"/>
    <n v="100000"/>
  </r>
  <r>
    <s v="2021-0602-MEX"/>
    <x v="21"/>
    <n v="2021"/>
    <s v="Earthquake"/>
    <x v="970"/>
    <n v="200000"/>
  </r>
  <r>
    <s v="2021-0600-MEX"/>
    <x v="21"/>
    <n v="2021"/>
    <s v="Flood"/>
    <x v="10"/>
    <n v="50000"/>
  </r>
  <r>
    <s v="2021-0607-MEX"/>
    <x v="21"/>
    <n v="2021"/>
    <s v="Flood"/>
    <x v="652"/>
    <n v="0"/>
  </r>
  <r>
    <s v="2021-0647-MEX"/>
    <x v="21"/>
    <n v="2021"/>
    <s v="Flood"/>
    <x v="170"/>
    <n v="10000"/>
  </r>
  <r>
    <s v="2021-0122-MEX"/>
    <x v="21"/>
    <n v="2021"/>
    <s v="Storm"/>
    <x v="7"/>
    <n v="100000"/>
  </r>
  <r>
    <s v="2021-0325-MEX"/>
    <x v="21"/>
    <n v="2021"/>
    <s v="Storm"/>
    <x v="118"/>
    <n v="50000"/>
  </r>
  <r>
    <s v="2021-0359-MEX"/>
    <x v="21"/>
    <n v="2021"/>
    <s v="Storm"/>
    <x v="971"/>
    <n v="50000"/>
  </r>
  <r>
    <s v="2021-0528-MEX"/>
    <x v="21"/>
    <n v="2021"/>
    <s v="Storm"/>
    <x v="7"/>
    <n v="500000"/>
  </r>
  <r>
    <s v="2021-0552-MEX"/>
    <x v="21"/>
    <n v="2021"/>
    <s v="Storm"/>
    <x v="972"/>
    <n v="100000"/>
  </r>
  <r>
    <s v="2021-0702-MEX"/>
    <x v="21"/>
    <n v="2021"/>
    <s v="Storm"/>
    <x v="22"/>
    <n v="10000"/>
  </r>
  <r>
    <s v="2022-0622-MEX"/>
    <x v="21"/>
    <n v="2022"/>
    <s v="Earthquake"/>
    <x v="973"/>
    <n v="0"/>
  </r>
  <r>
    <s v="2022-0623-MEX"/>
    <x v="21"/>
    <n v="2022"/>
    <s v="Earthquake"/>
    <x v="974"/>
    <n v="25000"/>
  </r>
  <r>
    <s v="2022-0572-MEX"/>
    <x v="21"/>
    <n v="2022"/>
    <s v="Flood"/>
    <x v="823"/>
    <n v="0"/>
  </r>
  <r>
    <s v="2022-0579-MEX"/>
    <x v="21"/>
    <n v="2022"/>
    <s v="Flood"/>
    <x v="845"/>
    <n v="0"/>
  </r>
  <r>
    <s v="2022-0333-MEX"/>
    <x v="21"/>
    <n v="2022"/>
    <s v="Storm"/>
    <x v="7"/>
    <n v="51000"/>
  </r>
  <r>
    <s v="2022-0675-MEX"/>
    <x v="21"/>
    <n v="2022"/>
    <s v="Storm"/>
    <x v="10"/>
    <n v="0"/>
  </r>
  <r>
    <s v="2022-0698-MEX"/>
    <x v="21"/>
    <n v="2022"/>
    <s v="Storm"/>
    <x v="114"/>
    <n v="0"/>
  </r>
  <r>
    <s v="2023-0647-MEX"/>
    <x v="21"/>
    <n v="2023"/>
    <s v="Flood"/>
    <x v="7"/>
    <n v="0"/>
  </r>
  <r>
    <s v="2023-0675-MEX"/>
    <x v="21"/>
    <n v="2023"/>
    <s v="Storm"/>
    <x v="975"/>
    <n v="12000000"/>
  </r>
  <r>
    <s v="2024-0402-MEX"/>
    <x v="21"/>
    <n v="2024"/>
    <s v="Storm"/>
    <x v="7"/>
    <n v="140000"/>
  </r>
  <r>
    <s v="2024-0471-MEX"/>
    <x v="21"/>
    <n v="2024"/>
    <s v="Storm"/>
    <x v="33"/>
    <n v="0"/>
  </r>
  <r>
    <s v="2024-0685-MEX"/>
    <x v="21"/>
    <n v="2024"/>
    <s v="Storm"/>
    <x v="976"/>
    <n v="2450000"/>
  </r>
  <r>
    <s v="2024-0693-MEX"/>
    <x v="21"/>
    <n v="2024"/>
    <s v="Storm"/>
    <x v="7"/>
    <n v="0"/>
  </r>
  <r>
    <s v="2024-0722-MEX"/>
    <x v="21"/>
    <n v="2024"/>
    <s v="Storm"/>
    <x v="7"/>
    <n v="0"/>
  </r>
  <r>
    <s v="2024-0795-MEX"/>
    <x v="21"/>
    <n v="2024"/>
    <s v="Storm"/>
    <x v="977"/>
    <n v="0"/>
  </r>
  <r>
    <s v="2001-0694-MAR"/>
    <x v="22"/>
    <n v="2001"/>
    <s v="Flood"/>
    <x v="98"/>
    <n v="2200"/>
  </r>
  <r>
    <s v="2002-0734-MAR"/>
    <x v="22"/>
    <n v="2002"/>
    <s v="Flood"/>
    <x v="978"/>
    <n v="200000"/>
  </r>
  <r>
    <s v="2003-0556-MAR"/>
    <x v="22"/>
    <n v="2003"/>
    <s v="Flood"/>
    <x v="122"/>
    <n v="0"/>
  </r>
  <r>
    <s v="2004-0073-MAR"/>
    <x v="22"/>
    <n v="2004"/>
    <s v="Earthquake"/>
    <x v="979"/>
    <n v="400000"/>
  </r>
  <r>
    <s v="2005-0662-MAR"/>
    <x v="22"/>
    <n v="2005"/>
    <s v="Storm"/>
    <x v="7"/>
    <n v="50"/>
  </r>
  <r>
    <s v="2006-0267-MAR"/>
    <x v="22"/>
    <n v="2006"/>
    <s v="Flood"/>
    <x v="166"/>
    <n v="0"/>
  </r>
  <r>
    <s v="2006-0575-MAR"/>
    <x v="22"/>
    <n v="2006"/>
    <s v="Flood"/>
    <x v="7"/>
    <n v="0"/>
  </r>
  <r>
    <s v="2006-0585-MAR"/>
    <x v="22"/>
    <n v="2006"/>
    <s v="Flood"/>
    <x v="10"/>
    <n v="0"/>
  </r>
  <r>
    <s v="2008-0498-MAR"/>
    <x v="22"/>
    <n v="2008"/>
    <s v="Flood"/>
    <x v="33"/>
    <n v="0"/>
  </r>
  <r>
    <s v="2009-0043-MAR"/>
    <x v="22"/>
    <n v="2009"/>
    <s v="Flood"/>
    <x v="9"/>
    <n v="0"/>
  </r>
  <r>
    <s v="2009-0590-MAR"/>
    <x v="22"/>
    <n v="2009"/>
    <s v="Flood"/>
    <x v="980"/>
    <n v="0"/>
  </r>
  <r>
    <s v="2010-0112-MAR"/>
    <x v="22"/>
    <n v="2010"/>
    <s v="Flood"/>
    <x v="981"/>
    <n v="0"/>
  </r>
  <r>
    <s v="2010-0613-MAR"/>
    <x v="22"/>
    <n v="2010"/>
    <s v="Flood"/>
    <x v="982"/>
    <n v="29000"/>
  </r>
  <r>
    <s v="2014-0490-MAR"/>
    <x v="22"/>
    <n v="2014"/>
    <s v="Flood"/>
    <x v="7"/>
    <n v="0"/>
  </r>
  <r>
    <s v="2014-0008-MAR"/>
    <x v="22"/>
    <n v="2014"/>
    <s v="Storm"/>
    <x v="7"/>
    <n v="0"/>
  </r>
  <r>
    <s v="2014-0463-MAR"/>
    <x v="22"/>
    <n v="2014"/>
    <s v="Storm"/>
    <x v="983"/>
    <n v="300000"/>
  </r>
  <r>
    <s v="2019-0426-MAR"/>
    <x v="22"/>
    <n v="2019"/>
    <s v="Flood"/>
    <x v="984"/>
    <n v="0"/>
  </r>
  <r>
    <s v="2019-0427-MAR"/>
    <x v="22"/>
    <n v="2019"/>
    <s v="Flood"/>
    <x v="96"/>
    <n v="0"/>
  </r>
  <r>
    <s v="2021-0071-MAR"/>
    <x v="22"/>
    <n v="2021"/>
    <s v="Flood"/>
    <x v="230"/>
    <n v="0"/>
  </r>
  <r>
    <s v="2021-0118-MAR"/>
    <x v="22"/>
    <n v="2021"/>
    <s v="Flood"/>
    <x v="985"/>
    <n v="0"/>
  </r>
  <r>
    <s v="2023-0600-MAR"/>
    <x v="22"/>
    <n v="2023"/>
    <s v="Earthquake"/>
    <x v="986"/>
    <n v="7000000"/>
  </r>
  <r>
    <s v="2024-0656-MAR"/>
    <x v="22"/>
    <n v="2024"/>
    <s v="Flood"/>
    <x v="987"/>
    <n v="0"/>
  </r>
  <r>
    <s v="2001-9048-MOZ"/>
    <x v="23"/>
    <n v="2001"/>
    <s v="Drought"/>
    <x v="168"/>
    <n v="0"/>
  </r>
  <r>
    <s v="2001-0019-MOZ"/>
    <x v="23"/>
    <n v="2001"/>
    <s v="Flood"/>
    <x v="988"/>
    <n v="36000"/>
  </r>
  <r>
    <s v="2001-0767-MOZ"/>
    <x v="23"/>
    <n v="2001"/>
    <s v="Flood"/>
    <x v="155"/>
    <n v="0"/>
  </r>
  <r>
    <s v="2001-9122-MOZ"/>
    <x v="23"/>
    <n v="2002"/>
    <s v="Drought"/>
    <x v="162"/>
    <n v="0"/>
  </r>
  <r>
    <s v="2002-0163-MOZ"/>
    <x v="23"/>
    <n v="2002"/>
    <s v="Flood"/>
    <x v="20"/>
    <n v="0"/>
  </r>
  <r>
    <s v="2002-0670-MOZ"/>
    <x v="23"/>
    <n v="2002"/>
    <s v="Storm"/>
    <x v="989"/>
    <n v="0"/>
  </r>
  <r>
    <s v="2003-9035-MOZ"/>
    <x v="23"/>
    <n v="2003"/>
    <s v="Drought"/>
    <x v="990"/>
    <n v="0"/>
  </r>
  <r>
    <s v="2003-0020-MOZ"/>
    <x v="23"/>
    <n v="2003"/>
    <s v="Flood"/>
    <x v="991"/>
    <n v="0"/>
  </r>
  <r>
    <s v="2003-0098-MOZ"/>
    <x v="23"/>
    <n v="2003"/>
    <s v="Flood"/>
    <x v="196"/>
    <n v="0"/>
  </r>
  <r>
    <s v="2003-0233-MOZ"/>
    <x v="23"/>
    <n v="2003"/>
    <s v="Flood"/>
    <x v="114"/>
    <n v="0"/>
  </r>
  <r>
    <s v="2003-0114-MOZ"/>
    <x v="23"/>
    <n v="2003"/>
    <s v="Storm"/>
    <x v="992"/>
    <n v="0"/>
  </r>
  <r>
    <s v="2005-9262-MOZ"/>
    <x v="23"/>
    <n v="2005"/>
    <s v="Drought"/>
    <x v="993"/>
    <n v="0"/>
  </r>
  <r>
    <s v="2005-0075-MOZ"/>
    <x v="23"/>
    <n v="2005"/>
    <s v="Flood"/>
    <x v="994"/>
    <n v="0"/>
  </r>
  <r>
    <s v="2005-0715-MOZ"/>
    <x v="23"/>
    <n v="2005"/>
    <s v="Flood"/>
    <x v="995"/>
    <n v="0"/>
  </r>
  <r>
    <s v="2006-0100-MOZ"/>
    <x v="23"/>
    <n v="2006"/>
    <s v="Earthquake"/>
    <x v="996"/>
    <n v="0"/>
  </r>
  <r>
    <s v="2007-9343-MOZ"/>
    <x v="23"/>
    <n v="2007"/>
    <s v="Drought"/>
    <x v="538"/>
    <n v="0"/>
  </r>
  <r>
    <s v="2007-0020-MOZ"/>
    <x v="23"/>
    <n v="2007"/>
    <s v="Flood"/>
    <x v="997"/>
    <n v="71000"/>
  </r>
  <r>
    <s v="2007-0034-MOZ"/>
    <x v="23"/>
    <n v="2007"/>
    <s v="Flood"/>
    <x v="628"/>
    <n v="0"/>
  </r>
  <r>
    <s v="2007-0614-MOZ"/>
    <x v="23"/>
    <n v="2007"/>
    <s v="Flood"/>
    <x v="998"/>
    <n v="100000"/>
  </r>
  <r>
    <s v="2007-0616-MOZ"/>
    <x v="23"/>
    <n v="2007"/>
    <s v="Flood"/>
    <x v="7"/>
    <n v="0"/>
  </r>
  <r>
    <s v="2007-0080-MOZ"/>
    <x v="23"/>
    <n v="2007"/>
    <s v="Storm"/>
    <x v="999"/>
    <n v="0"/>
  </r>
  <r>
    <s v="2008-9590-MOZ"/>
    <x v="23"/>
    <n v="2008"/>
    <s v="Drought"/>
    <x v="154"/>
    <n v="0"/>
  </r>
  <r>
    <s v="2008-0628-MOZ"/>
    <x v="23"/>
    <n v="2008"/>
    <s v="Flood"/>
    <x v="628"/>
    <n v="0"/>
  </r>
  <r>
    <s v="2008-0111-MOZ"/>
    <x v="23"/>
    <n v="2008"/>
    <s v="Storm"/>
    <x v="1000"/>
    <n v="20000"/>
  </r>
  <r>
    <s v="2009-0092-MOZ"/>
    <x v="23"/>
    <n v="2009"/>
    <s v="Flood"/>
    <x v="1001"/>
    <n v="0"/>
  </r>
  <r>
    <s v="2009-0123-MOZ"/>
    <x v="23"/>
    <n v="2009"/>
    <s v="Storm"/>
    <x v="1002"/>
    <n v="3000"/>
  </r>
  <r>
    <s v="2010-9290-MOZ"/>
    <x v="23"/>
    <n v="2010"/>
    <s v="Drought"/>
    <x v="1003"/>
    <n v="0"/>
  </r>
  <r>
    <s v="2010-0097-MOZ"/>
    <x v="23"/>
    <n v="2010"/>
    <s v="Flood"/>
    <x v="1004"/>
    <n v="0"/>
  </r>
  <r>
    <s v="2011-0072-MOZ"/>
    <x v="23"/>
    <n v="2011"/>
    <s v="Flood"/>
    <x v="401"/>
    <n v="0"/>
  </r>
  <r>
    <s v="2011-0092-MOZ"/>
    <x v="23"/>
    <n v="2011"/>
    <s v="Flood"/>
    <x v="1005"/>
    <n v="0"/>
  </r>
  <r>
    <s v="2011-0015-MOZ"/>
    <x v="23"/>
    <n v="2011"/>
    <s v="Storm"/>
    <x v="7"/>
    <n v="0"/>
  </r>
  <r>
    <s v="2012-0005-MOZ"/>
    <x v="23"/>
    <n v="2012"/>
    <s v="Storm"/>
    <x v="1006"/>
    <n v="0"/>
  </r>
  <r>
    <s v="2012-0006-MOZ"/>
    <x v="23"/>
    <n v="2012"/>
    <s v="Storm"/>
    <x v="1007"/>
    <n v="0"/>
  </r>
  <r>
    <s v="2012-0056-MOZ"/>
    <x v="23"/>
    <n v="2012"/>
    <s v="Storm"/>
    <x v="1008"/>
    <n v="0"/>
  </r>
  <r>
    <s v="2013-0011-MOZ"/>
    <x v="23"/>
    <n v="2013"/>
    <s v="Flood"/>
    <x v="316"/>
    <n v="30000"/>
  </r>
  <r>
    <s v="2014-0425-MOZ"/>
    <x v="23"/>
    <n v="2014"/>
    <s v="Flood"/>
    <x v="1009"/>
    <n v="0"/>
  </r>
  <r>
    <s v="2014-0518-MOZ"/>
    <x v="23"/>
    <n v="2014"/>
    <s v="Flood"/>
    <x v="98"/>
    <n v="0"/>
  </r>
  <r>
    <s v="2015-0011-MOZ"/>
    <x v="23"/>
    <n v="2015"/>
    <s v="Flood"/>
    <x v="1010"/>
    <n v="0"/>
  </r>
  <r>
    <s v="2016-9122-MOZ"/>
    <x v="23"/>
    <n v="2016"/>
    <s v="Drought"/>
    <x v="857"/>
    <n v="0"/>
  </r>
  <r>
    <s v="2016-0248-MOZ"/>
    <x v="23"/>
    <n v="2016"/>
    <s v="Flood"/>
    <x v="1011"/>
    <n v="0"/>
  </r>
  <r>
    <s v="2016-0529-MOZ"/>
    <x v="23"/>
    <n v="2016"/>
    <s v="Flood"/>
    <x v="1012"/>
    <n v="0"/>
  </r>
  <r>
    <s v="2016-0546-MOZ"/>
    <x v="23"/>
    <n v="2016"/>
    <s v="Storm"/>
    <x v="1013"/>
    <n v="1500"/>
  </r>
  <r>
    <s v="2017-0051-MOZ"/>
    <x v="23"/>
    <n v="2017"/>
    <s v="Storm"/>
    <x v="1014"/>
    <n v="17000"/>
  </r>
  <r>
    <s v="2018-0048-MOZ"/>
    <x v="23"/>
    <n v="2018"/>
    <s v="Flood"/>
    <x v="1015"/>
    <n v="5100"/>
  </r>
  <r>
    <s v="2019-0048-MOZ"/>
    <x v="23"/>
    <n v="2019"/>
    <s v="Flood"/>
    <x v="7"/>
    <n v="0"/>
  </r>
  <r>
    <s v="2019-0099-MOZ"/>
    <x v="23"/>
    <n v="2019"/>
    <s v="Flood"/>
    <x v="491"/>
    <n v="0"/>
  </r>
  <r>
    <s v="2019-0633-MOZ"/>
    <x v="23"/>
    <n v="2019"/>
    <s v="Flood"/>
    <x v="1016"/>
    <n v="0"/>
  </r>
  <r>
    <s v="2019-0110-MOZ"/>
    <x v="23"/>
    <n v="2019"/>
    <s v="Storm"/>
    <x v="1017"/>
    <n v="2000000"/>
  </r>
  <r>
    <s v="2019-0165-MOZ"/>
    <x v="23"/>
    <n v="2019"/>
    <s v="Storm"/>
    <x v="1018"/>
    <n v="230000"/>
  </r>
  <r>
    <s v="2020-9586-MOZ"/>
    <x v="23"/>
    <n v="2020"/>
    <s v="Drought"/>
    <x v="540"/>
    <n v="0"/>
  </r>
  <r>
    <s v="2020-0062-MOZ"/>
    <x v="23"/>
    <n v="2020"/>
    <s v="Flood"/>
    <x v="1019"/>
    <n v="0"/>
  </r>
  <r>
    <s v="2020-0484-MOZ"/>
    <x v="23"/>
    <n v="2020"/>
    <s v="Flood"/>
    <x v="1020"/>
    <n v="0"/>
  </r>
  <r>
    <s v="2021-9359-MOZ"/>
    <x v="23"/>
    <n v="2021"/>
    <s v="Drought"/>
    <x v="1021"/>
    <n v="0"/>
  </r>
  <r>
    <s v="2021-0083-MOZ"/>
    <x v="23"/>
    <n v="2021"/>
    <s v="Flood"/>
    <x v="1022"/>
    <n v="0"/>
  </r>
  <r>
    <s v="2021-0036-MOZ"/>
    <x v="23"/>
    <n v="2021"/>
    <s v="Storm"/>
    <x v="1023"/>
    <n v="0"/>
  </r>
  <r>
    <s v="2022-0861-MOZ"/>
    <x v="23"/>
    <n v="2022"/>
    <s v="Flood"/>
    <x v="1024"/>
    <n v="0"/>
  </r>
  <r>
    <s v="2022-0052-MOZ"/>
    <x v="23"/>
    <n v="2022"/>
    <s v="Storm"/>
    <x v="1025"/>
    <n v="0"/>
  </r>
  <r>
    <s v="2022-0099-MOZ"/>
    <x v="23"/>
    <n v="2022"/>
    <s v="Storm"/>
    <x v="1026"/>
    <n v="0"/>
  </r>
  <r>
    <s v="2022-0137-MOZ"/>
    <x v="23"/>
    <n v="2022"/>
    <s v="Storm"/>
    <x v="1027"/>
    <n v="0"/>
  </r>
  <r>
    <s v="2023-9878-MOZ"/>
    <x v="23"/>
    <n v="2023"/>
    <s v="Drought"/>
    <x v="1028"/>
    <n v="0"/>
  </r>
  <r>
    <s v="2023-0078-MOZ"/>
    <x v="23"/>
    <n v="2023"/>
    <s v="Flood"/>
    <x v="1029"/>
    <n v="0"/>
  </r>
  <r>
    <s v="2023-0095-MOZ"/>
    <x v="23"/>
    <n v="2023"/>
    <s v="Storm"/>
    <x v="1030"/>
    <n v="0"/>
  </r>
  <r>
    <s v="2024-0164-MOZ"/>
    <x v="23"/>
    <n v="2024"/>
    <s v="Storm"/>
    <x v="1031"/>
    <n v="0"/>
  </r>
  <r>
    <s v="2024-0910-MOZ"/>
    <x v="23"/>
    <n v="2024"/>
    <s v="Storm"/>
    <x v="1032"/>
    <n v="0"/>
  </r>
  <r>
    <s v="2001-0746-MMR"/>
    <x v="24"/>
    <n v="2001"/>
    <s v="Flood"/>
    <x v="1033"/>
    <n v="0"/>
  </r>
  <r>
    <s v="2002-0536-MMR"/>
    <x v="24"/>
    <n v="2002"/>
    <s v="Flood"/>
    <x v="160"/>
    <n v="0"/>
  </r>
  <r>
    <s v="2004-0659-MMR"/>
    <x v="24"/>
    <n v="2004"/>
    <s v="Earthquake"/>
    <x v="1034"/>
    <n v="500000"/>
  </r>
  <r>
    <s v="2004-0235-MMR"/>
    <x v="24"/>
    <n v="2004"/>
    <s v="Storm"/>
    <x v="120"/>
    <n v="688"/>
  </r>
  <r>
    <s v="2006-0544-MMR"/>
    <x v="24"/>
    <n v="2006"/>
    <s v="Flood"/>
    <x v="122"/>
    <n v="0"/>
  </r>
  <r>
    <s v="2006-0241-MMR"/>
    <x v="24"/>
    <n v="2006"/>
    <s v="Storm"/>
    <x v="1035"/>
    <n v="0"/>
  </r>
  <r>
    <s v="2007-0161-MMR"/>
    <x v="24"/>
    <n v="2007"/>
    <s v="Flood"/>
    <x v="7"/>
    <n v="0"/>
  </r>
  <r>
    <s v="2007-0186-MMR"/>
    <x v="24"/>
    <n v="2007"/>
    <s v="Flood"/>
    <x v="139"/>
    <n v="0"/>
  </r>
  <r>
    <s v="2007-0318-MMR"/>
    <x v="24"/>
    <n v="2007"/>
    <s v="Flood"/>
    <x v="1036"/>
    <n v="0"/>
  </r>
  <r>
    <s v="2007-0409-MMR"/>
    <x v="24"/>
    <n v="2007"/>
    <s v="Flood"/>
    <x v="1037"/>
    <n v="0"/>
  </r>
  <r>
    <s v="2008-0184-MMR"/>
    <x v="24"/>
    <n v="2008"/>
    <s v="Storm"/>
    <x v="1038"/>
    <n v="4000000"/>
  </r>
  <r>
    <s v="2010-0554-MMR"/>
    <x v="24"/>
    <n v="2010"/>
    <s v="Storm"/>
    <x v="1039"/>
    <n v="57000"/>
  </r>
  <r>
    <s v="2011-0090-MMR"/>
    <x v="24"/>
    <n v="2011"/>
    <s v="Earthquake"/>
    <x v="1040"/>
    <n v="3600"/>
  </r>
  <r>
    <s v="2011-0400-MMR"/>
    <x v="24"/>
    <n v="2011"/>
    <s v="Flood"/>
    <x v="1041"/>
    <n v="1700"/>
  </r>
  <r>
    <s v="2012-0417-MMR"/>
    <x v="24"/>
    <n v="2012"/>
    <s v="Earthquake"/>
    <x v="1042"/>
    <n v="1170"/>
  </r>
  <r>
    <s v="2012-0319-MMR"/>
    <x v="24"/>
    <n v="2012"/>
    <s v="Flood"/>
    <x v="1043"/>
    <n v="0"/>
  </r>
  <r>
    <s v="2013-0263-MMR"/>
    <x v="24"/>
    <n v="2013"/>
    <s v="Flood"/>
    <x v="1044"/>
    <n v="0"/>
  </r>
  <r>
    <s v="2014-0412-MMR"/>
    <x v="24"/>
    <n v="2014"/>
    <s v="Flood"/>
    <x v="468"/>
    <n v="0"/>
  </r>
  <r>
    <s v="2014-0413-MMR"/>
    <x v="24"/>
    <n v="2014"/>
    <s v="Flood"/>
    <x v="1045"/>
    <n v="0"/>
  </r>
  <r>
    <s v="2015-0253-MMR"/>
    <x v="24"/>
    <n v="2015"/>
    <s v="Flood"/>
    <x v="207"/>
    <n v="0"/>
  </r>
  <r>
    <s v="2015-0308-MMR"/>
    <x v="24"/>
    <n v="2015"/>
    <s v="Flood"/>
    <x v="1046"/>
    <n v="119000"/>
  </r>
  <r>
    <s v="2015-0492-MMR"/>
    <x v="24"/>
    <n v="2015"/>
    <s v="Flood"/>
    <x v="7"/>
    <n v="0"/>
  </r>
  <r>
    <s v="2015-0118-MMR"/>
    <x v="24"/>
    <n v="2015"/>
    <s v="Storm"/>
    <x v="7"/>
    <n v="0"/>
  </r>
  <r>
    <s v="2016-0383-MMR"/>
    <x v="24"/>
    <n v="2016"/>
    <s v="Earthquake"/>
    <x v="1047"/>
    <n v="10000"/>
  </r>
  <r>
    <s v="2016-0232-MMR"/>
    <x v="24"/>
    <n v="2016"/>
    <s v="Flood"/>
    <x v="1048"/>
    <n v="0"/>
  </r>
  <r>
    <s v="2016-0369-MMR"/>
    <x v="24"/>
    <n v="2016"/>
    <s v="Flood"/>
    <x v="1049"/>
    <n v="2000"/>
  </r>
  <r>
    <s v="2016-0138-MMR"/>
    <x v="24"/>
    <n v="2016"/>
    <s v="Storm"/>
    <x v="1050"/>
    <n v="2000"/>
  </r>
  <r>
    <s v="2016-0189-MMR"/>
    <x v="24"/>
    <n v="2016"/>
    <s v="Storm"/>
    <x v="1051"/>
    <n v="2600"/>
  </r>
  <r>
    <s v="2017-0311-MMR"/>
    <x v="24"/>
    <n v="2017"/>
    <s v="Flood"/>
    <x v="251"/>
    <n v="0"/>
  </r>
  <r>
    <s v="2017-0152-MMR"/>
    <x v="24"/>
    <n v="2017"/>
    <s v="Storm"/>
    <x v="1052"/>
    <n v="0"/>
  </r>
  <r>
    <s v="2018-0203-MMR"/>
    <x v="24"/>
    <n v="2018"/>
    <s v="Flood"/>
    <x v="7"/>
    <n v="0"/>
  </r>
  <r>
    <s v="2018-0255-MMR"/>
    <x v="24"/>
    <n v="2018"/>
    <s v="Flood"/>
    <x v="1053"/>
    <n v="0"/>
  </r>
  <r>
    <s v="2018-0314-MMR"/>
    <x v="24"/>
    <n v="2018"/>
    <s v="Flood"/>
    <x v="1054"/>
    <n v="0"/>
  </r>
  <r>
    <s v="2019-0347-MMR"/>
    <x v="24"/>
    <n v="2019"/>
    <s v="Flood"/>
    <x v="1055"/>
    <n v="0"/>
  </r>
  <r>
    <s v="2019-0385-MMR"/>
    <x v="24"/>
    <n v="2019"/>
    <s v="Flood"/>
    <x v="1056"/>
    <n v="0"/>
  </r>
  <r>
    <s v="2020-0329-MMR"/>
    <x v="24"/>
    <n v="2020"/>
    <s v="Flood"/>
    <x v="120"/>
    <n v="0"/>
  </r>
  <r>
    <s v="2021-0451-MMR"/>
    <x v="24"/>
    <n v="2021"/>
    <s v="Flood"/>
    <x v="439"/>
    <n v="0"/>
  </r>
  <r>
    <s v="2023-0517-MMR"/>
    <x v="24"/>
    <n v="2023"/>
    <s v="Flood"/>
    <x v="385"/>
    <n v="0"/>
  </r>
  <r>
    <s v="2023-0633-MMR"/>
    <x v="24"/>
    <n v="2023"/>
    <s v="Flood"/>
    <x v="1057"/>
    <n v="0"/>
  </r>
  <r>
    <s v="2023-0248-MMR"/>
    <x v="24"/>
    <n v="2023"/>
    <s v="Storm"/>
    <x v="801"/>
    <n v="0"/>
  </r>
  <r>
    <s v="2023-0294-MMR"/>
    <x v="24"/>
    <n v="2023"/>
    <s v="Storm"/>
    <x v="1058"/>
    <n v="2240000"/>
  </r>
  <r>
    <s v="2024-0434-MMR"/>
    <x v="24"/>
    <n v="2024"/>
    <s v="Flood"/>
    <x v="1059"/>
    <n v="0"/>
  </r>
  <r>
    <s v="2024-0654-MMR"/>
    <x v="24"/>
    <n v="2024"/>
    <s v="Storm"/>
    <x v="1060"/>
    <n v="222000"/>
  </r>
  <r>
    <s v="2001-9854-NAM"/>
    <x v="25"/>
    <n v="2001"/>
    <s v="Drought"/>
    <x v="7"/>
    <n v="0"/>
  </r>
  <r>
    <s v="2002-9022-NAM"/>
    <x v="25"/>
    <n v="2002"/>
    <s v="Drought"/>
    <x v="1061"/>
    <n v="0"/>
  </r>
  <r>
    <s v="2003-0220-NAM"/>
    <x v="25"/>
    <n v="2003"/>
    <s v="Flood"/>
    <x v="172"/>
    <n v="0"/>
  </r>
  <r>
    <s v="2004-0149-NAM"/>
    <x v="25"/>
    <n v="2004"/>
    <s v="Flood"/>
    <x v="44"/>
    <n v="0"/>
  </r>
  <r>
    <s v="2004-0159-NAM"/>
    <x v="25"/>
    <n v="2004"/>
    <s v="Flood"/>
    <x v="33"/>
    <n v="0"/>
  </r>
  <r>
    <s v="2006-0024-NAM"/>
    <x v="25"/>
    <n v="2006"/>
    <s v="Flood"/>
    <x v="96"/>
    <n v="0"/>
  </r>
  <r>
    <s v="2006-0108-NAM"/>
    <x v="25"/>
    <n v="2006"/>
    <s v="Flood"/>
    <x v="823"/>
    <n v="8490"/>
  </r>
  <r>
    <s v="2007-0075-NAM"/>
    <x v="25"/>
    <n v="2007"/>
    <s v="Flood"/>
    <x v="114"/>
    <n v="0"/>
  </r>
  <r>
    <s v="2008-0060-NAM"/>
    <x v="25"/>
    <n v="2008"/>
    <s v="Flood"/>
    <x v="1006"/>
    <n v="0"/>
  </r>
  <r>
    <s v="2009-0092-NAM"/>
    <x v="25"/>
    <n v="2009"/>
    <s v="Flood"/>
    <x v="594"/>
    <n v="0"/>
  </r>
  <r>
    <s v="2010-0128-NAM"/>
    <x v="25"/>
    <n v="2010"/>
    <s v="Flood"/>
    <x v="268"/>
    <n v="0"/>
  </r>
  <r>
    <s v="2011-0081-NAM"/>
    <x v="25"/>
    <n v="2011"/>
    <s v="Flood"/>
    <x v="154"/>
    <n v="12000"/>
  </r>
  <r>
    <s v="2012-0023-NAM"/>
    <x v="25"/>
    <n v="2012"/>
    <s v="Flood"/>
    <x v="1062"/>
    <n v="0"/>
  </r>
  <r>
    <s v="2013-9146-NAM"/>
    <x v="25"/>
    <n v="2013"/>
    <s v="Drought"/>
    <x v="1063"/>
    <n v="64000"/>
  </r>
  <r>
    <s v="2013-0011-NAM"/>
    <x v="25"/>
    <n v="2013"/>
    <s v="Flood"/>
    <x v="464"/>
    <n v="0"/>
  </r>
  <r>
    <s v="2015-9505-NAM"/>
    <x v="25"/>
    <n v="2015"/>
    <s v="Drought"/>
    <x v="1064"/>
    <n v="60000"/>
  </r>
  <r>
    <s v="2017-0106-NAM"/>
    <x v="25"/>
    <n v="2017"/>
    <s v="Flood"/>
    <x v="589"/>
    <n v="0"/>
  </r>
  <r>
    <s v="2018-9191-NAM"/>
    <x v="25"/>
    <n v="2018"/>
    <s v="Drought"/>
    <x v="1065"/>
    <n v="0"/>
  </r>
  <r>
    <s v="2020-0085-NAM"/>
    <x v="25"/>
    <n v="2020"/>
    <s v="Flood"/>
    <x v="10"/>
    <n v="0"/>
  </r>
  <r>
    <s v="2021-0013-NAM"/>
    <x v="25"/>
    <n v="2021"/>
    <s v="Flood"/>
    <x v="1066"/>
    <n v="0"/>
  </r>
  <r>
    <s v="2023-0098-NAM"/>
    <x v="25"/>
    <n v="2023"/>
    <s v="Flood"/>
    <x v="1067"/>
    <n v="0"/>
  </r>
  <r>
    <s v="2024-9338-NAM"/>
    <x v="25"/>
    <n v="2024"/>
    <s v="Drought"/>
    <x v="1068"/>
    <n v="0"/>
  </r>
  <r>
    <s v="2003-0341-NPL"/>
    <x v="26"/>
    <n v="2003"/>
    <s v="Flood"/>
    <x v="1069"/>
    <n v="0"/>
  </r>
  <r>
    <s v="2004-0298-NPL"/>
    <x v="26"/>
    <n v="2004"/>
    <s v="Flood"/>
    <x v="1070"/>
    <n v="0"/>
  </r>
  <r>
    <s v="2005-0375-NPL"/>
    <x v="26"/>
    <n v="2005"/>
    <s v="Flood"/>
    <x v="401"/>
    <n v="0"/>
  </r>
  <r>
    <s v="2005-0556-NPL"/>
    <x v="26"/>
    <n v="2005"/>
    <s v="Flood"/>
    <x v="637"/>
    <n v="0"/>
  </r>
  <r>
    <s v="2006-9723-NPL"/>
    <x v="26"/>
    <n v="2006"/>
    <s v="Drought"/>
    <x v="155"/>
    <n v="0"/>
  </r>
  <r>
    <s v="2006-0342-NPL"/>
    <x v="26"/>
    <n v="2006"/>
    <s v="Flood"/>
    <x v="7"/>
    <n v="0"/>
  </r>
  <r>
    <s v="2007-0307-NPL"/>
    <x v="26"/>
    <n v="2007"/>
    <s v="Flood"/>
    <x v="1071"/>
    <n v="2400"/>
  </r>
  <r>
    <s v="2008-0271-NPL"/>
    <x v="26"/>
    <n v="2008"/>
    <s v="Flood"/>
    <x v="151"/>
    <n v="29"/>
  </r>
  <r>
    <s v="2008-0431-NPL"/>
    <x v="26"/>
    <n v="2008"/>
    <s v="Flood"/>
    <x v="1072"/>
    <n v="0"/>
  </r>
  <r>
    <s v="2009-9660-NPL"/>
    <x v="26"/>
    <n v="2009"/>
    <s v="Drought"/>
    <x v="1073"/>
    <n v="0"/>
  </r>
  <r>
    <s v="2009-0434-NPL"/>
    <x v="26"/>
    <n v="2009"/>
    <s v="Flood"/>
    <x v="1074"/>
    <n v="60000"/>
  </r>
  <r>
    <s v="2009-0608-NPL"/>
    <x v="26"/>
    <n v="2009"/>
    <s v="Flood"/>
    <x v="7"/>
    <n v="0"/>
  </r>
  <r>
    <s v="2010-0333-NPL"/>
    <x v="26"/>
    <n v="2010"/>
    <s v="Flood"/>
    <x v="7"/>
    <n v="0"/>
  </r>
  <r>
    <s v="2010-0452-NPL"/>
    <x v="26"/>
    <n v="2010"/>
    <s v="Flood"/>
    <x v="30"/>
    <n v="0"/>
  </r>
  <r>
    <s v="2011-0351-NPL"/>
    <x v="26"/>
    <n v="2011"/>
    <s v="Earthquake"/>
    <x v="1075"/>
    <n v="0"/>
  </r>
  <r>
    <s v="2011-0215-NPL"/>
    <x v="26"/>
    <n v="2011"/>
    <s v="Flood"/>
    <x v="7"/>
    <n v="0"/>
  </r>
  <r>
    <s v="2011-0317-NPL"/>
    <x v="26"/>
    <n v="2011"/>
    <s v="Flood"/>
    <x v="1076"/>
    <n v="0"/>
  </r>
  <r>
    <s v="2012-0186-NPL"/>
    <x v="26"/>
    <n v="2012"/>
    <s v="Flood"/>
    <x v="48"/>
    <n v="1000"/>
  </r>
  <r>
    <s v="2013-0456-NPL"/>
    <x v="26"/>
    <n v="2013"/>
    <s v="Flood"/>
    <x v="1077"/>
    <n v="0"/>
  </r>
  <r>
    <s v="2013-0576-NPL"/>
    <x v="26"/>
    <n v="2013"/>
    <s v="Flood"/>
    <x v="1078"/>
    <n v="0"/>
  </r>
  <r>
    <s v="2014-0246-NPL"/>
    <x v="26"/>
    <n v="2014"/>
    <s v="Flood"/>
    <x v="601"/>
    <n v="0"/>
  </r>
  <r>
    <s v="2014-0268-NPL"/>
    <x v="26"/>
    <n v="2014"/>
    <s v="Flood"/>
    <x v="7"/>
    <n v="0"/>
  </r>
  <r>
    <s v="2014-0272-NPL"/>
    <x v="26"/>
    <n v="2014"/>
    <s v="Flood"/>
    <x v="1079"/>
    <n v="0"/>
  </r>
  <r>
    <s v="2014-0416-NPL"/>
    <x v="26"/>
    <n v="2014"/>
    <s v="Storm"/>
    <x v="1080"/>
    <n v="0"/>
  </r>
  <r>
    <s v="2015-0144-NPL"/>
    <x v="26"/>
    <n v="2015"/>
    <s v="Earthquake"/>
    <x v="1081"/>
    <n v="5174000"/>
  </r>
  <r>
    <s v="2015-0175-NPL"/>
    <x v="26"/>
    <n v="2015"/>
    <s v="Earthquake"/>
    <x v="1082"/>
    <n v="0"/>
  </r>
  <r>
    <s v="2016-0267-NPL"/>
    <x v="26"/>
    <n v="2016"/>
    <s v="Flood"/>
    <x v="1083"/>
    <n v="15000"/>
  </r>
  <r>
    <s v="2016-0275-NPL"/>
    <x v="26"/>
    <n v="2016"/>
    <s v="Flood"/>
    <x v="1084"/>
    <n v="0"/>
  </r>
  <r>
    <s v="2017-0321-NPL"/>
    <x v="26"/>
    <n v="2017"/>
    <s v="Flood"/>
    <x v="123"/>
    <n v="0"/>
  </r>
  <r>
    <s v="2017-0342-NPL"/>
    <x v="26"/>
    <n v="2017"/>
    <s v="Flood"/>
    <x v="1085"/>
    <n v="595000"/>
  </r>
  <r>
    <s v="2018-0219-NPL"/>
    <x v="26"/>
    <n v="2018"/>
    <s v="Flood"/>
    <x v="1086"/>
    <n v="0"/>
  </r>
  <r>
    <s v="2019-0332-NPL"/>
    <x v="26"/>
    <n v="2019"/>
    <s v="Flood"/>
    <x v="1087"/>
    <n v="204000"/>
  </r>
  <r>
    <s v="2019-0135-NPL"/>
    <x v="26"/>
    <n v="2019"/>
    <s v="Storm"/>
    <x v="1088"/>
    <n v="0"/>
  </r>
  <r>
    <s v="2020-0297-NPL"/>
    <x v="26"/>
    <n v="2020"/>
    <s v="Flood"/>
    <x v="1089"/>
    <n v="100000"/>
  </r>
  <r>
    <s v="2021-0308-NPL"/>
    <x v="26"/>
    <n v="2021"/>
    <s v="Flood"/>
    <x v="1090"/>
    <n v="0"/>
  </r>
  <r>
    <s v="2021-0381-NPL"/>
    <x v="26"/>
    <n v="2021"/>
    <s v="Flood"/>
    <x v="1091"/>
    <n v="0"/>
  </r>
  <r>
    <s v="2021-0605-NPL"/>
    <x v="26"/>
    <n v="2021"/>
    <s v="Flood"/>
    <x v="1092"/>
    <n v="0"/>
  </r>
  <r>
    <s v="2021-0681-NPL"/>
    <x v="26"/>
    <n v="2021"/>
    <s v="Flood"/>
    <x v="230"/>
    <n v="0"/>
  </r>
  <r>
    <s v="2022-0731-NPL"/>
    <x v="26"/>
    <n v="2022"/>
    <s v="Earthquake"/>
    <x v="1093"/>
    <n v="0"/>
  </r>
  <r>
    <s v="2022-0493-NPL"/>
    <x v="26"/>
    <n v="2022"/>
    <s v="Flood"/>
    <x v="70"/>
    <n v="0"/>
  </r>
  <r>
    <s v="2022-0590-NPL"/>
    <x v="26"/>
    <n v="2022"/>
    <s v="Flood"/>
    <x v="1094"/>
    <n v="0"/>
  </r>
  <r>
    <s v="2022-0353-NPL"/>
    <x v="26"/>
    <n v="2022"/>
    <s v="Storm"/>
    <x v="1095"/>
    <n v="0"/>
  </r>
  <r>
    <s v="2023-0653-NPL"/>
    <x v="26"/>
    <n v="2023"/>
    <s v="Earthquake"/>
    <x v="1096"/>
    <n v="0"/>
  </r>
  <r>
    <s v="2023-0722-NPL"/>
    <x v="26"/>
    <n v="2023"/>
    <s v="Earthquake"/>
    <x v="1097"/>
    <n v="100000"/>
  </r>
  <r>
    <s v="2023-0326-NPL"/>
    <x v="26"/>
    <n v="2023"/>
    <s v="Flood"/>
    <x v="1098"/>
    <n v="0"/>
  </r>
  <r>
    <s v="2024-0428-NPL"/>
    <x v="26"/>
    <n v="2024"/>
    <s v="Flood"/>
    <x v="1099"/>
    <n v="0"/>
  </r>
  <r>
    <s v="2024-0692-NPL"/>
    <x v="26"/>
    <n v="2024"/>
    <s v="Flood"/>
    <x v="1100"/>
    <n v="338043"/>
  </r>
  <r>
    <s v="2001-9383-NIC"/>
    <x v="27"/>
    <n v="2001"/>
    <s v="Drought"/>
    <x v="1101"/>
    <n v="0"/>
  </r>
  <r>
    <s v="2001-0611-NIC"/>
    <x v="27"/>
    <n v="2001"/>
    <s v="Storm"/>
    <x v="1102"/>
    <n v="1000"/>
  </r>
  <r>
    <s v="2002-0328-NIC"/>
    <x v="27"/>
    <n v="2002"/>
    <s v="Flood"/>
    <x v="1103"/>
    <n v="50"/>
  </r>
  <r>
    <s v="2002-0850-NIC"/>
    <x v="27"/>
    <n v="2002"/>
    <s v="Storm"/>
    <x v="98"/>
    <n v="1000"/>
  </r>
  <r>
    <s v="2004-0289-NIC"/>
    <x v="27"/>
    <n v="2004"/>
    <s v="Storm"/>
    <x v="96"/>
    <n v="0"/>
  </r>
  <r>
    <s v="2005-0567-NIC"/>
    <x v="27"/>
    <n v="2005"/>
    <s v="Storm"/>
    <x v="1104"/>
    <n v="0"/>
  </r>
  <r>
    <s v="2005-0625-NIC"/>
    <x v="27"/>
    <n v="2005"/>
    <s v="Storm"/>
    <x v="1105"/>
    <n v="0"/>
  </r>
  <r>
    <s v="2007-0503-NIC"/>
    <x v="27"/>
    <n v="2007"/>
    <s v="Flood"/>
    <x v="678"/>
    <n v="0"/>
  </r>
  <r>
    <s v="2007-0439-NIC"/>
    <x v="27"/>
    <n v="2007"/>
    <s v="Storm"/>
    <x v="1106"/>
    <n v="0"/>
  </r>
  <r>
    <s v="2008-0457-NIC"/>
    <x v="27"/>
    <n v="2008"/>
    <s v="Flood"/>
    <x v="1107"/>
    <n v="0"/>
  </r>
  <r>
    <s v="2008-0484-NIC"/>
    <x v="27"/>
    <n v="2008"/>
    <s v="Flood"/>
    <x v="1108"/>
    <n v="0"/>
  </r>
  <r>
    <s v="2008-0234-NIC"/>
    <x v="27"/>
    <n v="2008"/>
    <s v="Storm"/>
    <x v="120"/>
    <n v="0"/>
  </r>
  <r>
    <s v="2009-0234-NIC"/>
    <x v="27"/>
    <n v="2009"/>
    <s v="Flood"/>
    <x v="1109"/>
    <n v="0"/>
  </r>
  <r>
    <s v="2009-0322-NIC"/>
    <x v="27"/>
    <n v="2009"/>
    <s v="Flood"/>
    <x v="1110"/>
    <n v="0"/>
  </r>
  <r>
    <s v="2009-0477-NIC"/>
    <x v="27"/>
    <n v="2009"/>
    <s v="Storm"/>
    <x v="1111"/>
    <n v="0"/>
  </r>
  <r>
    <s v="2010-0273-NIC"/>
    <x v="27"/>
    <n v="2010"/>
    <s v="Flood"/>
    <x v="1112"/>
    <n v="0"/>
  </r>
  <r>
    <s v="2010-0491-NIC"/>
    <x v="27"/>
    <n v="2010"/>
    <s v="Flood"/>
    <x v="1113"/>
    <n v="0"/>
  </r>
  <r>
    <s v="2010-0260-NIC"/>
    <x v="27"/>
    <n v="2010"/>
    <s v="Storm"/>
    <x v="7"/>
    <n v="0"/>
  </r>
  <r>
    <s v="2010-0503-NIC"/>
    <x v="27"/>
    <n v="2010"/>
    <s v="Storm"/>
    <x v="7"/>
    <n v="0"/>
  </r>
  <r>
    <s v="2011-0386-NIC"/>
    <x v="27"/>
    <n v="2011"/>
    <s v="Flood"/>
    <x v="1114"/>
    <n v="0"/>
  </r>
  <r>
    <s v="2012-0400-NIC"/>
    <x v="27"/>
    <n v="2012"/>
    <s v="Flood"/>
    <x v="1115"/>
    <n v="0"/>
  </r>
  <r>
    <s v="2013-0370-NIC"/>
    <x v="27"/>
    <n v="2013"/>
    <s v="Flood"/>
    <x v="1116"/>
    <n v="0"/>
  </r>
  <r>
    <s v="2014-9580-NIC"/>
    <x v="27"/>
    <n v="2014"/>
    <s v="Drought"/>
    <x v="1003"/>
    <n v="0"/>
  </r>
  <r>
    <s v="2014-0111-NIC"/>
    <x v="27"/>
    <n v="2014"/>
    <s v="Earthquake"/>
    <x v="1117"/>
    <n v="3000"/>
  </r>
  <r>
    <s v="2014-0447-NIC"/>
    <x v="27"/>
    <n v="2014"/>
    <s v="Flood"/>
    <x v="1118"/>
    <n v="0"/>
  </r>
  <r>
    <s v="2015-0446-NIC"/>
    <x v="27"/>
    <n v="2015"/>
    <s v="Flood"/>
    <x v="1033"/>
    <n v="0"/>
  </r>
  <r>
    <s v="2016-0433-NIC"/>
    <x v="27"/>
    <n v="2016"/>
    <s v="Storm"/>
    <x v="1119"/>
    <n v="0"/>
  </r>
  <r>
    <s v="2017-0449-NIC"/>
    <x v="27"/>
    <n v="2017"/>
    <s v="Flood"/>
    <x v="1120"/>
    <n v="0"/>
  </r>
  <r>
    <s v="2017-0410-NIC"/>
    <x v="27"/>
    <n v="2017"/>
    <s v="Storm"/>
    <x v="1121"/>
    <n v="0"/>
  </r>
  <r>
    <s v="2018-9277-NIC"/>
    <x v="27"/>
    <n v="2018"/>
    <s v="Drought"/>
    <x v="261"/>
    <n v="0"/>
  </r>
  <r>
    <s v="2018-0374-NIC"/>
    <x v="27"/>
    <n v="2018"/>
    <s v="Flood"/>
    <x v="164"/>
    <n v="0"/>
  </r>
  <r>
    <s v="2020-0474-NIC"/>
    <x v="27"/>
    <n v="2020"/>
    <s v="Storm"/>
    <x v="401"/>
    <n v="178000"/>
  </r>
  <r>
    <s v="2020-0495-NIC"/>
    <x v="27"/>
    <n v="2020"/>
    <s v="Storm"/>
    <x v="1122"/>
    <n v="741000"/>
  </r>
  <r>
    <s v="2022-0400-NIC"/>
    <x v="27"/>
    <n v="2022"/>
    <s v="Storm"/>
    <x v="1123"/>
    <n v="0"/>
  </r>
  <r>
    <s v="2022-0647-NIC"/>
    <x v="27"/>
    <n v="2022"/>
    <s v="Storm"/>
    <x v="1124"/>
    <n v="180000"/>
  </r>
  <r>
    <s v="2024-0395-NIC"/>
    <x v="27"/>
    <n v="2024"/>
    <s v="Storm"/>
    <x v="7"/>
    <n v="0"/>
  </r>
  <r>
    <s v="2024-0857-NIC"/>
    <x v="27"/>
    <n v="2024"/>
    <s v="Storm"/>
    <x v="7"/>
    <n v="0"/>
  </r>
  <r>
    <s v="2001-0033-PAK"/>
    <x v="28"/>
    <n v="2001"/>
    <s v="Earthquake"/>
    <x v="1125"/>
    <n v="500"/>
  </r>
  <r>
    <s v="2001-0376-PAK"/>
    <x v="28"/>
    <n v="2001"/>
    <s v="Flood"/>
    <x v="1126"/>
    <n v="246000"/>
  </r>
  <r>
    <s v="2001-0267-PAK"/>
    <x v="28"/>
    <n v="2001"/>
    <s v="Storm"/>
    <x v="20"/>
    <n v="0"/>
  </r>
  <r>
    <s v="2002-0122-PAK"/>
    <x v="28"/>
    <n v="2002"/>
    <s v="Earthquake"/>
    <x v="7"/>
    <n v="0"/>
  </r>
  <r>
    <s v="2002-0692-PAK"/>
    <x v="28"/>
    <n v="2002"/>
    <s v="Earthquake"/>
    <x v="1127"/>
    <n v="0"/>
  </r>
  <r>
    <s v="2002-0721-PAK"/>
    <x v="28"/>
    <n v="2002"/>
    <s v="Earthquake"/>
    <x v="1128"/>
    <n v="0"/>
  </r>
  <r>
    <s v="2002-0509-PAK"/>
    <x v="28"/>
    <n v="2002"/>
    <s v="Flood"/>
    <x v="7"/>
    <n v="0"/>
  </r>
  <r>
    <s v="2002-0543-PAK"/>
    <x v="28"/>
    <n v="2002"/>
    <s v="Flood"/>
    <x v="62"/>
    <n v="30"/>
  </r>
  <r>
    <s v="2002-0628-PAK"/>
    <x v="28"/>
    <n v="2002"/>
    <s v="Flood"/>
    <x v="10"/>
    <n v="0"/>
  </r>
  <r>
    <s v="2002-0330-PAK"/>
    <x v="28"/>
    <n v="2002"/>
    <s v="Storm"/>
    <x v="473"/>
    <n v="0"/>
  </r>
  <r>
    <s v="2003-0359-PAK"/>
    <x v="28"/>
    <n v="2003"/>
    <s v="Flood"/>
    <x v="1129"/>
    <n v="0"/>
  </r>
  <r>
    <s v="2003-0387-PAK"/>
    <x v="28"/>
    <n v="2003"/>
    <s v="Flood"/>
    <x v="7"/>
    <n v="0"/>
  </r>
  <r>
    <s v="2003-0681-PAK"/>
    <x v="28"/>
    <n v="2003"/>
    <s v="Flood"/>
    <x v="31"/>
    <n v="0"/>
  </r>
  <r>
    <s v="2003-0086-PAK"/>
    <x v="28"/>
    <n v="2003"/>
    <s v="Storm"/>
    <x v="1130"/>
    <n v="0"/>
  </r>
  <r>
    <s v="2004-0054-PAK"/>
    <x v="28"/>
    <n v="2004"/>
    <s v="Earthquake"/>
    <x v="1131"/>
    <n v="0"/>
  </r>
  <r>
    <s v="2004-0298-PAK"/>
    <x v="28"/>
    <n v="2004"/>
    <s v="Flood"/>
    <x v="7"/>
    <n v="0"/>
  </r>
  <r>
    <s v="2004-0734-PAK"/>
    <x v="28"/>
    <n v="2004"/>
    <s v="Flood"/>
    <x v="7"/>
    <n v="0"/>
  </r>
  <r>
    <s v="2005-0575-PAK"/>
    <x v="28"/>
    <n v="2005"/>
    <s v="Earthquake"/>
    <x v="1132"/>
    <n v="5200000"/>
  </r>
  <r>
    <s v="2005-0079-PAK"/>
    <x v="28"/>
    <n v="2005"/>
    <s v="Flood"/>
    <x v="1133"/>
    <n v="30000"/>
  </r>
  <r>
    <s v="2005-0170-PAK"/>
    <x v="28"/>
    <n v="2005"/>
    <s v="Flood"/>
    <x v="44"/>
    <n v="0"/>
  </r>
  <r>
    <s v="2005-0192-PAK"/>
    <x v="28"/>
    <n v="2005"/>
    <s v="Flood"/>
    <x v="628"/>
    <n v="0"/>
  </r>
  <r>
    <s v="2005-0360-PAK"/>
    <x v="28"/>
    <n v="2005"/>
    <s v="Flood"/>
    <x v="1134"/>
    <n v="0"/>
  </r>
  <r>
    <s v="2005-0746-PAK"/>
    <x v="28"/>
    <n v="2005"/>
    <s v="Flood"/>
    <x v="1135"/>
    <n v="0"/>
  </r>
  <r>
    <s v="2005-0044-PAK"/>
    <x v="28"/>
    <n v="2005"/>
    <s v="Storm"/>
    <x v="7"/>
    <n v="0"/>
  </r>
  <r>
    <s v="2006-0365-PAK"/>
    <x v="28"/>
    <n v="2006"/>
    <s v="Flood"/>
    <x v="98"/>
    <n v="0"/>
  </r>
  <r>
    <s v="2006-0389-PAK"/>
    <x v="28"/>
    <n v="2006"/>
    <s v="Flood"/>
    <x v="9"/>
    <n v="0"/>
  </r>
  <r>
    <s v="2006-0414-PAK"/>
    <x v="28"/>
    <n v="2006"/>
    <s v="Flood"/>
    <x v="461"/>
    <n v="0"/>
  </r>
  <r>
    <s v="2006-0417-PAK"/>
    <x v="28"/>
    <n v="2006"/>
    <s v="Flood"/>
    <x v="7"/>
    <n v="0"/>
  </r>
  <r>
    <s v="2006-0548-PAK"/>
    <x v="28"/>
    <n v="2006"/>
    <s v="Flood"/>
    <x v="7"/>
    <n v="0"/>
  </r>
  <r>
    <s v="2006-0663-PAK"/>
    <x v="28"/>
    <n v="2006"/>
    <s v="Flood"/>
    <x v="7"/>
    <n v="0"/>
  </r>
  <r>
    <s v="2006-0733-PAK"/>
    <x v="28"/>
    <n v="2006"/>
    <s v="Flood"/>
    <x v="1136"/>
    <n v="0"/>
  </r>
  <r>
    <s v="2007-0241-PAK"/>
    <x v="28"/>
    <n v="2007"/>
    <s v="Flood"/>
    <x v="9"/>
    <n v="0"/>
  </r>
  <r>
    <s v="2007-0249-PAK"/>
    <x v="28"/>
    <n v="2007"/>
    <s v="Flood"/>
    <x v="1137"/>
    <n v="0"/>
  </r>
  <r>
    <s v="2007-0255-PAK"/>
    <x v="28"/>
    <n v="2007"/>
    <s v="Flood"/>
    <x v="20"/>
    <n v="0"/>
  </r>
  <r>
    <s v="2007-0284-PAK"/>
    <x v="28"/>
    <n v="2007"/>
    <s v="Flood"/>
    <x v="7"/>
    <n v="0"/>
  </r>
  <r>
    <s v="2007-0348-PAK"/>
    <x v="28"/>
    <n v="2007"/>
    <s v="Flood"/>
    <x v="31"/>
    <n v="327118"/>
  </r>
  <r>
    <s v="2007-0412-PAK"/>
    <x v="28"/>
    <n v="2007"/>
    <s v="Flood"/>
    <x v="7"/>
    <n v="0"/>
  </r>
  <r>
    <s v="2007-0245-PAK"/>
    <x v="28"/>
    <n v="2007"/>
    <s v="Storm"/>
    <x v="1138"/>
    <n v="1620000"/>
  </r>
  <r>
    <s v="2008-0500-PAK"/>
    <x v="28"/>
    <n v="2008"/>
    <s v="Earthquake"/>
    <x v="1139"/>
    <n v="10000"/>
  </r>
  <r>
    <s v="2008-0208-PAK"/>
    <x v="28"/>
    <n v="2008"/>
    <s v="Flood"/>
    <x v="7"/>
    <n v="0"/>
  </r>
  <r>
    <s v="2008-0350-PAK"/>
    <x v="28"/>
    <n v="2008"/>
    <s v="Flood"/>
    <x v="1140"/>
    <n v="103000"/>
  </r>
  <r>
    <s v="2008-0591-PAK"/>
    <x v="28"/>
    <n v="2008"/>
    <s v="Flood"/>
    <x v="1141"/>
    <n v="0"/>
  </r>
  <r>
    <s v="2009-0149-PAK"/>
    <x v="28"/>
    <n v="2009"/>
    <s v="Flood"/>
    <x v="230"/>
    <n v="0"/>
  </r>
  <r>
    <s v="2009-0266-PAK"/>
    <x v="28"/>
    <n v="2009"/>
    <s v="Flood"/>
    <x v="101"/>
    <n v="0"/>
  </r>
  <r>
    <s v="2009-0335-PAK"/>
    <x v="28"/>
    <n v="2009"/>
    <s v="Flood"/>
    <x v="129"/>
    <n v="0"/>
  </r>
  <r>
    <s v="2010-0053-PAK"/>
    <x v="28"/>
    <n v="2010"/>
    <s v="Flood"/>
    <x v="7"/>
    <n v="0"/>
  </r>
  <r>
    <s v="2010-0282-PAK"/>
    <x v="28"/>
    <n v="2010"/>
    <s v="Flood"/>
    <x v="7"/>
    <n v="0"/>
  </r>
  <r>
    <s v="2010-0293-PAK"/>
    <x v="28"/>
    <n v="2010"/>
    <s v="Flood"/>
    <x v="36"/>
    <n v="0"/>
  </r>
  <r>
    <s v="2010-0341-PAK"/>
    <x v="28"/>
    <n v="2010"/>
    <s v="Flood"/>
    <x v="1142"/>
    <n v="9500000"/>
  </r>
  <r>
    <s v="2010-0210-PAK"/>
    <x v="28"/>
    <n v="2010"/>
    <s v="Storm"/>
    <x v="36"/>
    <n v="80000"/>
  </r>
  <r>
    <s v="2011-0104-PAK"/>
    <x v="28"/>
    <n v="2011"/>
    <s v="Earthquake"/>
    <x v="10"/>
    <n v="0"/>
  </r>
  <r>
    <s v="2011-0347-PAK"/>
    <x v="28"/>
    <n v="2011"/>
    <s v="Flood"/>
    <x v="1143"/>
    <n v="2500000"/>
  </r>
  <r>
    <s v="2012-0325-PAK"/>
    <x v="28"/>
    <n v="2012"/>
    <s v="Flood"/>
    <x v="7"/>
    <n v="0"/>
  </r>
  <r>
    <s v="2012-0363-PAK"/>
    <x v="28"/>
    <n v="2012"/>
    <s v="Flood"/>
    <x v="1144"/>
    <n v="2500000"/>
  </r>
  <r>
    <s v="2012-0475-PAK"/>
    <x v="28"/>
    <n v="2012"/>
    <s v="Flood"/>
    <x v="6"/>
    <n v="0"/>
  </r>
  <r>
    <s v="2013-0099-PAK"/>
    <x v="28"/>
    <n v="2013"/>
    <s v="Earthquake"/>
    <x v="1145"/>
    <n v="0"/>
  </r>
  <r>
    <s v="2013-0381-PAK"/>
    <x v="28"/>
    <n v="2013"/>
    <s v="Earthquake"/>
    <x v="1146"/>
    <n v="100000"/>
  </r>
  <r>
    <s v="2013-0484-PAK"/>
    <x v="28"/>
    <n v="2013"/>
    <s v="Earthquake"/>
    <x v="97"/>
    <n v="0"/>
  </r>
  <r>
    <s v="2013-0068-PAK"/>
    <x v="28"/>
    <n v="2013"/>
    <s v="Flood"/>
    <x v="1147"/>
    <n v="0"/>
  </r>
  <r>
    <s v="2013-0276-PAK"/>
    <x v="28"/>
    <n v="2013"/>
    <s v="Flood"/>
    <x v="1148"/>
    <n v="1500000"/>
  </r>
  <r>
    <s v="2014-0343-PAK"/>
    <x v="28"/>
    <n v="2014"/>
    <s v="Flood"/>
    <x v="1149"/>
    <n v="2000000"/>
  </r>
  <r>
    <s v="2014-0322-PAK"/>
    <x v="28"/>
    <n v="2014"/>
    <s v="Storm"/>
    <x v="1150"/>
    <n v="0"/>
  </r>
  <r>
    <s v="2015-0476-PAK"/>
    <x v="28"/>
    <n v="2015"/>
    <s v="Earthquake"/>
    <x v="1151"/>
    <n v="0"/>
  </r>
  <r>
    <s v="2015-0571-PAK"/>
    <x v="28"/>
    <n v="2015"/>
    <s v="Earthquake"/>
    <x v="1152"/>
    <n v="0"/>
  </r>
  <r>
    <s v="2015-0124-PAK"/>
    <x v="28"/>
    <n v="2015"/>
    <s v="Flood"/>
    <x v="7"/>
    <n v="0"/>
  </r>
  <r>
    <s v="2015-0145-PAK"/>
    <x v="28"/>
    <n v="2015"/>
    <s v="Flood"/>
    <x v="1153"/>
    <n v="1000"/>
  </r>
  <r>
    <s v="2015-0215-PAK"/>
    <x v="28"/>
    <n v="2015"/>
    <s v="Flood"/>
    <x v="7"/>
    <n v="0"/>
  </r>
  <r>
    <s v="2015-0288-PAK"/>
    <x v="28"/>
    <n v="2015"/>
    <s v="Flood"/>
    <x v="7"/>
    <n v="0"/>
  </r>
  <r>
    <s v="2015-0291-PAK"/>
    <x v="28"/>
    <n v="2015"/>
    <s v="Flood"/>
    <x v="1154"/>
    <n v="0"/>
  </r>
  <r>
    <s v="2015-0333-PAK"/>
    <x v="28"/>
    <n v="2015"/>
    <s v="Flood"/>
    <x v="7"/>
    <n v="0"/>
  </r>
  <r>
    <s v="2016-0100-PAK"/>
    <x v="28"/>
    <n v="2016"/>
    <s v="Earthquake"/>
    <x v="966"/>
    <n v="0"/>
  </r>
  <r>
    <s v="2016-0112-PAK"/>
    <x v="28"/>
    <n v="2016"/>
    <s v="Flood"/>
    <x v="1155"/>
    <n v="0"/>
  </r>
  <r>
    <s v="2016-0240-PAK"/>
    <x v="28"/>
    <n v="2016"/>
    <s v="Flood"/>
    <x v="1156"/>
    <n v="0"/>
  </r>
  <r>
    <s v="2016-0270-PAK"/>
    <x v="28"/>
    <n v="2016"/>
    <s v="Flood"/>
    <x v="14"/>
    <n v="0"/>
  </r>
  <r>
    <s v="2016-0375-PAK"/>
    <x v="28"/>
    <n v="2016"/>
    <s v="Flood"/>
    <x v="1157"/>
    <n v="0"/>
  </r>
  <r>
    <s v="2016-0387-PAK"/>
    <x v="28"/>
    <n v="2016"/>
    <s v="Flood"/>
    <x v="7"/>
    <n v="0"/>
  </r>
  <r>
    <s v="2016-0553-PAK"/>
    <x v="28"/>
    <n v="2016"/>
    <s v="Flood"/>
    <x v="1158"/>
    <n v="2000"/>
  </r>
  <r>
    <s v="2016-0554-PAK"/>
    <x v="28"/>
    <n v="2016"/>
    <s v="Flood"/>
    <x v="1159"/>
    <n v="0"/>
  </r>
  <r>
    <s v="2016-0229-PAK"/>
    <x v="28"/>
    <n v="2016"/>
    <s v="Storm"/>
    <x v="1160"/>
    <n v="0"/>
  </r>
  <r>
    <s v="2017-0045-PAK"/>
    <x v="28"/>
    <n v="2017"/>
    <s v="Flood"/>
    <x v="1161"/>
    <n v="0"/>
  </r>
  <r>
    <s v="2017-0243-PAK"/>
    <x v="28"/>
    <n v="2017"/>
    <s v="Flood"/>
    <x v="1162"/>
    <n v="110000"/>
  </r>
  <r>
    <s v="2017-0145-PAK"/>
    <x v="28"/>
    <n v="2017"/>
    <s v="Storm"/>
    <x v="7"/>
    <n v="0"/>
  </r>
  <r>
    <s v="2017-0181-PAK"/>
    <x v="28"/>
    <n v="2017"/>
    <s v="Storm"/>
    <x v="489"/>
    <n v="0"/>
  </r>
  <r>
    <s v="2018-0212-PAK"/>
    <x v="28"/>
    <n v="2018"/>
    <s v="Flood"/>
    <x v="44"/>
    <n v="0"/>
  </r>
  <r>
    <s v="2019-9023-PAK"/>
    <x v="28"/>
    <n v="2019"/>
    <s v="Drought"/>
    <x v="1163"/>
    <n v="0"/>
  </r>
  <r>
    <s v="2019-0460-PAK"/>
    <x v="28"/>
    <n v="2019"/>
    <s v="Earthquake"/>
    <x v="1164"/>
    <n v="17000"/>
  </r>
  <r>
    <s v="2019-0082-PAK"/>
    <x v="28"/>
    <n v="2019"/>
    <s v="Flood"/>
    <x v="828"/>
    <n v="0"/>
  </r>
  <r>
    <s v="2019-0201-PAK"/>
    <x v="28"/>
    <n v="2019"/>
    <s v="Flood"/>
    <x v="7"/>
    <n v="0"/>
  </r>
  <r>
    <s v="2019-0346-PAK"/>
    <x v="28"/>
    <n v="2019"/>
    <s v="Flood"/>
    <x v="1165"/>
    <n v="0"/>
  </r>
  <r>
    <s v="2019-0372-PAK"/>
    <x v="28"/>
    <n v="2019"/>
    <s v="Flood"/>
    <x v="7"/>
    <n v="0"/>
  </r>
  <r>
    <s v="2019-0386-PAK"/>
    <x v="28"/>
    <n v="2019"/>
    <s v="Flood"/>
    <x v="94"/>
    <n v="0"/>
  </r>
  <r>
    <s v="2019-0464-PAK"/>
    <x v="28"/>
    <n v="2019"/>
    <s v="Flood"/>
    <x v="7"/>
    <n v="0"/>
  </r>
  <r>
    <s v="2019-0470-PAK"/>
    <x v="28"/>
    <n v="2019"/>
    <s v="Flood"/>
    <x v="7"/>
    <n v="0"/>
  </r>
  <r>
    <s v="2019-0471-PAK"/>
    <x v="28"/>
    <n v="2019"/>
    <s v="Flood"/>
    <x v="7"/>
    <n v="0"/>
  </r>
  <r>
    <s v="2019-0155-PAK"/>
    <x v="28"/>
    <n v="2019"/>
    <s v="Storm"/>
    <x v="243"/>
    <n v="0"/>
  </r>
  <r>
    <s v="2020-0095-PAK"/>
    <x v="28"/>
    <n v="2020"/>
    <s v="Flood"/>
    <x v="1166"/>
    <n v="0"/>
  </r>
  <r>
    <s v="2020-0133-PAK"/>
    <x v="28"/>
    <n v="2020"/>
    <s v="Flood"/>
    <x v="1167"/>
    <n v="0"/>
  </r>
  <r>
    <s v="2020-0249-PAK"/>
    <x v="28"/>
    <n v="2020"/>
    <s v="Flood"/>
    <x v="44"/>
    <n v="0"/>
  </r>
  <r>
    <s v="2020-0357-PAK"/>
    <x v="28"/>
    <n v="2020"/>
    <s v="Flood"/>
    <x v="1168"/>
    <n v="1500000"/>
  </r>
  <r>
    <s v="2020-0010-PAK"/>
    <x v="28"/>
    <n v="2020"/>
    <s v="Storm"/>
    <x v="1169"/>
    <n v="0"/>
  </r>
  <r>
    <s v="2021-0654-PAK"/>
    <x v="28"/>
    <n v="2021"/>
    <s v="Earthquake"/>
    <x v="1170"/>
    <n v="0"/>
  </r>
  <r>
    <s v="2021-0205-PAK"/>
    <x v="28"/>
    <n v="2021"/>
    <s v="Flood"/>
    <x v="1171"/>
    <n v="0"/>
  </r>
  <r>
    <s v="2021-0456-PAK"/>
    <x v="28"/>
    <n v="2021"/>
    <s v="Flood"/>
    <x v="1172"/>
    <n v="0"/>
  </r>
  <r>
    <s v="2021-0596-PAK"/>
    <x v="28"/>
    <n v="2021"/>
    <s v="Flood"/>
    <x v="94"/>
    <n v="0"/>
  </r>
  <r>
    <s v="2021-0846-PAK"/>
    <x v="28"/>
    <n v="2021"/>
    <s v="Flood"/>
    <x v="7"/>
    <n v="10000"/>
  </r>
  <r>
    <s v="2021-0342-PAK"/>
    <x v="28"/>
    <n v="2021"/>
    <s v="Storm"/>
    <x v="171"/>
    <n v="0"/>
  </r>
  <r>
    <s v="2021-0429-PAK"/>
    <x v="28"/>
    <n v="2021"/>
    <s v="Storm"/>
    <x v="828"/>
    <n v="0"/>
  </r>
  <r>
    <s v="2022-0342-PAK"/>
    <x v="28"/>
    <n v="2022"/>
    <s v="Earthquake"/>
    <x v="7"/>
    <n v="0"/>
  </r>
  <r>
    <s v="2022-0405-PAK"/>
    <x v="28"/>
    <n v="2022"/>
    <s v="Flood"/>
    <x v="1173"/>
    <n v="15000000"/>
  </r>
  <r>
    <s v="2022-0014-PAK"/>
    <x v="28"/>
    <n v="2022"/>
    <s v="Storm"/>
    <x v="7"/>
    <n v="0"/>
  </r>
  <r>
    <s v="2023-0156-PAK"/>
    <x v="28"/>
    <n v="2023"/>
    <s v="Earthquake"/>
    <x v="1174"/>
    <n v="0"/>
  </r>
  <r>
    <s v="2023-0159-PAK"/>
    <x v="28"/>
    <n v="2023"/>
    <s v="Flood"/>
    <x v="7"/>
    <n v="0"/>
  </r>
  <r>
    <s v="2023-0173-PAK"/>
    <x v="28"/>
    <n v="2023"/>
    <s v="Flood"/>
    <x v="97"/>
    <n v="0"/>
  </r>
  <r>
    <s v="2023-0208-PAK"/>
    <x v="28"/>
    <n v="2023"/>
    <s v="Flood"/>
    <x v="1175"/>
    <n v="0"/>
  </r>
  <r>
    <s v="2023-0266-PAK"/>
    <x v="28"/>
    <n v="2023"/>
    <s v="Flood"/>
    <x v="14"/>
    <n v="0"/>
  </r>
  <r>
    <s v="2023-0354-PAK"/>
    <x v="28"/>
    <n v="2023"/>
    <s v="Flood"/>
    <x v="1176"/>
    <n v="0"/>
  </r>
  <r>
    <s v="2023-0428-PAK"/>
    <x v="28"/>
    <n v="2023"/>
    <s v="Flood"/>
    <x v="1177"/>
    <n v="0"/>
  </r>
  <r>
    <s v="2023-0462-PAK"/>
    <x v="28"/>
    <n v="2023"/>
    <s v="Flood"/>
    <x v="7"/>
    <n v="0"/>
  </r>
  <r>
    <s v="2023-0542-PAK"/>
    <x v="28"/>
    <n v="2023"/>
    <s v="Flood"/>
    <x v="7"/>
    <n v="0"/>
  </r>
  <r>
    <s v="2023-0571-PAK"/>
    <x v="28"/>
    <n v="2023"/>
    <s v="Flood"/>
    <x v="1178"/>
    <n v="0"/>
  </r>
  <r>
    <s v="2023-0331-PAK"/>
    <x v="28"/>
    <n v="2023"/>
    <s v="Storm"/>
    <x v="7"/>
    <n v="0"/>
  </r>
  <r>
    <s v="2024-0120-PAK"/>
    <x v="28"/>
    <n v="2024"/>
    <s v="Flood"/>
    <x v="1179"/>
    <n v="0"/>
  </r>
  <r>
    <s v="2024-0481-PAK"/>
    <x v="28"/>
    <n v="2024"/>
    <s v="Flood"/>
    <x v="1180"/>
    <n v="0"/>
  </r>
  <r>
    <s v="2024-0190-PAK"/>
    <x v="28"/>
    <n v="2024"/>
    <s v="Storm"/>
    <x v="1181"/>
    <n v="0"/>
  </r>
  <r>
    <s v="2024-0263-PAK"/>
    <x v="28"/>
    <n v="2024"/>
    <s v="Storm"/>
    <x v="1182"/>
    <n v="0"/>
  </r>
  <r>
    <s v="2001-0294-PER"/>
    <x v="29"/>
    <n v="2001"/>
    <s v="Earthquake"/>
    <x v="1183"/>
    <n v="300000"/>
  </r>
  <r>
    <s v="2001-0751-PER"/>
    <x v="29"/>
    <n v="2001"/>
    <s v="Earthquake"/>
    <x v="368"/>
    <n v="0"/>
  </r>
  <r>
    <s v="2001-0754-PER"/>
    <x v="29"/>
    <n v="2001"/>
    <s v="Earthquake"/>
    <x v="1184"/>
    <n v="0"/>
  </r>
  <r>
    <s v="2001-0117-PER"/>
    <x v="29"/>
    <n v="2001"/>
    <s v="Flood"/>
    <x v="848"/>
    <n v="0"/>
  </r>
  <r>
    <s v="2001-0271-PER"/>
    <x v="29"/>
    <n v="2001"/>
    <s v="Flood"/>
    <x v="1185"/>
    <n v="0"/>
  </r>
  <r>
    <s v="2001-0703-PER"/>
    <x v="29"/>
    <n v="2001"/>
    <s v="Flood"/>
    <x v="33"/>
    <n v="0"/>
  </r>
  <r>
    <s v="2002-9843-PER"/>
    <x v="29"/>
    <n v="2002"/>
    <s v="Drought"/>
    <x v="1186"/>
    <n v="0"/>
  </r>
  <r>
    <s v="2002-0077-PER"/>
    <x v="29"/>
    <n v="2002"/>
    <s v="Flood"/>
    <x v="1187"/>
    <n v="0"/>
  </r>
  <r>
    <s v="2002-0187-PER"/>
    <x v="29"/>
    <n v="2002"/>
    <s v="Flood"/>
    <x v="1188"/>
    <n v="0"/>
  </r>
  <r>
    <s v="2002-0708-PER"/>
    <x v="29"/>
    <n v="2002"/>
    <s v="Flood"/>
    <x v="945"/>
    <n v="0"/>
  </r>
  <r>
    <s v="2002-0429-PER"/>
    <x v="29"/>
    <n v="2002"/>
    <s v="Storm"/>
    <x v="1189"/>
    <n v="0"/>
  </r>
  <r>
    <s v="2003-0051-PER"/>
    <x v="29"/>
    <n v="2003"/>
    <s v="Flood"/>
    <x v="1190"/>
    <n v="0"/>
  </r>
  <r>
    <s v="2003-0644-PER"/>
    <x v="29"/>
    <n v="2003"/>
    <s v="Flood"/>
    <x v="1191"/>
    <n v="0"/>
  </r>
  <r>
    <s v="2004-9063-PER"/>
    <x v="29"/>
    <n v="2004"/>
    <s v="Drought"/>
    <x v="7"/>
    <n v="0"/>
  </r>
  <r>
    <s v="2004-0200-PER"/>
    <x v="29"/>
    <n v="2004"/>
    <s v="Flood"/>
    <x v="559"/>
    <n v="0"/>
  </r>
  <r>
    <s v="2005-0321-PER"/>
    <x v="29"/>
    <n v="2005"/>
    <s v="Earthquake"/>
    <x v="7"/>
    <n v="50"/>
  </r>
  <r>
    <s v="2005-0558-PER"/>
    <x v="29"/>
    <n v="2005"/>
    <s v="Earthquake"/>
    <x v="1192"/>
    <n v="0"/>
  </r>
  <r>
    <s v="2006-9016-PER"/>
    <x v="29"/>
    <n v="2006"/>
    <s v="Drought"/>
    <x v="7"/>
    <n v="0"/>
  </r>
  <r>
    <s v="2006-0147-PER"/>
    <x v="29"/>
    <n v="2006"/>
    <s v="Flood"/>
    <x v="1193"/>
    <n v="0"/>
  </r>
  <r>
    <s v="2007-0362-PER"/>
    <x v="29"/>
    <n v="2007"/>
    <s v="Earthquake"/>
    <x v="1194"/>
    <n v="600000"/>
  </r>
  <r>
    <s v="2007-0039-PER"/>
    <x v="29"/>
    <n v="2007"/>
    <s v="Flood"/>
    <x v="1195"/>
    <n v="0"/>
  </r>
  <r>
    <s v="2008-0064-PER"/>
    <x v="29"/>
    <n v="2008"/>
    <s v="Flood"/>
    <x v="1196"/>
    <n v="0"/>
  </r>
  <r>
    <s v="2009-0660-PER"/>
    <x v="29"/>
    <n v="2009"/>
    <s v="Flood"/>
    <x v="1197"/>
    <n v="0"/>
  </r>
  <r>
    <s v="2010-0065-PER"/>
    <x v="29"/>
    <n v="2010"/>
    <s v="Flood"/>
    <x v="583"/>
    <n v="0"/>
  </r>
  <r>
    <s v="2011-0443-PER"/>
    <x v="29"/>
    <n v="2011"/>
    <s v="Earthquake"/>
    <x v="1198"/>
    <n v="0"/>
  </r>
  <r>
    <s v="2011-0064-PER"/>
    <x v="29"/>
    <n v="2011"/>
    <s v="Flood"/>
    <x v="122"/>
    <n v="0"/>
  </r>
  <r>
    <s v="2011-0556-PER"/>
    <x v="29"/>
    <n v="2011"/>
    <s v="Flood"/>
    <x v="139"/>
    <n v="0"/>
  </r>
  <r>
    <s v="2011-0660-PER"/>
    <x v="29"/>
    <n v="2011"/>
    <s v="Flood"/>
    <x v="1199"/>
    <n v="0"/>
  </r>
  <r>
    <s v="2011-0583-PER"/>
    <x v="29"/>
    <n v="2011"/>
    <s v="Storm"/>
    <x v="7"/>
    <n v="0"/>
  </r>
  <r>
    <s v="2012-0020-PER"/>
    <x v="29"/>
    <n v="2012"/>
    <s v="Earthquake"/>
    <x v="1200"/>
    <n v="0"/>
  </r>
  <r>
    <s v="2012-0402-PER"/>
    <x v="29"/>
    <n v="2012"/>
    <s v="Flood"/>
    <x v="1201"/>
    <n v="0"/>
  </r>
  <r>
    <s v="2013-0409-PER"/>
    <x v="29"/>
    <n v="2013"/>
    <s v="Earthquake"/>
    <x v="1202"/>
    <n v="0"/>
  </r>
  <r>
    <s v="2013-0056-PER"/>
    <x v="29"/>
    <n v="2013"/>
    <s v="Flood"/>
    <x v="1203"/>
    <n v="0"/>
  </r>
  <r>
    <s v="2013-0578-PER"/>
    <x v="29"/>
    <n v="2013"/>
    <s v="Flood"/>
    <x v="641"/>
    <n v="0"/>
  </r>
  <r>
    <s v="2014-0334-PER"/>
    <x v="29"/>
    <n v="2014"/>
    <s v="Earthquake"/>
    <x v="1204"/>
    <n v="0"/>
  </r>
  <r>
    <s v="2014-0040-PER"/>
    <x v="29"/>
    <n v="2014"/>
    <s v="Flood"/>
    <x v="221"/>
    <n v="0"/>
  </r>
  <r>
    <s v="2014-0529-PER"/>
    <x v="29"/>
    <n v="2014"/>
    <s v="Flood"/>
    <x v="1205"/>
    <n v="0"/>
  </r>
  <r>
    <s v="2014-0534-PER"/>
    <x v="29"/>
    <n v="2014"/>
    <s v="Flood"/>
    <x v="7"/>
    <n v="0"/>
  </r>
  <r>
    <s v="2015-0199-PER"/>
    <x v="29"/>
    <n v="2015"/>
    <s v="Flood"/>
    <x v="1206"/>
    <n v="0"/>
  </r>
  <r>
    <s v="2015-0522-PER"/>
    <x v="29"/>
    <n v="2015"/>
    <s v="Flood"/>
    <x v="1207"/>
    <n v="0"/>
  </r>
  <r>
    <s v="2016-0298-PER"/>
    <x v="29"/>
    <n v="2016"/>
    <s v="Earthquake"/>
    <x v="1208"/>
    <n v="0"/>
  </r>
  <r>
    <s v="2016-0464-PER"/>
    <x v="29"/>
    <n v="2016"/>
    <s v="Earthquake"/>
    <x v="1209"/>
    <n v="0"/>
  </r>
  <r>
    <s v="2016-0054-PER"/>
    <x v="29"/>
    <n v="2016"/>
    <s v="Flood"/>
    <x v="122"/>
    <n v="2000"/>
  </r>
  <r>
    <s v="2017-0036-PER"/>
    <x v="29"/>
    <n v="2017"/>
    <s v="Flood"/>
    <x v="1210"/>
    <n v="100000"/>
  </r>
  <r>
    <s v="2017-0052-PER"/>
    <x v="29"/>
    <n v="2017"/>
    <s v="Flood"/>
    <x v="172"/>
    <n v="0"/>
  </r>
  <r>
    <s v="2017-0084-PER"/>
    <x v="29"/>
    <n v="2017"/>
    <s v="Flood"/>
    <x v="1211"/>
    <n v="3100000"/>
  </r>
  <r>
    <s v="2018-0011-PER"/>
    <x v="29"/>
    <n v="2018"/>
    <s v="Earthquake"/>
    <x v="1212"/>
    <n v="0"/>
  </r>
  <r>
    <s v="2019-0243-PER"/>
    <x v="29"/>
    <n v="2019"/>
    <s v="Earthquake"/>
    <x v="1213"/>
    <n v="0"/>
  </r>
  <r>
    <s v="2019-0072-PER"/>
    <x v="29"/>
    <n v="2019"/>
    <s v="Flood"/>
    <x v="1214"/>
    <n v="0"/>
  </r>
  <r>
    <s v="2019-0093-PER"/>
    <x v="29"/>
    <n v="2019"/>
    <s v="Flood"/>
    <x v="7"/>
    <n v="0"/>
  </r>
  <r>
    <s v="2019-0647-PER"/>
    <x v="29"/>
    <n v="2019"/>
    <s v="Flood"/>
    <x v="899"/>
    <n v="0"/>
  </r>
  <r>
    <s v="2020-0032-PER"/>
    <x v="29"/>
    <n v="2020"/>
    <s v="Flood"/>
    <x v="1215"/>
    <n v="0"/>
  </r>
  <r>
    <s v="2020-0094-PER"/>
    <x v="29"/>
    <n v="2020"/>
    <s v="Flood"/>
    <x v="1216"/>
    <n v="10000"/>
  </r>
  <r>
    <s v="2020-0122-PER"/>
    <x v="29"/>
    <n v="2020"/>
    <s v="Flood"/>
    <x v="1217"/>
    <n v="0"/>
  </r>
  <r>
    <s v="2021-0462-PER"/>
    <x v="29"/>
    <n v="2021"/>
    <s v="Earthquake"/>
    <x v="1218"/>
    <n v="0"/>
  </r>
  <r>
    <s v="2021-0758-PER"/>
    <x v="29"/>
    <n v="2021"/>
    <s v="Earthquake"/>
    <x v="1219"/>
    <n v="0"/>
  </r>
  <r>
    <s v="2021-0094-PER"/>
    <x v="29"/>
    <n v="2021"/>
    <s v="Flood"/>
    <x v="1220"/>
    <n v="0"/>
  </r>
  <r>
    <s v="2021-0098-PER"/>
    <x v="29"/>
    <n v="2021"/>
    <s v="Flood"/>
    <x v="172"/>
    <n v="25000"/>
  </r>
  <r>
    <s v="2021-0101-PER"/>
    <x v="29"/>
    <n v="2021"/>
    <s v="Flood"/>
    <x v="1056"/>
    <n v="0"/>
  </r>
  <r>
    <s v="2021-0145-PER"/>
    <x v="29"/>
    <n v="2021"/>
    <s v="Flood"/>
    <x v="68"/>
    <n v="0"/>
  </r>
  <r>
    <s v="2021-0170-PER"/>
    <x v="29"/>
    <n v="2021"/>
    <s v="Flood"/>
    <x v="221"/>
    <n v="0"/>
  </r>
  <r>
    <s v="2021-0212-PER"/>
    <x v="29"/>
    <n v="2021"/>
    <s v="Flood"/>
    <x v="1221"/>
    <n v="0"/>
  </r>
  <r>
    <s v="2021-0235-PER"/>
    <x v="29"/>
    <n v="2021"/>
    <s v="Flood"/>
    <x v="427"/>
    <n v="0"/>
  </r>
  <r>
    <s v="2021-0712-PER"/>
    <x v="29"/>
    <n v="2021"/>
    <s v="Flood"/>
    <x v="1222"/>
    <n v="0"/>
  </r>
  <r>
    <s v="2022-0079-PER"/>
    <x v="29"/>
    <n v="2022"/>
    <s v="Earthquake"/>
    <x v="98"/>
    <n v="0"/>
  </r>
  <r>
    <s v="2022-0430-PER"/>
    <x v="29"/>
    <n v="2022"/>
    <s v="Earthquake"/>
    <x v="747"/>
    <n v="0"/>
  </r>
  <r>
    <s v="2022-0058-PER"/>
    <x v="29"/>
    <n v="2022"/>
    <s v="Flood"/>
    <x v="20"/>
    <n v="0"/>
  </r>
  <r>
    <s v="2023-0155-PER"/>
    <x v="29"/>
    <n v="2023"/>
    <s v="Earthquake"/>
    <x v="1223"/>
    <n v="0"/>
  </r>
  <r>
    <s v="2023-0137-PER"/>
    <x v="29"/>
    <n v="2023"/>
    <s v="Flood"/>
    <x v="1224"/>
    <n v="0"/>
  </r>
  <r>
    <s v="2023-0221-PER"/>
    <x v="29"/>
    <n v="2023"/>
    <s v="Flood"/>
    <x v="1225"/>
    <n v="305000"/>
  </r>
  <r>
    <s v="2023-0814-PER"/>
    <x v="29"/>
    <n v="2023"/>
    <s v="Flood"/>
    <x v="987"/>
    <n v="0"/>
  </r>
  <r>
    <s v="2023-0238-PER"/>
    <x v="29"/>
    <n v="2023"/>
    <s v="Storm"/>
    <x v="402"/>
    <n v="705000"/>
  </r>
  <r>
    <s v="2024-0473-PER"/>
    <x v="29"/>
    <n v="2024"/>
    <s v="Earthquake"/>
    <x v="1226"/>
    <n v="0"/>
  </r>
  <r>
    <s v="2024-0103-PER"/>
    <x v="29"/>
    <n v="2024"/>
    <s v="Flood"/>
    <x v="1227"/>
    <n v="0"/>
  </r>
  <r>
    <s v="2024-0162-PER"/>
    <x v="29"/>
    <n v="2024"/>
    <s v="Flood"/>
    <x v="758"/>
    <n v="0"/>
  </r>
  <r>
    <s v="2024-0052-PER"/>
    <x v="29"/>
    <n v="2024"/>
    <s v="Storm"/>
    <x v="1228"/>
    <n v="0"/>
  </r>
  <r>
    <s v="2001-0079-ROU"/>
    <x v="30"/>
    <n v="2001"/>
    <s v="Flood"/>
    <x v="36"/>
    <n v="15000"/>
  </r>
  <r>
    <s v="2001-0288-ROU"/>
    <x v="30"/>
    <n v="2001"/>
    <s v="Flood"/>
    <x v="1229"/>
    <n v="120000"/>
  </r>
  <r>
    <s v="2002-0447-ROU"/>
    <x v="30"/>
    <n v="2002"/>
    <s v="Flood"/>
    <x v="681"/>
    <n v="0"/>
  </r>
  <r>
    <s v="2002-0466-ROU"/>
    <x v="30"/>
    <n v="2002"/>
    <s v="Flood"/>
    <x v="977"/>
    <n v="0"/>
  </r>
  <r>
    <s v="2002-0471-ROU"/>
    <x v="30"/>
    <n v="2002"/>
    <s v="Flood"/>
    <x v="1230"/>
    <n v="290"/>
  </r>
  <r>
    <s v="2003-0001-ROU"/>
    <x v="30"/>
    <n v="2003"/>
    <s v="Flood"/>
    <x v="7"/>
    <n v="0"/>
  </r>
  <r>
    <s v="2003-0048-ROU"/>
    <x v="30"/>
    <n v="2003"/>
    <s v="Flood"/>
    <x v="118"/>
    <n v="0"/>
  </r>
  <r>
    <s v="2004-0365-ROU"/>
    <x v="30"/>
    <n v="2004"/>
    <s v="Flood"/>
    <x v="1231"/>
    <n v="0"/>
  </r>
  <r>
    <s v="2004-0444-ROU"/>
    <x v="30"/>
    <n v="2004"/>
    <s v="Flood"/>
    <x v="207"/>
    <n v="0"/>
  </r>
  <r>
    <s v="2004-0257-ROU"/>
    <x v="30"/>
    <n v="2004"/>
    <s v="Storm"/>
    <x v="118"/>
    <n v="0"/>
  </r>
  <r>
    <s v="2004-0336-ROU"/>
    <x v="30"/>
    <n v="2004"/>
    <s v="Storm"/>
    <x v="6"/>
    <n v="0"/>
  </r>
  <r>
    <s v="2004-0356-ROU"/>
    <x v="30"/>
    <n v="2004"/>
    <s v="Storm"/>
    <x v="118"/>
    <n v="0"/>
  </r>
  <r>
    <s v="2005-0131-ROU"/>
    <x v="30"/>
    <n v="2005"/>
    <s v="Flood"/>
    <x v="118"/>
    <n v="0"/>
  </r>
  <r>
    <s v="2005-0214-ROU"/>
    <x v="30"/>
    <n v="2005"/>
    <s v="Flood"/>
    <x v="436"/>
    <n v="200000"/>
  </r>
  <r>
    <s v="2005-0337-ROU"/>
    <x v="30"/>
    <n v="2005"/>
    <s v="Flood"/>
    <x v="1232"/>
    <n v="0"/>
  </r>
  <r>
    <s v="2005-0365-ROU"/>
    <x v="30"/>
    <n v="2005"/>
    <s v="Flood"/>
    <x v="1233"/>
    <n v="800000"/>
  </r>
  <r>
    <s v="2005-0473-ROU"/>
    <x v="30"/>
    <n v="2005"/>
    <s v="Flood"/>
    <x v="9"/>
    <n v="313000"/>
  </r>
  <r>
    <s v="2005-0545-ROU"/>
    <x v="30"/>
    <n v="2005"/>
    <s v="Flood"/>
    <x v="1234"/>
    <n v="0"/>
  </r>
  <r>
    <s v="2005-0045-ROU"/>
    <x v="30"/>
    <n v="2005"/>
    <s v="Storm"/>
    <x v="7"/>
    <n v="0"/>
  </r>
  <r>
    <s v="2006-0127-ROU"/>
    <x v="30"/>
    <n v="2006"/>
    <s v="Flood"/>
    <x v="118"/>
    <n v="0"/>
  </r>
  <r>
    <s v="2006-0156-ROU"/>
    <x v="30"/>
    <n v="2006"/>
    <s v="Flood"/>
    <x v="1235"/>
    <n v="0"/>
  </r>
  <r>
    <s v="2006-0209-ROU"/>
    <x v="30"/>
    <n v="2006"/>
    <s v="Flood"/>
    <x v="7"/>
    <n v="0"/>
  </r>
  <r>
    <s v="2006-0312-ROU"/>
    <x v="30"/>
    <n v="2006"/>
    <s v="Flood"/>
    <x v="1236"/>
    <n v="0"/>
  </r>
  <r>
    <s v="2006-0320-ROU"/>
    <x v="30"/>
    <n v="2006"/>
    <s v="Flood"/>
    <x v="118"/>
    <n v="0"/>
  </r>
  <r>
    <s v="2006-0335-ROU"/>
    <x v="30"/>
    <n v="2006"/>
    <s v="Flood"/>
    <x v="118"/>
    <n v="0"/>
  </r>
  <r>
    <s v="2007-0068-ROU"/>
    <x v="30"/>
    <n v="2007"/>
    <s v="Flood"/>
    <x v="20"/>
    <n v="0"/>
  </r>
  <r>
    <s v="2007-0340-ROU"/>
    <x v="30"/>
    <n v="2007"/>
    <s v="Flood"/>
    <x v="1237"/>
    <n v="0"/>
  </r>
  <r>
    <s v="2007-0393-ROU"/>
    <x v="30"/>
    <n v="2007"/>
    <s v="Flood"/>
    <x v="929"/>
    <n v="0"/>
  </r>
  <r>
    <s v="2007-0421-ROU"/>
    <x v="30"/>
    <n v="2007"/>
    <s v="Flood"/>
    <x v="929"/>
    <n v="0"/>
  </r>
  <r>
    <s v="2008-0306-ROU"/>
    <x v="30"/>
    <n v="2008"/>
    <s v="Flood"/>
    <x v="116"/>
    <n v="0"/>
  </r>
  <r>
    <s v="2008-0082-ROU"/>
    <x v="30"/>
    <n v="2008"/>
    <s v="Storm"/>
    <x v="232"/>
    <n v="0"/>
  </r>
  <r>
    <s v="2009-0015-ROU"/>
    <x v="30"/>
    <n v="2009"/>
    <s v="Flood"/>
    <x v="7"/>
    <n v="0"/>
  </r>
  <r>
    <s v="2009-0228-ROU"/>
    <x v="30"/>
    <n v="2009"/>
    <s v="Flood"/>
    <x v="94"/>
    <n v="0"/>
  </r>
  <r>
    <s v="2010-0251-ROU"/>
    <x v="30"/>
    <n v="2010"/>
    <s v="Flood"/>
    <x v="1238"/>
    <n v="1111428"/>
  </r>
  <r>
    <s v="2013-0347-ROU"/>
    <x v="30"/>
    <n v="2013"/>
    <s v="Flood"/>
    <x v="1239"/>
    <n v="11000"/>
  </r>
  <r>
    <s v="2014-0128-ROU"/>
    <x v="30"/>
    <n v="2014"/>
    <s v="Flood"/>
    <x v="1240"/>
    <n v="0"/>
  </r>
  <r>
    <s v="2014-0280-ROU"/>
    <x v="30"/>
    <n v="2014"/>
    <s v="Flood"/>
    <x v="7"/>
    <n v="0"/>
  </r>
  <r>
    <s v="2015-0203-ROU"/>
    <x v="30"/>
    <n v="2015"/>
    <s v="Flood"/>
    <x v="18"/>
    <n v="0"/>
  </r>
  <r>
    <s v="2016-0179-ROU"/>
    <x v="30"/>
    <n v="2016"/>
    <s v="Flood"/>
    <x v="7"/>
    <n v="0"/>
  </r>
  <r>
    <s v="2016-0426-ROU"/>
    <x v="30"/>
    <n v="2016"/>
    <s v="Flood"/>
    <x v="98"/>
    <n v="0"/>
  </r>
  <r>
    <s v="2017-0407-ROU"/>
    <x v="30"/>
    <n v="2017"/>
    <s v="Storm"/>
    <x v="1241"/>
    <n v="7300"/>
  </r>
  <r>
    <s v="2018-0165-ROU"/>
    <x v="30"/>
    <n v="2018"/>
    <s v="Flood"/>
    <x v="18"/>
    <n v="0"/>
  </r>
  <r>
    <s v="2018-0247-ROU"/>
    <x v="30"/>
    <n v="2018"/>
    <s v="Flood"/>
    <x v="6"/>
    <n v="0"/>
  </r>
  <r>
    <s v="2019-0222-ROU"/>
    <x v="30"/>
    <n v="2019"/>
    <s v="Flood"/>
    <x v="1242"/>
    <n v="0"/>
  </r>
  <r>
    <s v="2020-0286-ROU"/>
    <x v="30"/>
    <n v="2020"/>
    <s v="Flood"/>
    <x v="1243"/>
    <n v="85000"/>
  </r>
  <r>
    <s v="2021-0349-ROU"/>
    <x v="30"/>
    <n v="2021"/>
    <s v="Flood"/>
    <x v="12"/>
    <n v="0"/>
  </r>
  <r>
    <s v="2023-0466-ROU"/>
    <x v="30"/>
    <n v="2023"/>
    <s v="Storm"/>
    <x v="7"/>
    <n v="0"/>
  </r>
  <r>
    <s v="2023-0804-ROU"/>
    <x v="30"/>
    <n v="2023"/>
    <s v="Storm"/>
    <x v="7"/>
    <n v="0"/>
  </r>
  <r>
    <s v="2024-0653-ROU"/>
    <x v="30"/>
    <n v="2024"/>
    <s v="Storm"/>
    <x v="114"/>
    <n v="0"/>
  </r>
  <r>
    <s v="2001-0653-SOM"/>
    <x v="31"/>
    <n v="2001"/>
    <s v="Flood"/>
    <x v="370"/>
    <n v="0"/>
  </r>
  <r>
    <s v="2003-0204-SOM"/>
    <x v="31"/>
    <n v="2003"/>
    <s v="Flood"/>
    <x v="7"/>
    <n v="0"/>
  </r>
  <r>
    <s v="2003-0447-SOM"/>
    <x v="31"/>
    <n v="2003"/>
    <s v="Flood"/>
    <x v="98"/>
    <n v="0"/>
  </r>
  <r>
    <s v="2004-9085-SOM"/>
    <x v="31"/>
    <n v="2004"/>
    <s v="Drought"/>
    <x v="155"/>
    <n v="0"/>
  </r>
  <r>
    <s v="2004-0659-SOM"/>
    <x v="31"/>
    <n v="2004"/>
    <s v="Earthquake"/>
    <x v="1244"/>
    <n v="100000"/>
  </r>
  <r>
    <s v="2004-0499-SOM"/>
    <x v="31"/>
    <n v="2004"/>
    <s v="Flood"/>
    <x v="18"/>
    <n v="0"/>
  </r>
  <r>
    <s v="2005-9722-SOM"/>
    <x v="31"/>
    <n v="2005"/>
    <s v="Drought"/>
    <x v="7"/>
    <n v="0"/>
  </r>
  <r>
    <s v="2005-0215-SOM"/>
    <x v="31"/>
    <n v="2005"/>
    <s v="Flood"/>
    <x v="393"/>
    <n v="20"/>
  </r>
  <r>
    <s v="2005-0309-SOM"/>
    <x v="31"/>
    <n v="2005"/>
    <s v="Flood"/>
    <x v="16"/>
    <n v="0"/>
  </r>
  <r>
    <s v="2006-0422-SOM"/>
    <x v="31"/>
    <n v="2006"/>
    <s v="Flood"/>
    <x v="9"/>
    <n v="0"/>
  </r>
  <r>
    <s v="2006-0550-SOM"/>
    <x v="31"/>
    <n v="2006"/>
    <s v="Flood"/>
    <x v="401"/>
    <n v="0"/>
  </r>
  <r>
    <s v="2006-0618-SOM"/>
    <x v="31"/>
    <n v="2006"/>
    <s v="Flood"/>
    <x v="937"/>
    <n v="0"/>
  </r>
  <r>
    <s v="2006-0624-SOM"/>
    <x v="31"/>
    <n v="2006"/>
    <s v="Flood"/>
    <x v="1245"/>
    <n v="0"/>
  </r>
  <r>
    <s v="2007-0425-SOM"/>
    <x v="31"/>
    <n v="2007"/>
    <s v="Flood"/>
    <x v="30"/>
    <n v="0"/>
  </r>
  <r>
    <s v="2007-0559-SOM"/>
    <x v="31"/>
    <n v="2007"/>
    <s v="Flood"/>
    <x v="1246"/>
    <n v="0"/>
  </r>
  <r>
    <s v="2008-9468-SOM"/>
    <x v="31"/>
    <n v="2008"/>
    <s v="Drought"/>
    <x v="1028"/>
    <n v="0"/>
  </r>
  <r>
    <s v="2008-0506-SOM"/>
    <x v="31"/>
    <n v="2008"/>
    <s v="Flood"/>
    <x v="708"/>
    <n v="0"/>
  </r>
  <r>
    <s v="2009-0532-SOM"/>
    <x v="31"/>
    <n v="2009"/>
    <s v="Flood"/>
    <x v="102"/>
    <n v="0"/>
  </r>
  <r>
    <s v="2010-9082-SOM"/>
    <x v="31"/>
    <n v="2010"/>
    <s v="Drought"/>
    <x v="1247"/>
    <n v="0"/>
  </r>
  <r>
    <s v="2010-0115-SOM"/>
    <x v="31"/>
    <n v="2010"/>
    <s v="Flood"/>
    <x v="349"/>
    <n v="0"/>
  </r>
  <r>
    <s v="2010-0164-SOM"/>
    <x v="31"/>
    <n v="2010"/>
    <s v="Flood"/>
    <x v="96"/>
    <n v="0"/>
  </r>
  <r>
    <s v="2011-0476-SOM"/>
    <x v="31"/>
    <n v="2011"/>
    <s v="Flood"/>
    <x v="276"/>
    <n v="0"/>
  </r>
  <r>
    <s v="2011-9663-SOM"/>
    <x v="31"/>
    <n v="2012"/>
    <s v="Drought"/>
    <x v="465"/>
    <n v="0"/>
  </r>
  <r>
    <s v="2012-0472-SOM"/>
    <x v="31"/>
    <n v="2012"/>
    <s v="Flood"/>
    <x v="1248"/>
    <n v="0"/>
  </r>
  <r>
    <s v="2012-0508-SOM"/>
    <x v="31"/>
    <n v="2012"/>
    <s v="Flood"/>
    <x v="33"/>
    <n v="0"/>
  </r>
  <r>
    <s v="2013-0288-SOM"/>
    <x v="31"/>
    <n v="2013"/>
    <s v="Flood"/>
    <x v="160"/>
    <n v="0"/>
  </r>
  <r>
    <s v="2013-0473-SOM"/>
    <x v="31"/>
    <n v="2013"/>
    <s v="Flood"/>
    <x v="253"/>
    <n v="0"/>
  </r>
  <r>
    <s v="2013-0438-SOM"/>
    <x v="31"/>
    <n v="2013"/>
    <s v="Storm"/>
    <x v="1249"/>
    <n v="2000"/>
  </r>
  <r>
    <s v="2014-9231-SOM"/>
    <x v="31"/>
    <n v="2014"/>
    <s v="Drought"/>
    <x v="1250"/>
    <n v="0"/>
  </r>
  <r>
    <s v="2014-0456-SOM"/>
    <x v="31"/>
    <n v="2014"/>
    <s v="Flood"/>
    <x v="277"/>
    <n v="0"/>
  </r>
  <r>
    <s v="2015-9616-SOM"/>
    <x v="31"/>
    <n v="2015"/>
    <s v="Drought"/>
    <x v="1251"/>
    <n v="0"/>
  </r>
  <r>
    <s v="2015-0477-SOM"/>
    <x v="31"/>
    <n v="2015"/>
    <s v="Flood"/>
    <x v="1122"/>
    <n v="0"/>
  </r>
  <r>
    <s v="2015-0544-SOM"/>
    <x v="31"/>
    <n v="2015"/>
    <s v="Flood"/>
    <x v="1252"/>
    <n v="0"/>
  </r>
  <r>
    <s v="2015-0484-SOM"/>
    <x v="31"/>
    <n v="2015"/>
    <s v="Storm"/>
    <x v="36"/>
    <n v="0"/>
  </r>
  <r>
    <s v="2015-0494-SOM"/>
    <x v="31"/>
    <n v="2015"/>
    <s v="Storm"/>
    <x v="7"/>
    <n v="0"/>
  </r>
  <r>
    <s v="2016-0129-SOM"/>
    <x v="31"/>
    <n v="2016"/>
    <s v="Flood"/>
    <x v="7"/>
    <n v="0"/>
  </r>
  <r>
    <s v="2018-0133-SOM"/>
    <x v="31"/>
    <n v="2018"/>
    <s v="Flood"/>
    <x v="279"/>
    <n v="80000"/>
  </r>
  <r>
    <s v="2018-0145-SOM"/>
    <x v="31"/>
    <n v="2018"/>
    <s v="Storm"/>
    <x v="1253"/>
    <n v="0"/>
  </r>
  <r>
    <s v="2019-9109-SOM"/>
    <x v="31"/>
    <n v="2019"/>
    <s v="Drought"/>
    <x v="157"/>
    <n v="0"/>
  </r>
  <r>
    <s v="2019-0500-SOM"/>
    <x v="31"/>
    <n v="2019"/>
    <s v="Flood"/>
    <x v="154"/>
    <n v="0"/>
  </r>
  <r>
    <s v="2019-0600-SOM"/>
    <x v="31"/>
    <n v="2019"/>
    <s v="Storm"/>
    <x v="401"/>
    <n v="0"/>
  </r>
  <r>
    <s v="2020-0159-SOM"/>
    <x v="31"/>
    <n v="2020"/>
    <s v="Flood"/>
    <x v="574"/>
    <n v="0"/>
  </r>
  <r>
    <s v="2020-0320-SOM"/>
    <x v="31"/>
    <n v="2020"/>
    <s v="Flood"/>
    <x v="1254"/>
    <n v="0"/>
  </r>
  <r>
    <s v="2020-0487-SOM"/>
    <x v="31"/>
    <n v="2020"/>
    <s v="Storm"/>
    <x v="1255"/>
    <n v="0"/>
  </r>
  <r>
    <s v="2020-9609-SOM"/>
    <x v="31"/>
    <n v="2021"/>
    <s v="Drought"/>
    <x v="1256"/>
    <n v="993000"/>
  </r>
  <r>
    <s v="2021-0239-SOM"/>
    <x v="31"/>
    <n v="2021"/>
    <s v="Flood"/>
    <x v="196"/>
    <n v="0"/>
  </r>
  <r>
    <s v="2022-0332-SOM"/>
    <x v="31"/>
    <n v="2022"/>
    <s v="Flood"/>
    <x v="1257"/>
    <n v="0"/>
  </r>
  <r>
    <s v="2023-0172-SOM"/>
    <x v="31"/>
    <n v="2023"/>
    <s v="Flood"/>
    <x v="991"/>
    <n v="0"/>
  </r>
  <r>
    <s v="2023-0295-SOM"/>
    <x v="31"/>
    <n v="2023"/>
    <s v="Flood"/>
    <x v="1258"/>
    <n v="0"/>
  </r>
  <r>
    <s v="2023-0683-SOM"/>
    <x v="31"/>
    <n v="2023"/>
    <s v="Flood"/>
    <x v="1259"/>
    <n v="0"/>
  </r>
  <r>
    <s v="2023-0741-SOM"/>
    <x v="31"/>
    <n v="2023"/>
    <s v="Flood"/>
    <x v="1260"/>
    <n v="0"/>
  </r>
  <r>
    <s v="2024-0241-SOM"/>
    <x v="31"/>
    <n v="2024"/>
    <s v="Flood"/>
    <x v="1261"/>
    <n v="0"/>
  </r>
  <r>
    <s v="2001-0481-ZAF"/>
    <x v="32"/>
    <n v="2001"/>
    <s v="Flood"/>
    <x v="1262"/>
    <n v="0"/>
  </r>
  <r>
    <s v="2001-0664-ZAF"/>
    <x v="32"/>
    <n v="2001"/>
    <s v="Flood"/>
    <x v="1263"/>
    <n v="0"/>
  </r>
  <r>
    <s v="2001-0037-ZAF"/>
    <x v="32"/>
    <n v="2001"/>
    <s v="Storm"/>
    <x v="230"/>
    <n v="0"/>
  </r>
  <r>
    <s v="2001-0560-ZAF"/>
    <x v="32"/>
    <n v="2001"/>
    <s v="Storm"/>
    <x v="1264"/>
    <n v="0"/>
  </r>
  <r>
    <s v="2002-0514-ZAF"/>
    <x v="32"/>
    <n v="2002"/>
    <s v="Flood"/>
    <x v="16"/>
    <n v="0"/>
  </r>
  <r>
    <s v="2002-0025-ZAF"/>
    <x v="32"/>
    <n v="2002"/>
    <s v="Storm"/>
    <x v="22"/>
    <n v="0"/>
  </r>
  <r>
    <s v="2002-0217-ZAF"/>
    <x v="32"/>
    <n v="2002"/>
    <s v="Storm"/>
    <x v="10"/>
    <n v="41"/>
  </r>
  <r>
    <s v="2002-0442-ZAF"/>
    <x v="32"/>
    <n v="2002"/>
    <s v="Storm"/>
    <x v="168"/>
    <n v="5000"/>
  </r>
  <r>
    <s v="2002-0881-ZAF"/>
    <x v="32"/>
    <n v="2002"/>
    <s v="Storm"/>
    <x v="1265"/>
    <n v="9000"/>
  </r>
  <r>
    <s v="2003-0146-ZAF"/>
    <x v="32"/>
    <n v="2003"/>
    <s v="Flood"/>
    <x v="20"/>
    <n v="0"/>
  </r>
  <r>
    <s v="2003-0408-ZAF"/>
    <x v="32"/>
    <n v="2003"/>
    <s v="Storm"/>
    <x v="118"/>
    <n v="0"/>
  </r>
  <r>
    <s v="2004-9017-ZAF"/>
    <x v="32"/>
    <n v="2004"/>
    <s v="Drought"/>
    <x v="1266"/>
    <n v="0"/>
  </r>
  <r>
    <s v="2004-0398-ZAF"/>
    <x v="32"/>
    <n v="2004"/>
    <s v="Flood"/>
    <x v="114"/>
    <n v="0"/>
  </r>
  <r>
    <s v="2005-0132-ZAF"/>
    <x v="32"/>
    <n v="2005"/>
    <s v="Earthquake"/>
    <x v="1267"/>
    <n v="20000"/>
  </r>
  <r>
    <s v="2006-0181-ZAF"/>
    <x v="32"/>
    <n v="2006"/>
    <s v="Flood"/>
    <x v="1268"/>
    <n v="71000"/>
  </r>
  <r>
    <s v="2006-0431-ZAF"/>
    <x v="32"/>
    <n v="2006"/>
    <s v="Flood"/>
    <x v="139"/>
    <n v="145000"/>
  </r>
  <r>
    <s v="2007-0306-ZAF"/>
    <x v="32"/>
    <n v="2007"/>
    <s v="Flood"/>
    <x v="294"/>
    <n v="0"/>
  </r>
  <r>
    <s v="2008-0245-ZAF"/>
    <x v="32"/>
    <n v="2008"/>
    <s v="Flood"/>
    <x v="36"/>
    <n v="1264"/>
  </r>
  <r>
    <s v="2008-0528-ZAF"/>
    <x v="32"/>
    <n v="2008"/>
    <s v="Storm"/>
    <x v="1269"/>
    <n v="0"/>
  </r>
  <r>
    <s v="2009-0108-ZAF"/>
    <x v="32"/>
    <n v="2009"/>
    <s v="Flood"/>
    <x v="98"/>
    <n v="0"/>
  </r>
  <r>
    <s v="2009-0261-ZAF"/>
    <x v="32"/>
    <n v="2009"/>
    <s v="Flood"/>
    <x v="33"/>
    <n v="0"/>
  </r>
  <r>
    <s v="2009-0007-ZAF"/>
    <x v="32"/>
    <n v="2009"/>
    <s v="Storm"/>
    <x v="7"/>
    <n v="0"/>
  </r>
  <r>
    <s v="2010-0678-ZAF"/>
    <x v="32"/>
    <n v="2010"/>
    <s v="Storm"/>
    <x v="123"/>
    <n v="0"/>
  </r>
  <r>
    <s v="2011-0100-ZAF"/>
    <x v="32"/>
    <n v="2011"/>
    <s v="Flood"/>
    <x v="1270"/>
    <n v="211000"/>
  </r>
  <r>
    <s v="2011-0409-ZAF"/>
    <x v="32"/>
    <n v="2011"/>
    <s v="Storm"/>
    <x v="1271"/>
    <n v="0"/>
  </r>
  <r>
    <s v="2011-0638-ZAF"/>
    <x v="32"/>
    <n v="2011"/>
    <s v="Storm"/>
    <x v="1272"/>
    <n v="10000"/>
  </r>
  <r>
    <s v="2012-0469-ZAF"/>
    <x v="32"/>
    <n v="2012"/>
    <s v="Flood"/>
    <x v="439"/>
    <n v="200000"/>
  </r>
  <r>
    <s v="2012-0006-ZAF"/>
    <x v="32"/>
    <n v="2012"/>
    <s v="Storm"/>
    <x v="1273"/>
    <n v="0"/>
  </r>
  <r>
    <s v="2013-0217-ZAF"/>
    <x v="32"/>
    <n v="2013"/>
    <s v="Storm"/>
    <x v="1274"/>
    <n v="0"/>
  </r>
  <r>
    <s v="2014-0311-ZAF"/>
    <x v="32"/>
    <n v="2014"/>
    <s v="Earthquake"/>
    <x v="1275"/>
    <n v="0"/>
  </r>
  <r>
    <s v="2014-0099-ZAF"/>
    <x v="32"/>
    <n v="2014"/>
    <s v="Flood"/>
    <x v="1276"/>
    <n v="85000"/>
  </r>
  <r>
    <s v="2015-9500-ZAF"/>
    <x v="32"/>
    <n v="2015"/>
    <s v="Drought"/>
    <x v="540"/>
    <n v="250000"/>
  </r>
  <r>
    <s v="2016-0305-ZAF"/>
    <x v="32"/>
    <n v="2016"/>
    <s v="Flood"/>
    <x v="1277"/>
    <n v="180000"/>
  </r>
  <r>
    <s v="2016-0478-ZAF"/>
    <x v="32"/>
    <n v="2016"/>
    <s v="Flood"/>
    <x v="118"/>
    <n v="100000"/>
  </r>
  <r>
    <s v="2017-9211-ZAF"/>
    <x v="32"/>
    <n v="2017"/>
    <s v="Drought"/>
    <x v="7"/>
    <n v="1200000"/>
  </r>
  <r>
    <s v="2017-0217-ZAF"/>
    <x v="32"/>
    <n v="2017"/>
    <s v="Flood"/>
    <x v="96"/>
    <n v="0"/>
  </r>
  <r>
    <s v="2017-0178-ZAF"/>
    <x v="32"/>
    <n v="2017"/>
    <s v="Storm"/>
    <x v="1278"/>
    <n v="283000"/>
  </r>
  <r>
    <s v="2017-0462-ZAF"/>
    <x v="32"/>
    <n v="2017"/>
    <s v="Storm"/>
    <x v="1279"/>
    <n v="320000"/>
  </r>
  <r>
    <s v="2019-9598-ZAF"/>
    <x v="32"/>
    <n v="2019"/>
    <s v="Drought"/>
    <x v="1280"/>
    <n v="135000"/>
  </r>
  <r>
    <s v="2019-0106-ZAF"/>
    <x v="32"/>
    <n v="2019"/>
    <s v="Flood"/>
    <x v="7"/>
    <n v="0"/>
  </r>
  <r>
    <s v="2019-0176-ZAF"/>
    <x v="32"/>
    <n v="2019"/>
    <s v="Flood"/>
    <x v="10"/>
    <n v="50000"/>
  </r>
  <r>
    <s v="2019-0182-ZAF"/>
    <x v="32"/>
    <n v="2019"/>
    <s v="Flood"/>
    <x v="7"/>
    <n v="0"/>
  </r>
  <r>
    <s v="2019-0607-ZAF"/>
    <x v="32"/>
    <n v="2019"/>
    <s v="Flood"/>
    <x v="628"/>
    <n v="0"/>
  </r>
  <r>
    <s v="2019-0548-ZAF"/>
    <x v="32"/>
    <n v="2019"/>
    <s v="Storm"/>
    <x v="31"/>
    <n v="0"/>
  </r>
  <r>
    <s v="2020-0050-ZAF"/>
    <x v="32"/>
    <n v="2020"/>
    <s v="Flood"/>
    <x v="96"/>
    <n v="0"/>
  </r>
  <r>
    <s v="2020-0489-ZAF"/>
    <x v="32"/>
    <n v="2020"/>
    <s v="Storm"/>
    <x v="233"/>
    <n v="0"/>
  </r>
  <r>
    <s v="2021-9148-ZAF"/>
    <x v="32"/>
    <n v="2021"/>
    <s v="Drought"/>
    <x v="1281"/>
    <n v="0"/>
  </r>
  <r>
    <s v="2021-0075-ZAF"/>
    <x v="32"/>
    <n v="2021"/>
    <s v="Flood"/>
    <x v="11"/>
    <n v="75000"/>
  </r>
  <r>
    <s v="2021-0036-ZAF"/>
    <x v="32"/>
    <n v="2021"/>
    <s v="Storm"/>
    <x v="928"/>
    <n v="0"/>
  </r>
  <r>
    <s v="2021-0811-ZAF"/>
    <x v="32"/>
    <n v="2021"/>
    <s v="Storm"/>
    <x v="1282"/>
    <n v="0"/>
  </r>
  <r>
    <s v="2022-0009-ZAF"/>
    <x v="32"/>
    <n v="2022"/>
    <s v="Flood"/>
    <x v="7"/>
    <n v="70000"/>
  </r>
  <r>
    <s v="2022-0035-ZAF"/>
    <x v="32"/>
    <n v="2022"/>
    <s v="Flood"/>
    <x v="12"/>
    <n v="105000"/>
  </r>
  <r>
    <s v="2022-0077-ZAF"/>
    <x v="32"/>
    <n v="2022"/>
    <s v="Flood"/>
    <x v="1283"/>
    <n v="0"/>
  </r>
  <r>
    <s v="2022-0108-ZAF"/>
    <x v="32"/>
    <n v="2022"/>
    <s v="Flood"/>
    <x v="1284"/>
    <n v="0"/>
  </r>
  <r>
    <s v="2022-0205-ZAF"/>
    <x v="32"/>
    <n v="2022"/>
    <s v="Flood"/>
    <x v="1285"/>
    <n v="3500000"/>
  </r>
  <r>
    <s v="2022-0313-ZAF"/>
    <x v="32"/>
    <n v="2022"/>
    <s v="Flood"/>
    <x v="96"/>
    <n v="0"/>
  </r>
  <r>
    <s v="2022-0356-ZAF"/>
    <x v="32"/>
    <n v="2022"/>
    <s v="Flood"/>
    <x v="1286"/>
    <n v="0"/>
  </r>
  <r>
    <s v="2022-0788-ZAF"/>
    <x v="32"/>
    <n v="2022"/>
    <s v="Flood"/>
    <x v="1287"/>
    <n v="0"/>
  </r>
  <r>
    <s v="2023-0080-ZAF"/>
    <x v="32"/>
    <n v="2023"/>
    <s v="Flood"/>
    <x v="10"/>
    <n v="0"/>
  </r>
  <r>
    <s v="2023-0180-ZAF"/>
    <x v="32"/>
    <n v="2023"/>
    <s v="Flood"/>
    <x v="20"/>
    <n v="0"/>
  </r>
  <r>
    <s v="2023-0619-ZAF"/>
    <x v="32"/>
    <n v="2023"/>
    <s v="Flood"/>
    <x v="44"/>
    <n v="0"/>
  </r>
  <r>
    <s v="2023-0855-ZAF"/>
    <x v="32"/>
    <n v="2023"/>
    <s v="Flood"/>
    <x v="449"/>
    <n v="0"/>
  </r>
  <r>
    <s v="2023-0352-ZAF"/>
    <x v="32"/>
    <n v="2023"/>
    <s v="Storm"/>
    <x v="22"/>
    <n v="0"/>
  </r>
  <r>
    <s v="2023-0847-ZAF"/>
    <x v="32"/>
    <n v="2023"/>
    <s v="Storm"/>
    <x v="1288"/>
    <n v="0"/>
  </r>
  <r>
    <s v="2024-0015-ZAF"/>
    <x v="32"/>
    <n v="2024"/>
    <s v="Flood"/>
    <x v="1289"/>
    <n v="10000"/>
  </r>
  <r>
    <s v="2024-0302-ZAF"/>
    <x v="32"/>
    <n v="2024"/>
    <s v="Flood"/>
    <x v="1290"/>
    <n v="50000"/>
  </r>
  <r>
    <s v="2024-0783-ZAF"/>
    <x v="32"/>
    <n v="2024"/>
    <s v="Flood"/>
    <x v="1291"/>
    <n v="0"/>
  </r>
  <r>
    <s v="2024-0074-ZAF"/>
    <x v="32"/>
    <n v="2024"/>
    <s v="Storm"/>
    <x v="1292"/>
    <n v="0"/>
  </r>
  <r>
    <s v="2024-0209-ZAF"/>
    <x v="32"/>
    <n v="2024"/>
    <s v="Storm"/>
    <x v="1293"/>
    <n v="0"/>
  </r>
  <r>
    <s v="2001-9498-LKA"/>
    <x v="33"/>
    <n v="2001"/>
    <s v="Drought"/>
    <x v="167"/>
    <n v="0"/>
  </r>
  <r>
    <s v="2001-0049-LKA"/>
    <x v="33"/>
    <n v="2001"/>
    <s v="Flood"/>
    <x v="37"/>
    <n v="0"/>
  </r>
  <r>
    <s v="2002-0788-LKA"/>
    <x v="33"/>
    <n v="2002"/>
    <s v="Flood"/>
    <x v="154"/>
    <n v="0"/>
  </r>
  <r>
    <s v="2003-0229-LKA"/>
    <x v="33"/>
    <n v="2003"/>
    <s v="Flood"/>
    <x v="1294"/>
    <n v="29000"/>
  </r>
  <r>
    <s v="2004-0659-LKA"/>
    <x v="33"/>
    <n v="2004"/>
    <s v="Earthquake"/>
    <x v="1295"/>
    <n v="1316500"/>
  </r>
  <r>
    <s v="2004-0652-LKA"/>
    <x v="33"/>
    <n v="2004"/>
    <s v="Flood"/>
    <x v="155"/>
    <n v="0"/>
  </r>
  <r>
    <s v="2005-0646-LKA"/>
    <x v="33"/>
    <n v="2005"/>
    <s v="Flood"/>
    <x v="1020"/>
    <n v="0"/>
  </r>
  <r>
    <s v="2006-0602-LKA"/>
    <x v="33"/>
    <n v="2006"/>
    <s v="Flood"/>
    <x v="1296"/>
    <n v="3000"/>
  </r>
  <r>
    <s v="2007-0012-LKA"/>
    <x v="33"/>
    <n v="2007"/>
    <s v="Flood"/>
    <x v="113"/>
    <n v="0"/>
  </r>
  <r>
    <s v="2007-0187-LKA"/>
    <x v="33"/>
    <n v="2007"/>
    <s v="Flood"/>
    <x v="1297"/>
    <n v="50"/>
  </r>
  <r>
    <s v="2007-0609-LKA"/>
    <x v="33"/>
    <n v="2007"/>
    <s v="Flood"/>
    <x v="189"/>
    <n v="0"/>
  </r>
  <r>
    <s v="2008-0132-LKA"/>
    <x v="33"/>
    <n v="2008"/>
    <s v="Flood"/>
    <x v="1298"/>
    <n v="0"/>
  </r>
  <r>
    <s v="2008-0224-LKA"/>
    <x v="33"/>
    <n v="2008"/>
    <s v="Flood"/>
    <x v="1299"/>
    <n v="0"/>
  </r>
  <r>
    <s v="2008-0560-LKA"/>
    <x v="33"/>
    <n v="2008"/>
    <s v="Flood"/>
    <x v="444"/>
    <n v="0"/>
  </r>
  <r>
    <s v="2008-0184-LKA"/>
    <x v="33"/>
    <n v="2008"/>
    <s v="Storm"/>
    <x v="160"/>
    <n v="0"/>
  </r>
  <r>
    <s v="2009-0336-LKA"/>
    <x v="33"/>
    <n v="2009"/>
    <s v="Flood"/>
    <x v="33"/>
    <n v="0"/>
  </r>
  <r>
    <s v="2009-0501-LKA"/>
    <x v="33"/>
    <n v="2009"/>
    <s v="Flood"/>
    <x v="104"/>
    <n v="0"/>
  </r>
  <r>
    <s v="2009-0551-LKA"/>
    <x v="33"/>
    <n v="2009"/>
    <s v="Flood"/>
    <x v="261"/>
    <n v="0"/>
  </r>
  <r>
    <s v="2010-0191-LKA"/>
    <x v="33"/>
    <n v="2010"/>
    <s v="Flood"/>
    <x v="1300"/>
    <n v="105000"/>
  </r>
  <r>
    <s v="2010-0583-LKA"/>
    <x v="33"/>
    <n v="2010"/>
    <s v="Flood"/>
    <x v="1301"/>
    <n v="0"/>
  </r>
  <r>
    <s v="2011-0024-LKA"/>
    <x v="33"/>
    <n v="2011"/>
    <s v="Flood"/>
    <x v="1302"/>
    <n v="200000"/>
  </r>
  <r>
    <s v="2011-0049-LKA"/>
    <x v="33"/>
    <n v="2011"/>
    <s v="Flood"/>
    <x v="488"/>
    <n v="300000"/>
  </r>
  <r>
    <s v="2011-0590-LKA"/>
    <x v="33"/>
    <n v="2011"/>
    <s v="Flood"/>
    <x v="1303"/>
    <n v="0"/>
  </r>
  <r>
    <s v="2011-0484-LKA"/>
    <x v="33"/>
    <n v="2011"/>
    <s v="Storm"/>
    <x v="1304"/>
    <n v="0"/>
  </r>
  <r>
    <s v="2012-9405-LKA"/>
    <x v="33"/>
    <n v="2012"/>
    <s v="Drought"/>
    <x v="1305"/>
    <n v="0"/>
  </r>
  <r>
    <s v="2012-0537-LKA"/>
    <x v="33"/>
    <n v="2012"/>
    <s v="Flood"/>
    <x v="1306"/>
    <n v="1200"/>
  </r>
  <r>
    <s v="2012-0425-LKA"/>
    <x v="33"/>
    <n v="2012"/>
    <s v="Storm"/>
    <x v="1307"/>
    <n v="57000"/>
  </r>
  <r>
    <s v="2013-0039-LKA"/>
    <x v="33"/>
    <n v="2013"/>
    <s v="Flood"/>
    <x v="1308"/>
    <n v="0"/>
  </r>
  <r>
    <s v="2013-0220-LKA"/>
    <x v="33"/>
    <n v="2013"/>
    <s v="Flood"/>
    <x v="1309"/>
    <n v="2000"/>
  </r>
  <r>
    <s v="2013-0138-LKA"/>
    <x v="33"/>
    <n v="2013"/>
    <s v="Storm"/>
    <x v="1310"/>
    <n v="0"/>
  </r>
  <r>
    <s v="2014-9393-LKA"/>
    <x v="33"/>
    <n v="2014"/>
    <s v="Drought"/>
    <x v="1305"/>
    <n v="25000"/>
  </r>
  <r>
    <s v="2014-0181-LKA"/>
    <x v="33"/>
    <n v="2014"/>
    <s v="Flood"/>
    <x v="1311"/>
    <n v="2000"/>
  </r>
  <r>
    <s v="2014-0495-LKA"/>
    <x v="33"/>
    <n v="2014"/>
    <s v="Flood"/>
    <x v="1312"/>
    <n v="0"/>
  </r>
  <r>
    <s v="2014-0535-LKA"/>
    <x v="33"/>
    <n v="2014"/>
    <s v="Flood"/>
    <x v="7"/>
    <n v="0"/>
  </r>
  <r>
    <s v="2015-0530-LKA"/>
    <x v="33"/>
    <n v="2015"/>
    <s v="Flood"/>
    <x v="33"/>
    <n v="0"/>
  </r>
  <r>
    <s v="2015-0547-LKA"/>
    <x v="33"/>
    <n v="2015"/>
    <s v="Flood"/>
    <x v="1313"/>
    <n v="0"/>
  </r>
  <r>
    <s v="2016-9529-LKA"/>
    <x v="33"/>
    <n v="2016"/>
    <s v="Drought"/>
    <x v="1122"/>
    <n v="20000"/>
  </r>
  <r>
    <s v="2016-0153-LKA"/>
    <x v="33"/>
    <n v="2016"/>
    <s v="Flood"/>
    <x v="1314"/>
    <n v="1200000"/>
  </r>
  <r>
    <s v="2017-0153-LKA"/>
    <x v="33"/>
    <n v="2017"/>
    <s v="Flood"/>
    <x v="1315"/>
    <n v="389000"/>
  </r>
  <r>
    <s v="2017-0493-LKA"/>
    <x v="33"/>
    <n v="2017"/>
    <s v="Flood"/>
    <x v="1316"/>
    <n v="0"/>
  </r>
  <r>
    <s v="2017-0508-LKA"/>
    <x v="33"/>
    <n v="2017"/>
    <s v="Storm"/>
    <x v="1317"/>
    <n v="346000"/>
  </r>
  <r>
    <s v="2018-0278-LKA"/>
    <x v="33"/>
    <n v="2018"/>
    <s v="Flood"/>
    <x v="1318"/>
    <n v="0"/>
  </r>
  <r>
    <s v="2018-0384-LKA"/>
    <x v="33"/>
    <n v="2018"/>
    <s v="Flood"/>
    <x v="129"/>
    <n v="0"/>
  </r>
  <r>
    <s v="2018-0467-LKA"/>
    <x v="33"/>
    <n v="2018"/>
    <s v="Flood"/>
    <x v="129"/>
    <n v="0"/>
  </r>
  <r>
    <s v="2019-9389-LKA"/>
    <x v="33"/>
    <n v="2019"/>
    <s v="Drought"/>
    <x v="1319"/>
    <n v="0"/>
  </r>
  <r>
    <s v="2019-0452-LKA"/>
    <x v="33"/>
    <n v="2019"/>
    <s v="Flood"/>
    <x v="1320"/>
    <n v="0"/>
  </r>
  <r>
    <s v="2019-0499-LKA"/>
    <x v="33"/>
    <n v="2019"/>
    <s v="Flood"/>
    <x v="1321"/>
    <n v="0"/>
  </r>
  <r>
    <s v="2019-0577-LKA"/>
    <x v="33"/>
    <n v="2019"/>
    <s v="Flood"/>
    <x v="1322"/>
    <n v="0"/>
  </r>
  <r>
    <s v="2019-0629-LKA"/>
    <x v="33"/>
    <n v="2019"/>
    <s v="Flood"/>
    <x v="1323"/>
    <n v="0"/>
  </r>
  <r>
    <s v="2019-0656-LKA"/>
    <x v="33"/>
    <n v="2019"/>
    <s v="Flood"/>
    <x v="1324"/>
    <n v="0"/>
  </r>
  <r>
    <s v="2020-0461-LKA"/>
    <x v="33"/>
    <n v="2020"/>
    <s v="Flood"/>
    <x v="43"/>
    <n v="0"/>
  </r>
  <r>
    <s v="2020-0548-LKA"/>
    <x v="33"/>
    <n v="2020"/>
    <s v="Flood"/>
    <x v="1325"/>
    <n v="0"/>
  </r>
  <r>
    <s v="2020-0211-LKA"/>
    <x v="33"/>
    <n v="2020"/>
    <s v="Storm"/>
    <x v="166"/>
    <n v="0"/>
  </r>
  <r>
    <s v="2021-0026-LKA"/>
    <x v="33"/>
    <n v="2021"/>
    <s v="Flood"/>
    <x v="1326"/>
    <n v="0"/>
  </r>
  <r>
    <s v="2021-0253-LKA"/>
    <x v="33"/>
    <n v="2021"/>
    <s v="Flood"/>
    <x v="1327"/>
    <n v="0"/>
  </r>
  <r>
    <s v="2021-0714-LKA"/>
    <x v="33"/>
    <n v="2021"/>
    <s v="Flood"/>
    <x v="123"/>
    <n v="0"/>
  </r>
  <r>
    <s v="2021-0722-LKA"/>
    <x v="33"/>
    <n v="2021"/>
    <s v="Flood"/>
    <x v="1328"/>
    <n v="0"/>
  </r>
  <r>
    <s v="2021-0252-LKA"/>
    <x v="33"/>
    <n v="2021"/>
    <s v="Storm"/>
    <x v="1329"/>
    <n v="0"/>
  </r>
  <r>
    <s v="2022-0490-LKA"/>
    <x v="33"/>
    <n v="2022"/>
    <s v="Flood"/>
    <x v="1330"/>
    <n v="0"/>
  </r>
  <r>
    <s v="2022-0677-LKA"/>
    <x v="33"/>
    <n v="2022"/>
    <s v="Flood"/>
    <x v="1331"/>
    <n v="0"/>
  </r>
  <r>
    <s v="2022-0785-LKA"/>
    <x v="33"/>
    <n v="2022"/>
    <s v="Flood"/>
    <x v="1332"/>
    <n v="0"/>
  </r>
  <r>
    <s v="2022-0336-LKA"/>
    <x v="33"/>
    <n v="2022"/>
    <s v="Storm"/>
    <x v="1333"/>
    <n v="0"/>
  </r>
  <r>
    <s v="2022-0798-LKA"/>
    <x v="33"/>
    <n v="2022"/>
    <s v="Storm"/>
    <x v="370"/>
    <n v="0"/>
  </r>
  <r>
    <s v="2023-0654-LKA"/>
    <x v="33"/>
    <n v="2023"/>
    <s v="Flood"/>
    <x v="1334"/>
    <n v="0"/>
  </r>
  <r>
    <s v="2023-0256-LKA"/>
    <x v="33"/>
    <n v="2023"/>
    <s v="Storm"/>
    <x v="1335"/>
    <n v="0"/>
  </r>
  <r>
    <s v="2023-0436-LKA"/>
    <x v="33"/>
    <n v="2023"/>
    <s v="Storm"/>
    <x v="1336"/>
    <n v="0"/>
  </r>
  <r>
    <s v="2023-0733-LKA"/>
    <x v="33"/>
    <n v="2023"/>
    <s v="Storm"/>
    <x v="1337"/>
    <n v="0"/>
  </r>
  <r>
    <s v="2023-0784-LKA"/>
    <x v="33"/>
    <n v="2023"/>
    <s v="Storm"/>
    <x v="1338"/>
    <n v="0"/>
  </r>
  <r>
    <s v="2024-0008-LKA"/>
    <x v="33"/>
    <n v="2024"/>
    <s v="Flood"/>
    <x v="1339"/>
    <n v="0"/>
  </r>
  <r>
    <s v="2024-0298-LKA"/>
    <x v="33"/>
    <n v="2024"/>
    <s v="Flood"/>
    <x v="1340"/>
    <n v="0"/>
  </r>
  <r>
    <s v="2024-0733-LKA"/>
    <x v="33"/>
    <n v="2024"/>
    <s v="Storm"/>
    <x v="1341"/>
    <n v="0"/>
  </r>
  <r>
    <s v="2024-0881-LKA"/>
    <x v="33"/>
    <n v="2024"/>
    <s v="Storm"/>
    <x v="1342"/>
    <n v="0"/>
  </r>
  <r>
    <s v="2001-0530-TJK"/>
    <x v="34"/>
    <n v="2001"/>
    <s v="Flood"/>
    <x v="1067"/>
    <n v="0"/>
  </r>
  <r>
    <s v="2001-0756-TJK"/>
    <x v="34"/>
    <n v="2001"/>
    <s v="Storm"/>
    <x v="1343"/>
    <n v="234"/>
  </r>
  <r>
    <s v="2002-0015-TJK"/>
    <x v="34"/>
    <n v="2002"/>
    <s v="Earthquake"/>
    <x v="845"/>
    <n v="0"/>
  </r>
  <r>
    <s v="2002-0122-TJK"/>
    <x v="34"/>
    <n v="2002"/>
    <s v="Earthquake"/>
    <x v="20"/>
    <n v="0"/>
  </r>
  <r>
    <s v="2002-0193-TJK"/>
    <x v="34"/>
    <n v="2002"/>
    <s v="Flood"/>
    <x v="1264"/>
    <n v="0"/>
  </r>
  <r>
    <s v="2002-0315-TJK"/>
    <x v="34"/>
    <n v="2002"/>
    <s v="Flood"/>
    <x v="1344"/>
    <n v="0"/>
  </r>
  <r>
    <s v="2002-0375-TJK"/>
    <x v="34"/>
    <n v="2002"/>
    <s v="Flood"/>
    <x v="18"/>
    <n v="0"/>
  </r>
  <r>
    <s v="2002-0475-TJK"/>
    <x v="34"/>
    <n v="2002"/>
    <s v="Flood"/>
    <x v="1345"/>
    <n v="2836"/>
  </r>
  <r>
    <s v="2003-0273-TJK"/>
    <x v="34"/>
    <n v="2003"/>
    <s v="Flood"/>
    <x v="1346"/>
    <n v="20000"/>
  </r>
  <r>
    <s v="2004-0147-TJK"/>
    <x v="34"/>
    <n v="2004"/>
    <s v="Earthquake"/>
    <x v="1347"/>
    <n v="0"/>
  </r>
  <r>
    <s v="2004-0342-TJK"/>
    <x v="34"/>
    <n v="2004"/>
    <s v="Flood"/>
    <x v="196"/>
    <n v="12000"/>
  </r>
  <r>
    <s v="2005-0304-TJK"/>
    <x v="34"/>
    <n v="2005"/>
    <s v="Flood"/>
    <x v="1348"/>
    <n v="0"/>
  </r>
  <r>
    <s v="2005-0370-TJK"/>
    <x v="34"/>
    <n v="2005"/>
    <s v="Flood"/>
    <x v="1349"/>
    <n v="50000"/>
  </r>
  <r>
    <s v="2006-0405-TJK"/>
    <x v="34"/>
    <n v="2006"/>
    <s v="Earthquake"/>
    <x v="1350"/>
    <n v="22000"/>
  </r>
  <r>
    <s v="2007-0287-TJK"/>
    <x v="34"/>
    <n v="2007"/>
    <s v="Earthquake"/>
    <x v="1351"/>
    <n v="0"/>
  </r>
  <r>
    <s v="2007-0196-TJK"/>
    <x v="34"/>
    <n v="2007"/>
    <s v="Flood"/>
    <x v="1352"/>
    <n v="0"/>
  </r>
  <r>
    <s v="2007-0661-TJK"/>
    <x v="34"/>
    <n v="2007"/>
    <s v="Flood"/>
    <x v="23"/>
    <n v="0"/>
  </r>
  <r>
    <s v="2008-9456-TJK"/>
    <x v="34"/>
    <n v="2008"/>
    <s v="Drought"/>
    <x v="478"/>
    <n v="0"/>
  </r>
  <r>
    <s v="2009-0176-TJK"/>
    <x v="34"/>
    <n v="2009"/>
    <s v="Flood"/>
    <x v="114"/>
    <n v="1000"/>
  </r>
  <r>
    <s v="2010-0002-TJK"/>
    <x v="34"/>
    <n v="2010"/>
    <s v="Earthquake"/>
    <x v="1353"/>
    <n v="1500"/>
  </r>
  <r>
    <s v="2010-0174-TJK"/>
    <x v="34"/>
    <n v="2010"/>
    <s v="Flood"/>
    <x v="1354"/>
    <n v="0"/>
  </r>
  <r>
    <s v="2010-0175-TJK"/>
    <x v="34"/>
    <n v="2010"/>
    <s v="Flood"/>
    <x v="1355"/>
    <n v="204000"/>
  </r>
  <r>
    <s v="2011-0243-TJK"/>
    <x v="34"/>
    <n v="2011"/>
    <s v="Earthquake"/>
    <x v="7"/>
    <n v="0"/>
  </r>
  <r>
    <s v="2011-0296-TJK"/>
    <x v="34"/>
    <n v="2011"/>
    <s v="Flood"/>
    <x v="1356"/>
    <n v="0"/>
  </r>
  <r>
    <s v="2012-0151-TJK"/>
    <x v="34"/>
    <n v="2012"/>
    <s v="Earthquake"/>
    <x v="1357"/>
    <n v="0"/>
  </r>
  <r>
    <s v="2012-0112-TJK"/>
    <x v="34"/>
    <n v="2012"/>
    <s v="Flood"/>
    <x v="1358"/>
    <n v="760"/>
  </r>
  <r>
    <s v="2014-0122-TJK"/>
    <x v="34"/>
    <n v="2014"/>
    <s v="Flood"/>
    <x v="1359"/>
    <n v="2000"/>
  </r>
  <r>
    <s v="2014-0204-TJK"/>
    <x v="34"/>
    <n v="2014"/>
    <s v="Flood"/>
    <x v="1360"/>
    <n v="0"/>
  </r>
  <r>
    <s v="2015-0528-TJK"/>
    <x v="34"/>
    <n v="2015"/>
    <s v="Earthquake"/>
    <x v="1361"/>
    <n v="5000"/>
  </r>
  <r>
    <s v="2015-0194-TJK"/>
    <x v="34"/>
    <n v="2015"/>
    <s v="Flood"/>
    <x v="1362"/>
    <n v="0"/>
  </r>
  <r>
    <s v="2015-0286-TJK"/>
    <x v="34"/>
    <n v="2015"/>
    <s v="Flood"/>
    <x v="1362"/>
    <n v="0"/>
  </r>
  <r>
    <s v="2016-0251-TJK"/>
    <x v="34"/>
    <n v="2016"/>
    <s v="Earthquake"/>
    <x v="368"/>
    <n v="0"/>
  </r>
  <r>
    <s v="2016-0191-TJK"/>
    <x v="34"/>
    <n v="2016"/>
    <s v="Flood"/>
    <x v="1363"/>
    <n v="0"/>
  </r>
  <r>
    <s v="2017-0251-TJK"/>
    <x v="34"/>
    <n v="2017"/>
    <s v="Flood"/>
    <x v="862"/>
    <n v="0"/>
  </r>
  <r>
    <s v="2018-0207-TJK"/>
    <x v="34"/>
    <n v="2018"/>
    <s v="Flood"/>
    <x v="1364"/>
    <n v="0"/>
  </r>
  <r>
    <s v="2019-0216-TJK"/>
    <x v="34"/>
    <n v="2019"/>
    <s v="Flood"/>
    <x v="1365"/>
    <n v="0"/>
  </r>
  <r>
    <s v="2020-0527-TJK"/>
    <x v="34"/>
    <n v="2020"/>
    <s v="Flood"/>
    <x v="1366"/>
    <n v="0"/>
  </r>
  <r>
    <s v="2021-0403-TJK"/>
    <x v="34"/>
    <n v="2021"/>
    <s v="Earthquake"/>
    <x v="12"/>
    <n v="0"/>
  </r>
  <r>
    <s v="2021-0272-TJK"/>
    <x v="34"/>
    <n v="2021"/>
    <s v="Flood"/>
    <x v="1367"/>
    <n v="9000"/>
  </r>
  <r>
    <s v="2023-0237-TJK"/>
    <x v="34"/>
    <n v="2023"/>
    <s v="Earthquake"/>
    <x v="1368"/>
    <n v="0"/>
  </r>
  <r>
    <s v="2023-0570-TJK"/>
    <x v="34"/>
    <n v="2023"/>
    <s v="Flood"/>
    <x v="7"/>
    <n v="0"/>
  </r>
  <r>
    <s v="2024-0284-TJK"/>
    <x v="34"/>
    <n v="2024"/>
    <s v="Flood"/>
    <x v="237"/>
    <n v="0"/>
  </r>
  <r>
    <s v="2001-0361-VNM"/>
    <x v="35"/>
    <n v="2001"/>
    <s v="Flood"/>
    <x v="1080"/>
    <n v="0"/>
  </r>
  <r>
    <s v="2001-0492-VNM"/>
    <x v="35"/>
    <n v="2001"/>
    <s v="Flood"/>
    <x v="1369"/>
    <n v="84000"/>
  </r>
  <r>
    <s v="2001-0587-VNM"/>
    <x v="35"/>
    <n v="2001"/>
    <s v="Flood"/>
    <x v="1370"/>
    <n v="4700"/>
  </r>
  <r>
    <s v="2001-0654-VNM"/>
    <x v="35"/>
    <n v="2001"/>
    <s v="Flood"/>
    <x v="139"/>
    <n v="0"/>
  </r>
  <r>
    <s v="2001-0318-VNM"/>
    <x v="35"/>
    <n v="2001"/>
    <s v="Storm"/>
    <x v="1371"/>
    <n v="25000"/>
  </r>
  <r>
    <s v="2001-0436-VNM"/>
    <x v="35"/>
    <n v="2001"/>
    <s v="Storm"/>
    <x v="1372"/>
    <n v="3200"/>
  </r>
  <r>
    <s v="2001-0624-VNM"/>
    <x v="35"/>
    <n v="2001"/>
    <s v="Storm"/>
    <x v="1373"/>
    <n v="55000"/>
  </r>
  <r>
    <s v="2002-9132-VNM"/>
    <x v="35"/>
    <n v="2002"/>
    <s v="Drought"/>
    <x v="213"/>
    <n v="200000"/>
  </r>
  <r>
    <s v="2002-0470-VNM"/>
    <x v="35"/>
    <n v="2002"/>
    <s v="Flood"/>
    <x v="9"/>
    <n v="2200"/>
  </r>
  <r>
    <s v="2002-0580-VNM"/>
    <x v="35"/>
    <n v="2002"/>
    <s v="Flood"/>
    <x v="1374"/>
    <n v="23900"/>
  </r>
  <r>
    <s v="2002-0610-VNM"/>
    <x v="35"/>
    <n v="2002"/>
    <s v="Flood"/>
    <x v="1375"/>
    <n v="58000"/>
  </r>
  <r>
    <s v="2002-0725-VNM"/>
    <x v="35"/>
    <n v="2002"/>
    <s v="Storm"/>
    <x v="449"/>
    <n v="100"/>
  </r>
  <r>
    <s v="2003-0505-VNM"/>
    <x v="35"/>
    <n v="2003"/>
    <s v="Flood"/>
    <x v="1376"/>
    <n v="32000"/>
  </r>
  <r>
    <s v="2003-0557-VNM"/>
    <x v="35"/>
    <n v="2003"/>
    <s v="Flood"/>
    <x v="1377"/>
    <n v="35000"/>
  </r>
  <r>
    <s v="2003-0672-VNM"/>
    <x v="35"/>
    <n v="2003"/>
    <s v="Flood"/>
    <x v="10"/>
    <n v="38000"/>
  </r>
  <r>
    <s v="2003-0437-VNM"/>
    <x v="35"/>
    <n v="2003"/>
    <s v="Storm"/>
    <x v="1378"/>
    <n v="0"/>
  </r>
  <r>
    <s v="2004-0328-VNM"/>
    <x v="35"/>
    <n v="2004"/>
    <s v="Flood"/>
    <x v="44"/>
    <n v="0"/>
  </r>
  <r>
    <s v="2004-0354-VNM"/>
    <x v="35"/>
    <n v="2004"/>
    <s v="Flood"/>
    <x v="1379"/>
    <n v="8000"/>
  </r>
  <r>
    <s v="2004-0735-VNM"/>
    <x v="35"/>
    <n v="2004"/>
    <s v="Flood"/>
    <x v="401"/>
    <n v="0"/>
  </r>
  <r>
    <s v="2004-0258-VNM"/>
    <x v="35"/>
    <n v="2004"/>
    <s v="Storm"/>
    <x v="1380"/>
    <n v="7000"/>
  </r>
  <r>
    <s v="2004-0580-VNM"/>
    <x v="35"/>
    <n v="2004"/>
    <s v="Storm"/>
    <x v="154"/>
    <n v="23000"/>
  </r>
  <r>
    <s v="2005-9277-VNM"/>
    <x v="35"/>
    <n v="2005"/>
    <s v="Drought"/>
    <x v="1224"/>
    <n v="42120"/>
  </r>
  <r>
    <s v="2005-0315-VNM"/>
    <x v="35"/>
    <n v="2005"/>
    <s v="Flood"/>
    <x v="1381"/>
    <n v="0"/>
  </r>
  <r>
    <s v="2005-0584-VNM"/>
    <x v="35"/>
    <n v="2005"/>
    <s v="Flood"/>
    <x v="122"/>
    <n v="15000"/>
  </r>
  <r>
    <s v="2005-0628-VNM"/>
    <x v="35"/>
    <n v="2005"/>
    <s v="Flood"/>
    <x v="1382"/>
    <n v="12000"/>
  </r>
  <r>
    <s v="2005-0694-VNM"/>
    <x v="35"/>
    <n v="2005"/>
    <s v="Flood"/>
    <x v="529"/>
    <n v="27000"/>
  </r>
  <r>
    <s v="2005-0822-VNM"/>
    <x v="35"/>
    <n v="2005"/>
    <s v="Flood"/>
    <x v="401"/>
    <n v="0"/>
  </r>
  <r>
    <s v="2005-0476-VNM"/>
    <x v="35"/>
    <n v="2005"/>
    <s v="Storm"/>
    <x v="370"/>
    <n v="0"/>
  </r>
  <r>
    <s v="2005-0536-VNM"/>
    <x v="35"/>
    <n v="2005"/>
    <s v="Storm"/>
    <x v="1383"/>
    <n v="20000"/>
  </r>
  <r>
    <s v="2005-0540-VNM"/>
    <x v="35"/>
    <n v="2005"/>
    <s v="Storm"/>
    <x v="1384"/>
    <n v="219250"/>
  </r>
  <r>
    <s v="2005-0611-VNM"/>
    <x v="35"/>
    <n v="2005"/>
    <s v="Storm"/>
    <x v="114"/>
    <n v="11000"/>
  </r>
  <r>
    <s v="2006-0366-VNM"/>
    <x v="35"/>
    <n v="2006"/>
    <s v="Flood"/>
    <x v="12"/>
    <n v="1000"/>
  </r>
  <r>
    <s v="2006-0429-VNM"/>
    <x v="35"/>
    <n v="2006"/>
    <s v="Flood"/>
    <x v="9"/>
    <n v="0"/>
  </r>
  <r>
    <s v="2006-0446-VNM"/>
    <x v="35"/>
    <n v="2006"/>
    <s v="Flood"/>
    <x v="1385"/>
    <n v="8000"/>
  </r>
  <r>
    <s v="2006-0451-VNM"/>
    <x v="35"/>
    <n v="2006"/>
    <s v="Flood"/>
    <x v="7"/>
    <n v="0"/>
  </r>
  <r>
    <s v="2006-0736-VNM"/>
    <x v="35"/>
    <n v="2006"/>
    <s v="Flood"/>
    <x v="7"/>
    <n v="0"/>
  </r>
  <r>
    <s v="2006-0211-VNM"/>
    <x v="35"/>
    <n v="2006"/>
    <s v="Storm"/>
    <x v="1386"/>
    <n v="0"/>
  </r>
  <r>
    <s v="2006-0251-VNM"/>
    <x v="35"/>
    <n v="2006"/>
    <s v="Storm"/>
    <x v="162"/>
    <n v="0"/>
  </r>
  <r>
    <s v="2006-0362-VNM"/>
    <x v="35"/>
    <n v="2006"/>
    <s v="Storm"/>
    <x v="9"/>
    <n v="0"/>
  </r>
  <r>
    <s v="2006-0517-VNM"/>
    <x v="35"/>
    <n v="2006"/>
    <s v="Storm"/>
    <x v="1387"/>
    <n v="624000"/>
  </r>
  <r>
    <s v="2006-0648-VNM"/>
    <x v="35"/>
    <n v="2006"/>
    <s v="Storm"/>
    <x v="1388"/>
    <n v="456000"/>
  </r>
  <r>
    <s v="2006-0659-VNM"/>
    <x v="35"/>
    <n v="2006"/>
    <s v="Storm"/>
    <x v="7"/>
    <n v="10000"/>
  </r>
  <r>
    <s v="2007-0323-VNM"/>
    <x v="35"/>
    <n v="2007"/>
    <s v="Flood"/>
    <x v="1389"/>
    <n v="130000"/>
  </r>
  <r>
    <s v="2007-0512-VNM"/>
    <x v="35"/>
    <n v="2007"/>
    <s v="Flood"/>
    <x v="1390"/>
    <n v="10000"/>
  </r>
  <r>
    <s v="2007-0522-VNM"/>
    <x v="35"/>
    <n v="2007"/>
    <s v="Flood"/>
    <x v="1391"/>
    <n v="300000"/>
  </r>
  <r>
    <s v="2007-0531-VNM"/>
    <x v="35"/>
    <n v="2007"/>
    <s v="Flood"/>
    <x v="38"/>
    <n v="0"/>
  </r>
  <r>
    <s v="2007-0558-VNM"/>
    <x v="35"/>
    <n v="2007"/>
    <s v="Flood"/>
    <x v="264"/>
    <n v="350000"/>
  </r>
  <r>
    <s v="2007-0463-VNM"/>
    <x v="35"/>
    <n v="2007"/>
    <s v="Storm"/>
    <x v="1392"/>
    <n v="191000"/>
  </r>
  <r>
    <s v="2008-0262-VNM"/>
    <x v="35"/>
    <n v="2008"/>
    <s v="Flood"/>
    <x v="20"/>
    <n v="0"/>
  </r>
  <r>
    <s v="2008-0373-VNM"/>
    <x v="35"/>
    <n v="2008"/>
    <s v="Flood"/>
    <x v="7"/>
    <n v="0"/>
  </r>
  <r>
    <s v="2008-0481-VNM"/>
    <x v="35"/>
    <n v="2008"/>
    <s v="Flood"/>
    <x v="1393"/>
    <n v="4000"/>
  </r>
  <r>
    <s v="2008-0501-VNM"/>
    <x v="35"/>
    <n v="2008"/>
    <s v="Flood"/>
    <x v="162"/>
    <n v="479000"/>
  </r>
  <r>
    <s v="2008-0607-VNM"/>
    <x v="35"/>
    <n v="2008"/>
    <s v="Flood"/>
    <x v="33"/>
    <n v="0"/>
  </r>
  <r>
    <s v="2008-0329-VNM"/>
    <x v="35"/>
    <n v="2008"/>
    <s v="Storm"/>
    <x v="1394"/>
    <n v="120000"/>
  </r>
  <r>
    <s v="2008-0426-VNM"/>
    <x v="35"/>
    <n v="2008"/>
    <s v="Storm"/>
    <x v="1395"/>
    <n v="63000"/>
  </r>
  <r>
    <s v="2008-0437-VNM"/>
    <x v="35"/>
    <n v="2008"/>
    <s v="Storm"/>
    <x v="1396"/>
    <n v="6500"/>
  </r>
  <r>
    <s v="2008-0540-VNM"/>
    <x v="35"/>
    <n v="2008"/>
    <s v="Storm"/>
    <x v="7"/>
    <n v="0"/>
  </r>
  <r>
    <s v="2008-0552-VNM"/>
    <x v="35"/>
    <n v="2008"/>
    <s v="Storm"/>
    <x v="1397"/>
    <n v="1000"/>
  </r>
  <r>
    <s v="2009-0247-VNM"/>
    <x v="35"/>
    <n v="2009"/>
    <s v="Flood"/>
    <x v="279"/>
    <n v="0"/>
  </r>
  <r>
    <s v="2009-0611-VNM"/>
    <x v="35"/>
    <n v="2009"/>
    <s v="Flood"/>
    <x v="43"/>
    <n v="0"/>
  </r>
  <r>
    <s v="2009-0414-VNM"/>
    <x v="35"/>
    <n v="2009"/>
    <s v="Storm"/>
    <x v="1398"/>
    <n v="785000"/>
  </r>
  <r>
    <s v="2009-0422-VNM"/>
    <x v="35"/>
    <n v="2009"/>
    <s v="Storm"/>
    <x v="7"/>
    <n v="200"/>
  </r>
  <r>
    <s v="2009-0478-VNM"/>
    <x v="35"/>
    <n v="2009"/>
    <s v="Storm"/>
    <x v="1399"/>
    <n v="280000"/>
  </r>
  <r>
    <s v="2010-0515-VNM"/>
    <x v="35"/>
    <n v="2010"/>
    <s v="Flood"/>
    <x v="1400"/>
    <n v="142500"/>
  </r>
  <r>
    <s v="2010-0539-VNM"/>
    <x v="35"/>
    <n v="2010"/>
    <s v="Flood"/>
    <x v="1401"/>
    <n v="154000"/>
  </r>
  <r>
    <s v="2010-0573-VNM"/>
    <x v="35"/>
    <n v="2010"/>
    <s v="Flood"/>
    <x v="1402"/>
    <n v="107700"/>
  </r>
  <r>
    <s v="2010-0597-VNM"/>
    <x v="35"/>
    <n v="2010"/>
    <s v="Flood"/>
    <x v="122"/>
    <n v="256000"/>
  </r>
  <r>
    <s v="2010-0308-VNM"/>
    <x v="35"/>
    <n v="2010"/>
    <s v="Storm"/>
    <x v="18"/>
    <n v="500"/>
  </r>
  <r>
    <s v="2010-0332-VNM"/>
    <x v="35"/>
    <n v="2010"/>
    <s v="Storm"/>
    <x v="1403"/>
    <n v="0"/>
  </r>
  <r>
    <s v="2010-0432-VNM"/>
    <x v="35"/>
    <n v="2010"/>
    <s v="Storm"/>
    <x v="1404"/>
    <n v="44000"/>
  </r>
  <r>
    <s v="2011-0359-VNM"/>
    <x v="35"/>
    <n v="2011"/>
    <s v="Flood"/>
    <x v="261"/>
    <n v="44000"/>
  </r>
  <r>
    <s v="2011-0394-VNM"/>
    <x v="35"/>
    <n v="2011"/>
    <s v="Flood"/>
    <x v="162"/>
    <n v="175002"/>
  </r>
  <r>
    <s v="2011-0396-VNM"/>
    <x v="35"/>
    <n v="2011"/>
    <s v="Flood"/>
    <x v="1405"/>
    <n v="0"/>
  </r>
  <r>
    <s v="2011-0232-VNM"/>
    <x v="35"/>
    <n v="2011"/>
    <s v="Storm"/>
    <x v="1406"/>
    <n v="0"/>
  </r>
  <r>
    <s v="2011-0576-VNM"/>
    <x v="35"/>
    <n v="2011"/>
    <s v="Storm"/>
    <x v="7"/>
    <n v="0"/>
  </r>
  <r>
    <s v="2012-0351-VNM"/>
    <x v="35"/>
    <n v="2012"/>
    <s v="Flood"/>
    <x v="1407"/>
    <n v="30000"/>
  </r>
  <r>
    <s v="2012-0259-VNM"/>
    <x v="35"/>
    <n v="2012"/>
    <s v="Storm"/>
    <x v="14"/>
    <n v="0"/>
  </r>
  <r>
    <s v="2012-0294-VNM"/>
    <x v="35"/>
    <n v="2012"/>
    <s v="Storm"/>
    <x v="1408"/>
    <n v="6800"/>
  </r>
  <r>
    <s v="2012-0406-VNM"/>
    <x v="35"/>
    <n v="2012"/>
    <s v="Storm"/>
    <x v="1409"/>
    <n v="336000"/>
  </r>
  <r>
    <s v="2013-0266-VNM"/>
    <x v="35"/>
    <n v="2013"/>
    <s v="Flood"/>
    <x v="44"/>
    <n v="6500"/>
  </r>
  <r>
    <s v="2013-0333-VNM"/>
    <x v="35"/>
    <n v="2013"/>
    <s v="Flood"/>
    <x v="7"/>
    <n v="0"/>
  </r>
  <r>
    <s v="2013-0380-VNM"/>
    <x v="35"/>
    <n v="2013"/>
    <s v="Flood"/>
    <x v="7"/>
    <n v="0"/>
  </r>
  <r>
    <s v="2013-0412-VNM"/>
    <x v="35"/>
    <n v="2013"/>
    <s v="Flood"/>
    <x v="10"/>
    <n v="0"/>
  </r>
  <r>
    <s v="2013-0417-VNM"/>
    <x v="35"/>
    <n v="2013"/>
    <s v="Flood"/>
    <x v="120"/>
    <n v="0"/>
  </r>
  <r>
    <s v="2013-0443-VNM"/>
    <x v="35"/>
    <n v="2013"/>
    <s v="Flood"/>
    <x v="1410"/>
    <n v="72000"/>
  </r>
  <r>
    <s v="2013-0341-VNM"/>
    <x v="35"/>
    <n v="2013"/>
    <s v="Storm"/>
    <x v="1411"/>
    <n v="1000"/>
  </r>
  <r>
    <s v="2013-0419-VNM"/>
    <x v="35"/>
    <n v="2013"/>
    <s v="Storm"/>
    <x v="1412"/>
    <n v="663230"/>
  </r>
  <r>
    <s v="2013-0430-VNM"/>
    <x v="35"/>
    <n v="2013"/>
    <s v="Storm"/>
    <x v="1413"/>
    <n v="76000"/>
  </r>
  <r>
    <s v="2013-0433-VNM"/>
    <x v="35"/>
    <n v="2013"/>
    <s v="Storm"/>
    <x v="1414"/>
    <n v="734000"/>
  </r>
  <r>
    <s v="2014-0227-VNM"/>
    <x v="35"/>
    <n v="2014"/>
    <s v="Storm"/>
    <x v="1415"/>
    <n v="6200"/>
  </r>
  <r>
    <s v="2014-0390-VNM"/>
    <x v="35"/>
    <n v="2014"/>
    <s v="Storm"/>
    <x v="1416"/>
    <n v="4500"/>
  </r>
  <r>
    <s v="2014-0474-VNM"/>
    <x v="35"/>
    <n v="2014"/>
    <s v="Storm"/>
    <x v="374"/>
    <n v="0"/>
  </r>
  <r>
    <s v="2015-9617-VNM"/>
    <x v="35"/>
    <n v="2015"/>
    <s v="Drought"/>
    <x v="45"/>
    <n v="6750000"/>
  </r>
  <r>
    <s v="2015-0292-VNM"/>
    <x v="35"/>
    <n v="2015"/>
    <s v="Flood"/>
    <x v="114"/>
    <n v="204000"/>
  </r>
  <r>
    <s v="2015-0460-VNM"/>
    <x v="35"/>
    <n v="2015"/>
    <s v="Flood"/>
    <x v="12"/>
    <n v="0"/>
  </r>
  <r>
    <s v="2015-0252-VNM"/>
    <x v="35"/>
    <n v="2015"/>
    <s v="Storm"/>
    <x v="1417"/>
    <n v="0"/>
  </r>
  <r>
    <s v="2015-0620-VNM"/>
    <x v="35"/>
    <n v="2015"/>
    <s v="Storm"/>
    <x v="7"/>
    <n v="218"/>
  </r>
  <r>
    <s v="2016-0400-VNM"/>
    <x v="35"/>
    <n v="2016"/>
    <s v="Flood"/>
    <x v="1418"/>
    <n v="104280"/>
  </r>
  <r>
    <s v="2016-0497-VNM"/>
    <x v="35"/>
    <n v="2016"/>
    <s v="Flood"/>
    <x v="1419"/>
    <n v="35000"/>
  </r>
  <r>
    <s v="2016-0517-VNM"/>
    <x v="35"/>
    <n v="2016"/>
    <s v="Flood"/>
    <x v="1420"/>
    <n v="22000"/>
  </r>
  <r>
    <s v="2016-0573-VNM"/>
    <x v="35"/>
    <n v="2016"/>
    <s v="Flood"/>
    <x v="1421"/>
    <n v="0"/>
  </r>
  <r>
    <s v="2016-0268-VNM"/>
    <x v="35"/>
    <n v="2016"/>
    <s v="Storm"/>
    <x v="1422"/>
    <n v="191000"/>
  </r>
  <r>
    <s v="2016-0362-VNM"/>
    <x v="35"/>
    <n v="2016"/>
    <s v="Storm"/>
    <x v="1423"/>
    <n v="350000"/>
  </r>
  <r>
    <s v="2016-0371-VNM"/>
    <x v="35"/>
    <n v="2016"/>
    <s v="Storm"/>
    <x v="1424"/>
    <n v="144000"/>
  </r>
  <r>
    <s v="2016-0379-VNM"/>
    <x v="35"/>
    <n v="2016"/>
    <s v="Storm"/>
    <x v="1425"/>
    <n v="157"/>
  </r>
  <r>
    <s v="2017-0259-VNM"/>
    <x v="35"/>
    <n v="2017"/>
    <s v="Flood"/>
    <x v="1426"/>
    <n v="355"/>
  </r>
  <r>
    <s v="2017-0270-VNM"/>
    <x v="35"/>
    <n v="2017"/>
    <s v="Flood"/>
    <x v="11"/>
    <n v="1300"/>
  </r>
  <r>
    <s v="2017-0337-VNM"/>
    <x v="35"/>
    <n v="2017"/>
    <s v="Flood"/>
    <x v="1427"/>
    <n v="88000"/>
  </r>
  <r>
    <s v="2017-0428-VNM"/>
    <x v="35"/>
    <n v="2017"/>
    <s v="Flood"/>
    <x v="1428"/>
    <n v="88000"/>
  </r>
  <r>
    <s v="2017-0492-VNM"/>
    <x v="35"/>
    <n v="2017"/>
    <s v="Flood"/>
    <x v="1429"/>
    <n v="0"/>
  </r>
  <r>
    <s v="2017-0281-VNM"/>
    <x v="35"/>
    <n v="2017"/>
    <s v="Storm"/>
    <x v="551"/>
    <n v="71000"/>
  </r>
  <r>
    <s v="2017-0352-VNM"/>
    <x v="35"/>
    <n v="2017"/>
    <s v="Storm"/>
    <x v="1430"/>
    <n v="1430000"/>
  </r>
  <r>
    <s v="2017-0406-VNM"/>
    <x v="35"/>
    <n v="2017"/>
    <s v="Storm"/>
    <x v="1431"/>
    <n v="484000"/>
  </r>
  <r>
    <s v="2017-0422-VNM"/>
    <x v="35"/>
    <n v="2017"/>
    <s v="Storm"/>
    <x v="1432"/>
    <n v="1000000"/>
  </r>
  <r>
    <s v="2018-0204-VNM"/>
    <x v="35"/>
    <n v="2018"/>
    <s v="Flood"/>
    <x v="1433"/>
    <n v="23000"/>
  </r>
  <r>
    <s v="2018-0369-VNM"/>
    <x v="35"/>
    <n v="2018"/>
    <s v="Flood"/>
    <x v="123"/>
    <n v="0"/>
  </r>
  <r>
    <s v="2018-0448-VNM"/>
    <x v="35"/>
    <n v="2018"/>
    <s v="Flood"/>
    <x v="683"/>
    <n v="25000"/>
  </r>
  <r>
    <s v="2018-0201-VNM"/>
    <x v="35"/>
    <n v="2018"/>
    <s v="Storm"/>
    <x v="7"/>
    <n v="0"/>
  </r>
  <r>
    <s v="2018-0227-VNM"/>
    <x v="35"/>
    <n v="2018"/>
    <s v="Storm"/>
    <x v="1434"/>
    <n v="220000"/>
  </r>
  <r>
    <s v="2018-0305-VNM"/>
    <x v="35"/>
    <n v="2018"/>
    <s v="Storm"/>
    <x v="160"/>
    <n v="2000"/>
  </r>
  <r>
    <s v="2018-0484-VNM"/>
    <x v="35"/>
    <n v="2018"/>
    <s v="Storm"/>
    <x v="1435"/>
    <n v="17200"/>
  </r>
  <r>
    <s v="2019-9359-VNM"/>
    <x v="35"/>
    <n v="2019"/>
    <s v="Drought"/>
    <x v="1436"/>
    <n v="0"/>
  </r>
  <r>
    <s v="2019-0265-VNM"/>
    <x v="35"/>
    <n v="2019"/>
    <s v="Flood"/>
    <x v="1437"/>
    <n v="0"/>
  </r>
  <r>
    <s v="2019-0380-VNM"/>
    <x v="35"/>
    <n v="2019"/>
    <s v="Flood"/>
    <x v="18"/>
    <n v="45000"/>
  </r>
  <r>
    <s v="2019-0393-VNM"/>
    <x v="35"/>
    <n v="2019"/>
    <s v="Flood"/>
    <x v="1438"/>
    <n v="0"/>
  </r>
  <r>
    <s v="2019-0419-VNM"/>
    <x v="35"/>
    <n v="2019"/>
    <s v="Flood"/>
    <x v="1439"/>
    <n v="13000"/>
  </r>
  <r>
    <s v="2019-0482-VNM"/>
    <x v="35"/>
    <n v="2019"/>
    <s v="Flood"/>
    <x v="1440"/>
    <n v="0"/>
  </r>
  <r>
    <s v="2019-0534-VNM"/>
    <x v="35"/>
    <n v="2019"/>
    <s v="Storm"/>
    <x v="839"/>
    <n v="0"/>
  </r>
  <r>
    <s v="2019-0549-VNM"/>
    <x v="35"/>
    <n v="2019"/>
    <s v="Storm"/>
    <x v="1441"/>
    <n v="4000"/>
  </r>
  <r>
    <s v="2020-0328-VNM"/>
    <x v="35"/>
    <n v="2020"/>
    <s v="Flood"/>
    <x v="1442"/>
    <n v="22000"/>
  </r>
  <r>
    <s v="2020-0088-VNM"/>
    <x v="35"/>
    <n v="2020"/>
    <s v="Storm"/>
    <x v="1443"/>
    <n v="1500"/>
  </r>
  <r>
    <s v="2020-0165-VNM"/>
    <x v="35"/>
    <n v="2020"/>
    <s v="Storm"/>
    <x v="1444"/>
    <n v="0"/>
  </r>
  <r>
    <s v="2020-0307-VNM"/>
    <x v="35"/>
    <n v="2020"/>
    <s v="Storm"/>
    <x v="122"/>
    <n v="232"/>
  </r>
  <r>
    <s v="2020-0411-VNM"/>
    <x v="35"/>
    <n v="2020"/>
    <s v="Storm"/>
    <x v="157"/>
    <n v="850000"/>
  </r>
  <r>
    <s v="2020-0425-VNM"/>
    <x v="35"/>
    <n v="2020"/>
    <s v="Storm"/>
    <x v="1445"/>
    <n v="0"/>
  </r>
  <r>
    <s v="2020-0462-VNM"/>
    <x v="35"/>
    <n v="2020"/>
    <s v="Storm"/>
    <x v="439"/>
    <n v="33000"/>
  </r>
  <r>
    <s v="2020-0470-VNM"/>
    <x v="35"/>
    <n v="2020"/>
    <s v="Storm"/>
    <x v="441"/>
    <n v="540000"/>
  </r>
  <r>
    <s v="2020-0501-VNM"/>
    <x v="35"/>
    <n v="2020"/>
    <s v="Storm"/>
    <x v="7"/>
    <n v="0"/>
  </r>
  <r>
    <s v="2020-0542-VNM"/>
    <x v="35"/>
    <n v="2020"/>
    <s v="Storm"/>
    <x v="44"/>
    <n v="5260"/>
  </r>
  <r>
    <s v="2020-0558-VNM"/>
    <x v="35"/>
    <n v="2020"/>
    <s v="Storm"/>
    <x v="94"/>
    <n v="0"/>
  </r>
  <r>
    <s v="2021-0217-VNM"/>
    <x v="35"/>
    <n v="2021"/>
    <s v="Flood"/>
    <x v="1347"/>
    <n v="0"/>
  </r>
  <r>
    <s v="2021-0632-VNM"/>
    <x v="35"/>
    <n v="2021"/>
    <s v="Flood"/>
    <x v="1446"/>
    <n v="0"/>
  </r>
  <r>
    <s v="2021-0763-VNM"/>
    <x v="35"/>
    <n v="2021"/>
    <s v="Flood"/>
    <x v="261"/>
    <n v="0"/>
  </r>
  <r>
    <s v="2021-0171-VNM"/>
    <x v="35"/>
    <n v="2021"/>
    <s v="Storm"/>
    <x v="10"/>
    <n v="0"/>
  </r>
  <r>
    <s v="2021-0327-VNM"/>
    <x v="35"/>
    <n v="2021"/>
    <s v="Storm"/>
    <x v="374"/>
    <n v="10000"/>
  </r>
  <r>
    <s v="2021-0595-VNM"/>
    <x v="35"/>
    <n v="2021"/>
    <s v="Storm"/>
    <x v="1185"/>
    <n v="0"/>
  </r>
  <r>
    <s v="2021-0698-VNM"/>
    <x v="35"/>
    <n v="2021"/>
    <s v="Storm"/>
    <x v="1447"/>
    <n v="7500"/>
  </r>
  <r>
    <s v="2021-0813-VNM"/>
    <x v="35"/>
    <n v="2021"/>
    <s v="Storm"/>
    <x v="7"/>
    <n v="9000"/>
  </r>
  <r>
    <s v="2022-0172-VNM"/>
    <x v="35"/>
    <n v="2022"/>
    <s v="Flood"/>
    <x v="1448"/>
    <n v="0"/>
  </r>
  <r>
    <s v="2022-0320-VNM"/>
    <x v="35"/>
    <n v="2022"/>
    <s v="Flood"/>
    <x v="1449"/>
    <n v="0"/>
  </r>
  <r>
    <s v="2022-0515-VNM"/>
    <x v="35"/>
    <n v="2022"/>
    <s v="Flood"/>
    <x v="7"/>
    <n v="0"/>
  </r>
  <r>
    <s v="2022-0667-VNM"/>
    <x v="35"/>
    <n v="2022"/>
    <s v="Flood"/>
    <x v="122"/>
    <n v="0"/>
  </r>
  <r>
    <s v="2022-0795-VNM"/>
    <x v="35"/>
    <n v="2022"/>
    <s v="Flood"/>
    <x v="1450"/>
    <n v="1500"/>
  </r>
  <r>
    <s v="2022-0292-VNM"/>
    <x v="35"/>
    <n v="2022"/>
    <s v="Storm"/>
    <x v="20"/>
    <n v="0"/>
  </r>
  <r>
    <s v="2022-0613-VNM"/>
    <x v="35"/>
    <n v="2022"/>
    <s v="Storm"/>
    <x v="1451"/>
    <n v="0"/>
  </r>
  <r>
    <s v="2022-0676-VNM"/>
    <x v="35"/>
    <n v="2022"/>
    <s v="Storm"/>
    <x v="1452"/>
    <n v="65000"/>
  </r>
  <r>
    <s v="2023-0263-VNM"/>
    <x v="35"/>
    <n v="2023"/>
    <s v="Flood"/>
    <x v="1453"/>
    <n v="0"/>
  </r>
  <r>
    <s v="2023-0488-VNM"/>
    <x v="35"/>
    <n v="2023"/>
    <s v="Flood"/>
    <x v="1454"/>
    <n v="0"/>
  </r>
  <r>
    <s v="2023-0518-VNM"/>
    <x v="35"/>
    <n v="2023"/>
    <s v="Flood"/>
    <x v="1455"/>
    <n v="0"/>
  </r>
  <r>
    <s v="2023-0635-VNM"/>
    <x v="35"/>
    <n v="2023"/>
    <s v="Flood"/>
    <x v="891"/>
    <n v="0"/>
  </r>
  <r>
    <s v="2023-0450-VNM"/>
    <x v="35"/>
    <n v="2023"/>
    <s v="Storm"/>
    <x v="14"/>
    <n v="0"/>
  </r>
  <r>
    <s v="2023-0754-VNM"/>
    <x v="35"/>
    <n v="2023"/>
    <s v="Storm"/>
    <x v="583"/>
    <n v="0"/>
  </r>
  <r>
    <s v="2024-9277-VNM"/>
    <x v="35"/>
    <n v="2024"/>
    <s v="Drought"/>
    <x v="1456"/>
    <n v="10000"/>
  </r>
  <r>
    <s v="2024-0358-VNM"/>
    <x v="35"/>
    <n v="2024"/>
    <s v="Flood"/>
    <x v="1457"/>
    <n v="0"/>
  </r>
  <r>
    <s v="2024-0272-VNM"/>
    <x v="35"/>
    <n v="2024"/>
    <s v="Storm"/>
    <x v="1458"/>
    <n v="10000"/>
  </r>
  <r>
    <s v="2024-0291-VNM"/>
    <x v="35"/>
    <n v="2024"/>
    <s v="Storm"/>
    <x v="1459"/>
    <n v="0"/>
  </r>
  <r>
    <s v="2024-0393-VNM"/>
    <x v="35"/>
    <n v="2024"/>
    <s v="Storm"/>
    <x v="1066"/>
    <n v="0"/>
  </r>
  <r>
    <s v="2024-0654-VNM"/>
    <x v="35"/>
    <n v="2024"/>
    <s v="Storm"/>
    <x v="1460"/>
    <n v="2000000"/>
  </r>
  <r>
    <s v="2024-0695-VNM"/>
    <x v="35"/>
    <n v="2024"/>
    <s v="Storm"/>
    <x v="1461"/>
    <n v="0"/>
  </r>
  <r>
    <s v="2024-0777-VNM"/>
    <x v="35"/>
    <n v="2024"/>
    <s v="Storm"/>
    <x v="1462"/>
    <n v="20600"/>
  </r>
  <r>
    <s v="2001-0402-YEM"/>
    <x v="36"/>
    <n v="2001"/>
    <s v="Flood"/>
    <x v="7"/>
    <n v="0"/>
  </r>
  <r>
    <s v="2001-0246-YEM"/>
    <x v="36"/>
    <n v="2001"/>
    <s v="Storm"/>
    <x v="7"/>
    <n v="0"/>
  </r>
  <r>
    <s v="2001-0434-YEM"/>
    <x v="36"/>
    <n v="2001"/>
    <s v="Storm"/>
    <x v="7"/>
    <n v="0"/>
  </r>
  <r>
    <s v="2002-0213-YEM"/>
    <x v="36"/>
    <n v="2002"/>
    <s v="Flood"/>
    <x v="862"/>
    <n v="0"/>
  </r>
  <r>
    <s v="2002-0410-YEM"/>
    <x v="36"/>
    <n v="2002"/>
    <s v="Flood"/>
    <x v="7"/>
    <n v="0"/>
  </r>
  <r>
    <s v="2002-0454-YEM"/>
    <x v="36"/>
    <n v="2002"/>
    <s v="Flood"/>
    <x v="7"/>
    <n v="0"/>
  </r>
  <r>
    <s v="2002-0576-YEM"/>
    <x v="36"/>
    <n v="2002"/>
    <s v="Flood"/>
    <x v="7"/>
    <n v="0"/>
  </r>
  <r>
    <s v="2003-0301-YEM"/>
    <x v="36"/>
    <n v="2003"/>
    <s v="Flood"/>
    <x v="7"/>
    <n v="0"/>
  </r>
  <r>
    <s v="2005-0222-YEM"/>
    <x v="36"/>
    <n v="2005"/>
    <s v="Flood"/>
    <x v="1463"/>
    <n v="0"/>
  </r>
  <r>
    <s v="2005-0737-YEM"/>
    <x v="36"/>
    <n v="2005"/>
    <s v="Flood"/>
    <x v="171"/>
    <n v="0"/>
  </r>
  <r>
    <s v="2006-0095-YEM"/>
    <x v="36"/>
    <n v="2006"/>
    <s v="Flood"/>
    <x v="9"/>
    <n v="0"/>
  </r>
  <r>
    <s v="2006-0165-YEM"/>
    <x v="36"/>
    <n v="2006"/>
    <s v="Flood"/>
    <x v="367"/>
    <n v="0"/>
  </r>
  <r>
    <s v="2007-0024-YEM"/>
    <x v="36"/>
    <n v="2007"/>
    <s v="Flood"/>
    <x v="9"/>
    <n v="0"/>
  </r>
  <r>
    <s v="2007-0103-YEM"/>
    <x v="36"/>
    <n v="2007"/>
    <s v="Flood"/>
    <x v="1464"/>
    <n v="0"/>
  </r>
  <r>
    <s v="2007-0406-YEM"/>
    <x v="36"/>
    <n v="2007"/>
    <s v="Flood"/>
    <x v="7"/>
    <n v="0"/>
  </r>
  <r>
    <s v="2008-0499-YEM"/>
    <x v="36"/>
    <n v="2008"/>
    <s v="Flood"/>
    <x v="1465"/>
    <n v="400000"/>
  </r>
  <r>
    <s v="2010-0183-YEM"/>
    <x v="36"/>
    <n v="2010"/>
    <s v="Flood"/>
    <x v="1466"/>
    <n v="0"/>
  </r>
  <r>
    <s v="2010-0320-YEM"/>
    <x v="36"/>
    <n v="2010"/>
    <s v="Flood"/>
    <x v="7"/>
    <n v="0"/>
  </r>
  <r>
    <s v="2013-0319-YEM"/>
    <x v="36"/>
    <n v="2013"/>
    <s v="Flood"/>
    <x v="1467"/>
    <n v="0"/>
  </r>
  <r>
    <s v="2015-0484-YEM"/>
    <x v="36"/>
    <n v="2015"/>
    <s v="Storm"/>
    <x v="1468"/>
    <n v="200000"/>
  </r>
  <r>
    <s v="2015-0494-YEM"/>
    <x v="36"/>
    <n v="2015"/>
    <s v="Storm"/>
    <x v="114"/>
    <n v="0"/>
  </r>
  <r>
    <s v="2016-0120-YEM"/>
    <x v="36"/>
    <n v="2016"/>
    <s v="Flood"/>
    <x v="1469"/>
    <n v="0"/>
  </r>
  <r>
    <s v="2017-0365-YEM"/>
    <x v="36"/>
    <n v="2017"/>
    <s v="Flood"/>
    <x v="494"/>
    <n v="0"/>
  </r>
  <r>
    <s v="2018-0177-YEM"/>
    <x v="36"/>
    <n v="2018"/>
    <s v="Storm"/>
    <x v="374"/>
    <n v="0"/>
  </r>
  <r>
    <s v="2018-0394-YEM"/>
    <x v="36"/>
    <n v="2018"/>
    <s v="Storm"/>
    <x v="1470"/>
    <n v="0"/>
  </r>
  <r>
    <s v="2019-0213-YEM"/>
    <x v="36"/>
    <n v="2019"/>
    <s v="Flood"/>
    <x v="583"/>
    <n v="0"/>
  </r>
  <r>
    <s v="2019-0252-YEM"/>
    <x v="36"/>
    <n v="2019"/>
    <s v="Flood"/>
    <x v="7"/>
    <n v="0"/>
  </r>
  <r>
    <s v="2019-0461-YEM"/>
    <x v="36"/>
    <n v="2019"/>
    <s v="Flood"/>
    <x v="20"/>
    <n v="0"/>
  </r>
  <r>
    <s v="2020-0108-YEM"/>
    <x v="36"/>
    <n v="2020"/>
    <s v="Flood"/>
    <x v="1471"/>
    <n v="10000"/>
  </r>
  <r>
    <s v="2020-0168-YEM"/>
    <x v="36"/>
    <n v="2020"/>
    <s v="Flood"/>
    <x v="1472"/>
    <n v="10000"/>
  </r>
  <r>
    <s v="2020-0216-YEM"/>
    <x v="36"/>
    <n v="2020"/>
    <s v="Flood"/>
    <x v="1473"/>
    <n v="0"/>
  </r>
  <r>
    <s v="2020-0596-YEM"/>
    <x v="36"/>
    <n v="2020"/>
    <s v="Flood"/>
    <x v="7"/>
    <n v="0"/>
  </r>
  <r>
    <s v="2021-0270-YEM"/>
    <x v="36"/>
    <n v="2021"/>
    <s v="Flood"/>
    <x v="1474"/>
    <n v="0"/>
  </r>
  <r>
    <s v="2021-0449-YEM"/>
    <x v="36"/>
    <n v="2021"/>
    <s v="Flood"/>
    <x v="1475"/>
    <n v="0"/>
  </r>
  <r>
    <s v="2022-0444-YEM"/>
    <x v="36"/>
    <n v="2022"/>
    <s v="Flood"/>
    <x v="1476"/>
    <n v="0"/>
  </r>
  <r>
    <s v="2022-0456-YEM"/>
    <x v="36"/>
    <n v="2022"/>
    <s v="Flood"/>
    <x v="1339"/>
    <n v="0"/>
  </r>
  <r>
    <s v="2022-0501-YEM"/>
    <x v="36"/>
    <n v="2022"/>
    <s v="Flood"/>
    <x v="436"/>
    <n v="0"/>
  </r>
  <r>
    <s v="2023-0384-YEM"/>
    <x v="36"/>
    <n v="2023"/>
    <s v="Flood"/>
    <x v="1477"/>
    <n v="0"/>
  </r>
  <r>
    <s v="2023-0685-YEM"/>
    <x v="36"/>
    <n v="2023"/>
    <s v="Storm"/>
    <x v="1478"/>
    <n v="0"/>
  </r>
  <r>
    <s v="2024-0282-YEM"/>
    <x v="36"/>
    <n v="2024"/>
    <s v="Flood"/>
    <x v="1479"/>
    <n v="0"/>
  </r>
  <r>
    <s v="2024-0580-YEM"/>
    <x v="36"/>
    <n v="2024"/>
    <s v="Flood"/>
    <x v="1480"/>
    <n v="0"/>
  </r>
  <r>
    <s v="2024-0649-YEM"/>
    <x v="36"/>
    <n v="2024"/>
    <s v="Flood"/>
    <x v="141"/>
    <n v="0"/>
  </r>
  <r>
    <s v="2024-0845-YEM"/>
    <x v="36"/>
    <n v="2024"/>
    <s v="Flood"/>
    <x v="148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D3A8A-905F-41FF-8BA3-7EE9B2546703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1" firstHeaderRow="0" firstDataRow="1" firstDataCol="1"/>
  <pivotFields count="6">
    <pivotField showAll="0"/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  <pivotField dataField="1" showAll="0">
      <items count="1483">
        <item x="7"/>
        <item x="1430"/>
        <item x="390"/>
        <item x="14"/>
        <item x="94"/>
        <item x="48"/>
        <item x="171"/>
        <item x="494"/>
        <item x="230"/>
        <item x="473"/>
        <item x="572"/>
        <item x="99"/>
        <item x="1379"/>
        <item x="31"/>
        <item x="828"/>
        <item x="503"/>
        <item x="238"/>
        <item x="522"/>
        <item x="810"/>
        <item x="984"/>
        <item x="466"/>
        <item x="240"/>
        <item x="237"/>
        <item x="110"/>
        <item x="97"/>
        <item x="646"/>
        <item x="342"/>
        <item x="111"/>
        <item x="1147"/>
        <item x="1267"/>
        <item x="231"/>
        <item x="1406"/>
        <item x="1109"/>
        <item x="1265"/>
        <item x="101"/>
        <item x="579"/>
        <item x="1155"/>
        <item x="1150"/>
        <item x="372"/>
        <item x="1220"/>
        <item x="1152"/>
        <item x="232"/>
        <item x="644"/>
        <item x="1172"/>
        <item x="12"/>
        <item x="105"/>
        <item x="804"/>
        <item x="427"/>
        <item x="255"/>
        <item x="647"/>
        <item x="793"/>
        <item x="489"/>
        <item x="611"/>
        <item x="1417"/>
        <item x="4"/>
        <item x="187"/>
        <item x="561"/>
        <item x="23"/>
        <item x="849"/>
        <item x="243"/>
        <item x="1241"/>
        <item x="1283"/>
        <item x="84"/>
        <item x="1223"/>
        <item x="966"/>
        <item x="1228"/>
        <item x="22"/>
        <item x="442"/>
        <item x="319"/>
        <item x="368"/>
        <item x="227"/>
        <item x="37"/>
        <item x="895"/>
        <item x="987"/>
        <item x="799"/>
        <item x="1080"/>
        <item x="1167"/>
        <item x="1347"/>
        <item x="1137"/>
        <item x="1284"/>
        <item x="1160"/>
        <item x="1176"/>
        <item x="96"/>
        <item x="758"/>
        <item x="1286"/>
        <item x="233"/>
        <item x="1473"/>
        <item x="383"/>
        <item x="119"/>
        <item x="1448"/>
        <item x="50"/>
        <item x="808"/>
        <item x="844"/>
        <item x="1215"/>
        <item x="590"/>
        <item x="13"/>
        <item x="1171"/>
        <item x="1209"/>
        <item x="1437"/>
        <item x="802"/>
        <item x="0"/>
        <item x="803"/>
        <item x="669"/>
        <item x="244"/>
        <item x="388"/>
        <item x="98"/>
        <item x="1230"/>
        <item x="747"/>
        <item x="902"/>
        <item x="1182"/>
        <item x="1185"/>
        <item x="1263"/>
        <item x="103"/>
        <item x="367"/>
        <item x="812"/>
        <item x="770"/>
        <item x="410"/>
        <item x="1227"/>
        <item x="945"/>
        <item x="641"/>
        <item x="687"/>
        <item x="1242"/>
        <item x="674"/>
        <item x="958"/>
        <item x="11"/>
        <item x="1066"/>
        <item x="613"/>
        <item x="61"/>
        <item x="1344"/>
        <item x="1156"/>
        <item x="125"/>
        <item x="112"/>
        <item x="293"/>
        <item x="469"/>
        <item x="619"/>
        <item x="287"/>
        <item x="655"/>
        <item x="791"/>
        <item x="20"/>
        <item x="17"/>
        <item x="597"/>
        <item x="1421"/>
        <item x="1094"/>
        <item x="656"/>
        <item x="767"/>
        <item x="1279"/>
        <item x="1240"/>
        <item x="229"/>
        <item x="1095"/>
        <item x="1217"/>
        <item x="526"/>
        <item x="68"/>
        <item x="337"/>
        <item x="280"/>
        <item x="1381"/>
        <item x="118"/>
        <item x="1204"/>
        <item x="969"/>
        <item x="28"/>
        <item x="1464"/>
        <item x="971"/>
        <item x="625"/>
        <item x="1264"/>
        <item x="35"/>
        <item x="1062"/>
        <item x="860"/>
        <item x="769"/>
        <item x="323"/>
        <item x="603"/>
        <item x="862"/>
        <item x="638"/>
        <item x="1463"/>
        <item x="821"/>
        <item x="789"/>
        <item x="374"/>
        <item x="272"/>
        <item x="1289"/>
        <item x="257"/>
        <item x="605"/>
        <item x="1136"/>
        <item x="1175"/>
        <item x="695"/>
        <item x="587"/>
        <item x="109"/>
        <item x="429"/>
        <item x="78"/>
        <item x="1090"/>
        <item x="1343"/>
        <item x="299"/>
        <item x="247"/>
        <item x="1165"/>
        <item x="1329"/>
        <item x="899"/>
        <item x="1380"/>
        <item x="1335"/>
        <item x="26"/>
        <item x="1174"/>
        <item x="1237"/>
        <item x="425"/>
        <item x="10"/>
        <item x="8"/>
        <item x="1466"/>
        <item x="1386"/>
        <item x="1092"/>
        <item x="422"/>
        <item x="418"/>
        <item x="652"/>
        <item x="781"/>
        <item x="15"/>
        <item x="651"/>
        <item x="845"/>
        <item x="228"/>
        <item x="645"/>
        <item x="42"/>
        <item x="248"/>
        <item x="141"/>
        <item x="786"/>
        <item x="166"/>
        <item x="964"/>
        <item x="765"/>
        <item x="649"/>
        <item x="1047"/>
        <item x="1243"/>
        <item x="39"/>
        <item x="888"/>
        <item x="6"/>
        <item x="608"/>
        <item x="106"/>
        <item x="1288"/>
        <item x="198"/>
        <item x="235"/>
        <item x="742"/>
        <item x="801"/>
        <item x="67"/>
        <item x="699"/>
        <item x="780"/>
        <item x="602"/>
        <item x="414"/>
        <item x="1273"/>
        <item x="679"/>
        <item x="790"/>
        <item x="985"/>
        <item x="81"/>
        <item x="929"/>
        <item x="564"/>
        <item x="1086"/>
        <item x="1218"/>
        <item x="241"/>
        <item x="324"/>
        <item x="177"/>
        <item x="960"/>
        <item x="996"/>
        <item x="1042"/>
        <item x="593"/>
        <item x="18"/>
        <item x="972"/>
        <item x="1098"/>
        <item x="636"/>
        <item x="85"/>
        <item x="136"/>
        <item x="546"/>
        <item x="712"/>
        <item x="637"/>
        <item x="435"/>
        <item x="811"/>
        <item x="115"/>
        <item x="1013"/>
        <item x="1345"/>
        <item x="426"/>
        <item x="29"/>
        <item x="917"/>
        <item x="729"/>
        <item x="102"/>
        <item x="1346"/>
        <item x="698"/>
        <item x="145"/>
        <item x="449"/>
        <item x="835"/>
        <item x="63"/>
        <item x="719"/>
        <item x="1461"/>
        <item x="724"/>
        <item x="1076"/>
        <item x="1056"/>
        <item x="431"/>
        <item x="1349"/>
        <item x="891"/>
        <item x="1354"/>
        <item x="88"/>
        <item x="524"/>
        <item x="59"/>
        <item x="403"/>
        <item x="541"/>
        <item x="734"/>
        <item x="9"/>
        <item x="1275"/>
        <item x="1338"/>
        <item x="981"/>
        <item x="1246"/>
        <item x="846"/>
        <item x="506"/>
        <item x="691"/>
        <item x="568"/>
        <item x="245"/>
        <item x="395"/>
        <item x="823"/>
        <item x="1091"/>
        <item x="701"/>
        <item x="527"/>
        <item x="1459"/>
        <item x="1356"/>
        <item x="764"/>
        <item x="246"/>
        <item x="1441"/>
        <item x="1188"/>
        <item x="1454"/>
        <item x="332"/>
        <item x="1067"/>
        <item x="375"/>
        <item x="1368"/>
        <item x="741"/>
        <item x="354"/>
        <item x="706"/>
        <item x="817"/>
        <item x="690"/>
        <item x="850"/>
        <item x="93"/>
        <item x="961"/>
        <item x="273"/>
        <item x="382"/>
        <item x="394"/>
        <item x="1162"/>
        <item x="601"/>
        <item x="1082"/>
        <item x="282"/>
        <item x="16"/>
        <item x="829"/>
        <item x="589"/>
        <item x="479"/>
        <item x="1192"/>
        <item x="852"/>
        <item x="159"/>
        <item x="1357"/>
        <item x="108"/>
        <item x="1449"/>
        <item x="1130"/>
        <item x="1221"/>
        <item x="57"/>
        <item x="836"/>
        <item x="1442"/>
        <item x="225"/>
        <item x="703"/>
        <item x="1198"/>
        <item x="1366"/>
        <item x="815"/>
        <item x="1099"/>
        <item x="658"/>
        <item x="134"/>
        <item x="1271"/>
        <item x="408"/>
        <item x="276"/>
        <item x="772"/>
        <item x="430"/>
        <item x="1274"/>
        <item x="773"/>
        <item x="1157"/>
        <item x="34"/>
        <item x="1159"/>
        <item x="1222"/>
        <item x="139"/>
        <item x="965"/>
        <item x="62"/>
        <item x="1123"/>
        <item x="633"/>
        <item x="549"/>
        <item x="46"/>
        <item x="309"/>
        <item x="1291"/>
        <item x="224"/>
        <item x="413"/>
        <item x="756"/>
        <item x="775"/>
        <item x="976"/>
        <item x="87"/>
        <item x="346"/>
        <item x="928"/>
        <item x="761"/>
        <item x="1348"/>
        <item x="1179"/>
        <item x="1207"/>
        <item x="330"/>
        <item x="40"/>
        <item x="777"/>
        <item x="82"/>
        <item x="909"/>
        <item x="623"/>
        <item x="436"/>
        <item x="675"/>
        <item x="263"/>
        <item x="628"/>
        <item x="1"/>
        <item x="1107"/>
        <item x="55"/>
        <item x="833"/>
        <item x="49"/>
        <item x="1272"/>
        <item x="1269"/>
        <item x="805"/>
        <item x="343"/>
        <item x="584"/>
        <item x="591"/>
        <item x="944"/>
        <item x="1033"/>
        <item x="653"/>
        <item x="941"/>
        <item x="718"/>
        <item x="130"/>
        <item x="977"/>
        <item x="325"/>
        <item x="563"/>
        <item x="1184"/>
        <item x="380"/>
        <item x="885"/>
        <item x="36"/>
        <item x="76"/>
        <item x="197"/>
        <item x="989"/>
        <item x="816"/>
        <item x="792"/>
        <item x="165"/>
        <item x="350"/>
        <item x="1426"/>
        <item x="1268"/>
        <item x="1427"/>
        <item x="75"/>
        <item x="5"/>
        <item x="632"/>
        <item x="140"/>
        <item x="1213"/>
        <item x="53"/>
        <item x="1078"/>
        <item x="809"/>
        <item x="1158"/>
        <item x="1257"/>
        <item x="763"/>
        <item x="1200"/>
        <item x="681"/>
        <item x="728"/>
        <item x="759"/>
        <item x="915"/>
        <item x="468"/>
        <item x="127"/>
        <item x="1443"/>
        <item x="377"/>
        <item x="935"/>
        <item x="1166"/>
        <item x="1112"/>
        <item x="830"/>
        <item x="545"/>
        <item x="1008"/>
        <item x="44"/>
        <item x="1411"/>
        <item x="1378"/>
        <item x="393"/>
        <item x="27"/>
        <item x="21"/>
        <item x="819"/>
        <item x="461"/>
        <item x="1153"/>
        <item x="364"/>
        <item x="968"/>
        <item x="1232"/>
        <item x="1239"/>
        <item x="1362"/>
        <item x="1191"/>
        <item x="697"/>
        <item x="1332"/>
        <item x="70"/>
        <item x="807"/>
        <item x="1358"/>
        <item x="135"/>
        <item x="54"/>
        <item x="1236"/>
        <item x="1364"/>
        <item x="1105"/>
        <item x="1360"/>
        <item x="296"/>
        <item x="175"/>
        <item x="727"/>
        <item x="123"/>
        <item x="750"/>
        <item x="333"/>
        <item x="3"/>
        <item x="1055"/>
        <item x="901"/>
        <item x="864"/>
        <item x="737"/>
        <item x="320"/>
        <item x="1216"/>
        <item x="370"/>
        <item x="1453"/>
        <item x="1011"/>
        <item x="1336"/>
        <item x="1355"/>
        <item x="1365"/>
        <item x="1110"/>
        <item x="1277"/>
        <item x="1278"/>
        <item x="1001"/>
        <item x="445"/>
        <item x="153"/>
        <item x="291"/>
        <item x="1351"/>
        <item x="796"/>
        <item x="1202"/>
        <item x="283"/>
        <item x="1002"/>
        <item x="822"/>
        <item x="1276"/>
        <item x="713"/>
        <item x="236"/>
        <item x="1313"/>
        <item x="903"/>
        <item x="1310"/>
        <item x="1359"/>
        <item x="72"/>
        <item x="559"/>
        <item x="980"/>
        <item x="483"/>
        <item x="560"/>
        <item x="396"/>
        <item x="607"/>
        <item x="1292"/>
        <item x="1353"/>
        <item x="397"/>
        <item x="1104"/>
        <item x="648"/>
        <item x="1361"/>
        <item x="900"/>
        <item x="30"/>
        <item x="398"/>
        <item x="662"/>
        <item x="146"/>
        <item x="1321"/>
        <item x="672"/>
        <item x="340"/>
        <item x="1458"/>
        <item x="1187"/>
        <item x="1214"/>
        <item x="486"/>
        <item x="1383"/>
        <item x="192"/>
        <item x="286"/>
        <item x="1303"/>
        <item x="906"/>
        <item x="863"/>
        <item x="1019"/>
        <item x="1397"/>
        <item x="1282"/>
        <item x="685"/>
        <item x="680"/>
        <item x="221"/>
        <item x="501"/>
        <item x="64"/>
        <item x="1226"/>
        <item x="887"/>
        <item x="585"/>
        <item x="176"/>
        <item x="285"/>
        <item x="1212"/>
        <item x="710"/>
        <item x="513"/>
        <item x="250"/>
        <item x="56"/>
        <item x="258"/>
        <item x="521"/>
        <item x="1457"/>
        <item x="259"/>
        <item x="47"/>
        <item x="933"/>
        <item x="387"/>
        <item x="122"/>
        <item x="1372"/>
        <item x="91"/>
        <item x="1084"/>
        <item x="1435"/>
        <item x="209"/>
        <item x="654"/>
        <item x="626"/>
        <item x="344"/>
        <item x="292"/>
        <item x="779"/>
        <item x="462"/>
        <item x="495"/>
        <item x="452"/>
        <item x="670"/>
        <item x="1450"/>
        <item x="170"/>
        <item x="1083"/>
        <item x="1119"/>
        <item x="355"/>
        <item x="144"/>
        <item x="1108"/>
        <item x="874"/>
        <item x="329"/>
        <item x="1229"/>
        <item x="534"/>
        <item x="714"/>
        <item x="239"/>
        <item x="116"/>
        <item x="19"/>
        <item x="743"/>
        <item x="1425"/>
        <item x="1208"/>
        <item x="142"/>
        <item x="278"/>
        <item x="1416"/>
        <item x="1022"/>
        <item x="169"/>
        <item x="622"/>
        <item x="544"/>
        <item x="356"/>
        <item x="700"/>
        <item x="739"/>
        <item x="639"/>
        <item x="172"/>
        <item x="696"/>
        <item x="721"/>
        <item x="1393"/>
        <item x="1050"/>
        <item x="886"/>
        <item x="366"/>
        <item x="1248"/>
        <item x="606"/>
        <item x="1238"/>
        <item x="671"/>
        <item x="813"/>
        <item x="1117"/>
        <item x="1403"/>
        <item x="643"/>
        <item x="249"/>
        <item x="1077"/>
        <item x="582"/>
        <item x="838"/>
        <item x="504"/>
        <item x="1363"/>
        <item x="537"/>
        <item x="599"/>
        <item x="164"/>
        <item x="707"/>
        <item x="950"/>
        <item x="1414"/>
        <item x="1131"/>
        <item x="52"/>
        <item x="1316"/>
        <item x="820"/>
        <item x="417"/>
        <item x="979"/>
        <item x="1103"/>
        <item x="1446"/>
        <item x="1120"/>
        <item x="692"/>
        <item x="666"/>
        <item x="1293"/>
        <item x="207"/>
        <item x="596"/>
        <item x="1231"/>
        <item x="1116"/>
        <item x="362"/>
        <item x="464"/>
        <item x="723"/>
        <item x="79"/>
        <item x="1233"/>
        <item x="752"/>
        <item x="1088"/>
        <item x="226"/>
        <item x="114"/>
        <item x="884"/>
        <item x="642"/>
        <item x="378"/>
        <item x="785"/>
        <item x="978"/>
        <item x="373"/>
        <item x="1127"/>
        <item x="826"/>
        <item x="1470"/>
        <item x="1145"/>
        <item x="650"/>
        <item x="1193"/>
        <item x="748"/>
        <item x="778"/>
        <item x="1350"/>
        <item x="152"/>
        <item x="1034"/>
        <item x="349"/>
        <item x="754"/>
        <item x="1252"/>
        <item x="275"/>
        <item x="766"/>
        <item x="1433"/>
        <item x="889"/>
        <item x="1004"/>
        <item x="1235"/>
        <item x="1352"/>
        <item x="755"/>
        <item x="1309"/>
        <item x="326"/>
        <item x="686"/>
        <item x="553"/>
        <item x="787"/>
        <item x="612"/>
        <item x="1407"/>
        <item x="32"/>
        <item x="1181"/>
        <item x="446"/>
        <item x="768"/>
        <item x="420"/>
        <item x="974"/>
        <item x="1219"/>
        <item x="529"/>
        <item x="840"/>
        <item x="973"/>
        <item x="69"/>
        <item x="725"/>
        <item x="615"/>
        <item x="407"/>
        <item x="518"/>
        <item x="994"/>
        <item x="183"/>
        <item x="432"/>
        <item x="682"/>
        <item x="1111"/>
        <item x="33"/>
        <item x="181"/>
        <item x="376"/>
        <item x="839"/>
        <item x="783"/>
        <item x="132"/>
        <item x="200"/>
        <item x="925"/>
        <item x="71"/>
        <item x="800"/>
        <item x="1404"/>
        <item x="551"/>
        <item x="1040"/>
        <item x="1186"/>
        <item x="620"/>
        <item x="795"/>
        <item x="970"/>
        <item x="1390"/>
        <item x="550"/>
        <item x="406"/>
        <item x="391"/>
        <item x="837"/>
        <item x="1333"/>
        <item x="1474"/>
        <item x="664"/>
        <item x="24"/>
        <item x="577"/>
        <item x="992"/>
        <item x="824"/>
        <item x="1471"/>
        <item x="893"/>
        <item x="722"/>
        <item x="663"/>
        <item x="1026"/>
        <item x="301"/>
        <item x="678"/>
        <item x="967"/>
        <item x="437"/>
        <item x="1102"/>
        <item x="749"/>
        <item x="120"/>
        <item x="1367"/>
        <item x="689"/>
        <item x="193"/>
        <item x="1465"/>
        <item x="952"/>
        <item x="731"/>
        <item x="156"/>
        <item x="774"/>
        <item x="673"/>
        <item x="938"/>
        <item x="1440"/>
        <item x="148"/>
        <item x="458"/>
        <item x="1057"/>
        <item x="554"/>
        <item x="100"/>
        <item x="51"/>
        <item x="640"/>
        <item x="995"/>
        <item x="1177"/>
        <item x="614"/>
        <item x="1115"/>
        <item x="1469"/>
        <item x="401"/>
        <item x="557"/>
        <item x="1093"/>
        <item x="1444"/>
        <item x="595"/>
        <item x="138"/>
        <item x="865"/>
        <item x="1234"/>
        <item x="74"/>
        <item x="288"/>
        <item x="369"/>
        <item x="357"/>
        <item x="345"/>
        <item x="150"/>
        <item x="1396"/>
        <item x="753"/>
        <item x="592"/>
        <item x="851"/>
        <item x="400"/>
        <item x="1382"/>
        <item x="1005"/>
        <item x="629"/>
        <item x="1337"/>
        <item x="113"/>
        <item x="1370"/>
        <item x="1304"/>
        <item x="1045"/>
        <item x="610"/>
        <item x="1041"/>
        <item x="1415"/>
        <item x="1096"/>
        <item x="1439"/>
        <item x="834"/>
        <item x="919"/>
        <item x="512"/>
        <item x="234"/>
        <item x="294"/>
        <item x="365"/>
        <item x="90"/>
        <item x="1402"/>
        <item x="1479"/>
        <item x="1121"/>
        <item x="412"/>
        <item x="117"/>
        <item x="43"/>
        <item x="757"/>
        <item x="1428"/>
        <item x="1007"/>
        <item x="202"/>
        <item x="411"/>
        <item x="305"/>
        <item x="916"/>
        <item x="1476"/>
        <item x="547"/>
        <item x="1429"/>
        <item x="842"/>
        <item x="720"/>
        <item x="1262"/>
        <item x="265"/>
        <item x="745"/>
        <item x="1327"/>
        <item x="415"/>
        <item x="896"/>
        <item x="147"/>
        <item x="866"/>
        <item x="402"/>
        <item x="92"/>
        <item x="848"/>
        <item x="1290"/>
        <item x="453"/>
        <item x="256"/>
        <item x="443"/>
        <item x="1124"/>
        <item x="1195"/>
        <item x="385"/>
        <item x="405"/>
        <item x="476"/>
        <item x="957"/>
        <item x="1467"/>
        <item x="160"/>
        <item x="1385"/>
        <item x="1201"/>
        <item x="434"/>
        <item x="1326"/>
        <item x="363"/>
        <item x="924"/>
        <item x="306"/>
        <item x="776"/>
        <item x="708"/>
        <item x="252"/>
        <item x="1298"/>
        <item x="1451"/>
        <item x="253"/>
        <item x="190"/>
        <item x="709"/>
        <item x="303"/>
        <item x="657"/>
        <item x="1287"/>
        <item x="717"/>
        <item x="1308"/>
        <item x="341"/>
        <item x="1394"/>
        <item x="1135"/>
        <item x="660"/>
        <item x="1016"/>
        <item x="1395"/>
        <item x="898"/>
        <item x="107"/>
        <item x="1069"/>
        <item x="514"/>
        <item x="705"/>
        <item x="736"/>
        <item x="104"/>
        <item x="1190"/>
        <item x="41"/>
        <item x="542"/>
        <item x="1035"/>
        <item x="1118"/>
        <item x="1408"/>
        <item x="1161"/>
        <item x="484"/>
        <item x="1331"/>
        <item x="1438"/>
        <item x="806"/>
        <item x="1037"/>
        <item x="930"/>
        <item x="908"/>
        <item x="222"/>
        <item x="738"/>
        <item x="491"/>
        <item x="1054"/>
        <item x="348"/>
        <item x="1170"/>
        <item x="910"/>
        <item x="1006"/>
        <item x="131"/>
        <item x="1323"/>
        <item x="1307"/>
        <item x="438"/>
        <item x="151"/>
        <item x="1445"/>
        <item x="1113"/>
        <item x="951"/>
        <item x="274"/>
        <item x="384"/>
        <item x="392"/>
        <item x="1373"/>
        <item x="1044"/>
        <item x="565"/>
        <item x="129"/>
        <item x="982"/>
        <item x="242"/>
        <item x="959"/>
        <item x="1139"/>
        <item x="735"/>
        <item x="379"/>
        <item x="1009"/>
        <item x="173"/>
        <item x="450"/>
        <item x="347"/>
        <item x="578"/>
        <item x="1015"/>
        <item x="1024"/>
        <item x="744"/>
        <item x="740"/>
        <item x="583"/>
        <item x="178"/>
        <item x="677"/>
        <item x="124"/>
        <item x="1330"/>
        <item x="1447"/>
        <item x="1087"/>
        <item x="598"/>
        <item x="1205"/>
        <item x="665"/>
        <item x="631"/>
        <item x="716"/>
        <item x="1043"/>
        <item x="914"/>
        <item x="531"/>
        <item x="676"/>
        <item x="204"/>
        <item x="424"/>
        <item x="1189"/>
        <item x="588"/>
        <item x="339"/>
        <item x="1051"/>
        <item x="1029"/>
        <item x="939"/>
        <item x="1178"/>
        <item x="627"/>
        <item x="277"/>
        <item x="1478"/>
        <item x="733"/>
        <item x="1141"/>
        <item x="936"/>
        <item x="2"/>
        <item x="867"/>
        <item x="854"/>
        <item x="871"/>
        <item x="300"/>
        <item x="251"/>
        <item x="60"/>
        <item x="1031"/>
        <item x="1391"/>
        <item x="794"/>
        <item x="338"/>
        <item x="570"/>
        <item x="1434"/>
        <item x="321"/>
        <item x="168"/>
        <item x="991"/>
        <item x="873"/>
        <item x="158"/>
        <item x="726"/>
        <item x="1036"/>
        <item x="693"/>
        <item x="890"/>
        <item x="1311"/>
        <item x="683"/>
        <item x="1244"/>
        <item x="604"/>
        <item x="684"/>
        <item x="1059"/>
        <item x="927"/>
        <item x="1052"/>
        <item x="949"/>
        <item x="381"/>
        <item x="1053"/>
        <item x="1413"/>
        <item x="268"/>
        <item x="1468"/>
        <item x="128"/>
        <item x="784"/>
        <item x="1325"/>
        <item x="715"/>
        <item x="932"/>
        <item x="998"/>
        <item x="318"/>
        <item x="661"/>
        <item x="912"/>
        <item x="983"/>
        <item x="1371"/>
        <item x="1089"/>
        <item x="630"/>
        <item x="990"/>
        <item x="1255"/>
        <item x="1297"/>
        <item x="1225"/>
        <item x="439"/>
        <item x="386"/>
        <item x="533"/>
        <item x="260"/>
        <item x="86"/>
        <item x="730"/>
        <item x="841"/>
        <item x="454"/>
        <item x="667"/>
        <item x="254"/>
        <item x="66"/>
        <item x="191"/>
        <item x="556"/>
        <item x="1164"/>
        <item x="353"/>
        <item x="931"/>
        <item x="174"/>
        <item x="940"/>
        <item x="1320"/>
        <item x="428"/>
        <item x="617"/>
        <item x="881"/>
        <item x="948"/>
        <item x="58"/>
        <item x="1128"/>
        <item x="868"/>
        <item x="1285"/>
        <item x="1249"/>
        <item x="1114"/>
        <item x="1462"/>
        <item x="451"/>
        <item x="771"/>
        <item x="1020"/>
        <item x="1206"/>
        <item x="284"/>
        <item x="264"/>
        <item x="856"/>
        <item x="1472"/>
        <item x="490"/>
        <item x="1318"/>
        <item x="954"/>
        <item x="1322"/>
        <item x="421"/>
        <item x="1245"/>
        <item x="1341"/>
        <item x="472"/>
        <item x="855"/>
        <item x="1317"/>
        <item x="923"/>
        <item x="797"/>
        <item x="894"/>
        <item x="999"/>
        <item x="1301"/>
        <item x="1012"/>
        <item x="1324"/>
        <item x="1075"/>
        <item x="704"/>
        <item x="934"/>
        <item x="953"/>
        <item x="1480"/>
        <item x="918"/>
        <item x="1339"/>
        <item x="1010"/>
        <item x="943"/>
        <item x="519"/>
        <item x="327"/>
        <item x="1072"/>
        <item x="1203"/>
        <item x="317"/>
        <item x="1424"/>
        <item x="1079"/>
        <item x="798"/>
        <item x="1025"/>
        <item x="1146"/>
        <item x="1101"/>
        <item x="1106"/>
        <item x="956"/>
        <item x="1254"/>
        <item x="1422"/>
        <item x="911"/>
        <item x="269"/>
        <item x="1377"/>
        <item x="423"/>
        <item x="827"/>
        <item x="760"/>
        <item x="155"/>
        <item x="1140"/>
        <item x="267"/>
        <item x="1270"/>
        <item x="399"/>
        <item x="1475"/>
        <item x="1420"/>
        <item x="818"/>
        <item x="95"/>
        <item x="308"/>
        <item x="877"/>
        <item x="1455"/>
        <item x="904"/>
        <item x="853"/>
        <item x="621"/>
        <item x="311"/>
        <item x="126"/>
        <item x="1000"/>
        <item x="1376"/>
        <item x="1319"/>
        <item x="488"/>
        <item x="419"/>
        <item x="1261"/>
        <item x="1253"/>
        <item x="732"/>
        <item x="955"/>
        <item x="1328"/>
        <item x="878"/>
        <item x="290"/>
        <item x="1340"/>
        <item x="1197"/>
        <item x="219"/>
        <item x="297"/>
        <item x="316"/>
        <item x="947"/>
        <item x="875"/>
        <item x="1334"/>
        <item x="185"/>
        <item x="702"/>
        <item x="659"/>
        <item x="189"/>
        <item x="80"/>
        <item x="913"/>
        <item x="210"/>
        <item x="963"/>
        <item x="271"/>
        <item x="832"/>
        <item x="1074"/>
        <item x="847"/>
        <item x="89"/>
        <item x="1039"/>
        <item x="668"/>
        <item x="843"/>
        <item x="315"/>
        <item x="1456"/>
        <item x="335"/>
        <item x="788"/>
        <item x="212"/>
        <item x="624"/>
        <item x="163"/>
        <item x="223"/>
        <item x="1259"/>
        <item x="1409"/>
        <item x="38"/>
        <item x="872"/>
        <item x="688"/>
        <item x="997"/>
        <item x="1375"/>
        <item x="937"/>
        <item x="261"/>
        <item x="552"/>
        <item x="1097"/>
        <item x="1314"/>
        <item x="1073"/>
        <item x="883"/>
        <item x="351"/>
        <item x="1477"/>
        <item x="433"/>
        <item x="371"/>
        <item x="121"/>
        <item x="1296"/>
        <item x="1384"/>
        <item x="634"/>
        <item x="266"/>
        <item x="1061"/>
        <item x="1183"/>
        <item x="594"/>
        <item x="444"/>
        <item x="295"/>
        <item x="1299"/>
        <item x="77"/>
        <item x="516"/>
        <item x="1210"/>
        <item x="1048"/>
        <item x="281"/>
        <item x="331"/>
        <item x="196"/>
        <item x="1018"/>
        <item x="1126"/>
        <item x="474"/>
        <item x="1224"/>
        <item x="1389"/>
        <item x="922"/>
        <item x="1452"/>
        <item x="814"/>
        <item x="1342"/>
        <item x="1306"/>
        <item x="441"/>
        <item x="1196"/>
        <item x="1032"/>
        <item x="359"/>
        <item x="618"/>
        <item x="1003"/>
        <item x="1134"/>
        <item x="1405"/>
        <item x="1258"/>
        <item x="1049"/>
        <item x="322"/>
        <item x="1023"/>
        <item x="467"/>
        <item x="310"/>
        <item x="154"/>
        <item x="942"/>
        <item x="1399"/>
        <item x="586"/>
        <item x="711"/>
        <item x="1151"/>
        <item x="485"/>
        <item x="515"/>
        <item x="746"/>
        <item x="694"/>
        <item x="538"/>
        <item x="907"/>
        <item x="892"/>
        <item x="334"/>
        <item x="600"/>
        <item x="1250"/>
        <item x="988"/>
        <item x="480"/>
        <item x="1180"/>
        <item x="1065"/>
        <item x="1419"/>
        <item x="83"/>
        <item x="507"/>
        <item x="448"/>
        <item x="1064"/>
        <item x="162"/>
        <item x="1300"/>
        <item x="361"/>
        <item x="1423"/>
        <item x="182"/>
        <item x="616"/>
        <item x="1071"/>
        <item x="520"/>
        <item x="470"/>
        <item x="1481"/>
        <item x="1194"/>
        <item x="1418"/>
        <item x="1400"/>
        <item x="1392"/>
        <item x="1436"/>
        <item x="1431"/>
        <item x="1294"/>
        <item x="882"/>
        <item x="279"/>
        <item x="566"/>
        <item x="416"/>
        <item x="905"/>
        <item x="859"/>
        <item x="1027"/>
        <item x="1280"/>
        <item x="216"/>
        <item x="1014"/>
        <item x="1401"/>
        <item x="1063"/>
        <item x="530"/>
        <item x="478"/>
        <item x="1070"/>
        <item x="498"/>
        <item x="1199"/>
        <item x="880"/>
        <item x="986"/>
        <item x="562"/>
        <item x="1315"/>
        <item x="1122"/>
        <item x="1125"/>
        <item x="523"/>
        <item x="975"/>
        <item x="897"/>
        <item x="167"/>
        <item x="215"/>
        <item x="574"/>
        <item x="1060"/>
        <item x="1169"/>
        <item x="312"/>
        <item x="1295"/>
        <item x="1302"/>
        <item x="262"/>
        <item x="1312"/>
        <item x="1374"/>
        <item x="920"/>
        <item x="1058"/>
        <item x="782"/>
        <item x="962"/>
        <item x="203"/>
        <item x="1388"/>
        <item x="1030"/>
        <item x="921"/>
        <item x="1129"/>
        <item x="213"/>
        <item x="569"/>
        <item x="336"/>
        <item x="270"/>
        <item x="993"/>
        <item x="199"/>
        <item x="137"/>
        <item x="1387"/>
        <item x="1148"/>
        <item x="194"/>
        <item x="157"/>
        <item x="1017"/>
        <item x="1168"/>
        <item x="1021"/>
        <item x="1369"/>
        <item x="186"/>
        <item x="1154"/>
        <item x="535"/>
        <item x="1046"/>
        <item x="567"/>
        <item x="143"/>
        <item x="1138"/>
        <item x="1068"/>
        <item x="926"/>
        <item x="575"/>
        <item x="1085"/>
        <item x="536"/>
        <item x="45"/>
        <item x="1305"/>
        <item x="1211"/>
        <item x="532"/>
        <item x="133"/>
        <item x="1412"/>
        <item x="499"/>
        <item x="25"/>
        <item x="475"/>
        <item x="946"/>
        <item x="482"/>
        <item x="440"/>
        <item x="510"/>
        <item x="409"/>
        <item x="580"/>
        <item x="1410"/>
        <item x="511"/>
        <item x="751"/>
        <item x="481"/>
        <item x="857"/>
        <item x="497"/>
        <item x="352"/>
        <item x="1038"/>
        <item x="1398"/>
        <item x="1260"/>
        <item x="328"/>
        <item x="635"/>
        <item x="1149"/>
        <item x="1100"/>
        <item x="201"/>
        <item x="540"/>
        <item x="149"/>
        <item x="195"/>
        <item x="358"/>
        <item x="465"/>
        <item x="609"/>
        <item x="505"/>
        <item x="1028"/>
        <item x="206"/>
        <item x="876"/>
        <item x="508"/>
        <item x="858"/>
        <item x="404"/>
        <item x="1460"/>
        <item x="389"/>
        <item x="870"/>
        <item x="861"/>
        <item x="581"/>
        <item x="184"/>
        <item x="1247"/>
        <item x="487"/>
        <item x="500"/>
        <item x="869"/>
        <item x="1432"/>
        <item x="573"/>
        <item x="360"/>
        <item x="879"/>
        <item x="463"/>
        <item x="447"/>
        <item x="220"/>
        <item x="1163"/>
        <item x="304"/>
        <item x="831"/>
        <item x="1144"/>
        <item x="502"/>
        <item x="1132"/>
        <item x="217"/>
        <item x="188"/>
        <item x="1143"/>
        <item x="211"/>
        <item x="509"/>
        <item x="1081"/>
        <item x="218"/>
        <item x="302"/>
        <item x="455"/>
        <item x="298"/>
        <item x="1251"/>
        <item x="313"/>
        <item x="457"/>
        <item x="1133"/>
        <item x="1256"/>
        <item x="214"/>
        <item x="208"/>
        <item x="496"/>
        <item x="205"/>
        <item x="576"/>
        <item x="543"/>
        <item x="180"/>
        <item x="456"/>
        <item x="825"/>
        <item x="307"/>
        <item x="571"/>
        <item x="73"/>
        <item x="493"/>
        <item x="1281"/>
        <item x="289"/>
        <item x="517"/>
        <item x="65"/>
        <item x="528"/>
        <item x="179"/>
        <item x="1266"/>
        <item x="539"/>
        <item x="558"/>
        <item x="492"/>
        <item x="762"/>
        <item x="555"/>
        <item x="477"/>
        <item x="1142"/>
        <item x="548"/>
        <item x="314"/>
        <item x="471"/>
        <item x="1173"/>
        <item x="161"/>
        <item x="460"/>
        <item x="459"/>
        <item x="525"/>
        <item t="default"/>
      </items>
    </pivotField>
    <pivotField dataField="1"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 of Total affected" fld="4" baseField="1" baseItem="2" numFmtId="3"/>
    <dataField name="Sum of Sum of Total Damage" fld="5" baseField="1" baseItem="3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A264-682F-44AF-A665-2A64D8B4C4C1}">
  <dimension ref="A3:J41"/>
  <sheetViews>
    <sheetView topLeftCell="A15" workbookViewId="0">
      <selection activeCell="B39" sqref="B39"/>
    </sheetView>
  </sheetViews>
  <sheetFormatPr defaultRowHeight="14.4" x14ac:dyDescent="0.3"/>
  <cols>
    <col min="1" max="1" width="20.77734375" bestFit="1" customWidth="1"/>
    <col min="2" max="2" width="24.6640625" bestFit="1" customWidth="1"/>
    <col min="3" max="3" width="24.5546875" bestFit="1" customWidth="1"/>
    <col min="8" max="8" width="16.6640625" bestFit="1" customWidth="1"/>
    <col min="9" max="9" width="18.88671875" customWidth="1"/>
  </cols>
  <sheetData>
    <row r="3" spans="1:10" x14ac:dyDescent="0.3">
      <c r="A3" s="1" t="s">
        <v>2690</v>
      </c>
      <c r="B3" t="s">
        <v>2692</v>
      </c>
      <c r="C3" t="s">
        <v>2693</v>
      </c>
      <c r="H3" t="s">
        <v>2694</v>
      </c>
      <c r="I3" t="s">
        <v>2695</v>
      </c>
    </row>
    <row r="4" spans="1:10" x14ac:dyDescent="0.3">
      <c r="A4" s="2" t="s">
        <v>6</v>
      </c>
      <c r="B4" s="3">
        <v>30972654</v>
      </c>
      <c r="C4" s="3">
        <v>170050</v>
      </c>
      <c r="H4" s="4">
        <f>SUMIFS(old_data!E:E, old_data!$B:$B, $A4)</f>
        <v>32547990</v>
      </c>
      <c r="I4" s="5">
        <f>B4 - H4</f>
        <v>-1575336</v>
      </c>
      <c r="J4" s="6">
        <f>(B4 / H4) - 1</f>
        <v>-4.8400408135801931E-2</v>
      </c>
    </row>
    <row r="5" spans="1:10" x14ac:dyDescent="0.3">
      <c r="A5" s="2" t="s">
        <v>25</v>
      </c>
      <c r="B5" s="3">
        <v>479268</v>
      </c>
      <c r="C5" s="3">
        <v>6480017</v>
      </c>
      <c r="H5" s="4">
        <f>SUMIFS(old_data!E:E, old_data!$B:$B, $A5)</f>
        <v>465815</v>
      </c>
      <c r="I5" s="5">
        <f t="shared" ref="I5:I40" si="0">B5 - H5</f>
        <v>13453</v>
      </c>
      <c r="J5" s="6">
        <f t="shared" ref="J5:J40" si="1">(B5 / H5) - 1</f>
        <v>2.8880564172471868E-2</v>
      </c>
    </row>
    <row r="6" spans="1:10" x14ac:dyDescent="0.3">
      <c r="A6" s="2" t="s">
        <v>12</v>
      </c>
      <c r="B6" s="3">
        <v>8906940</v>
      </c>
      <c r="C6" s="3">
        <v>2000</v>
      </c>
      <c r="H6" s="4">
        <f>SUMIFS(old_data!E:E, old_data!$B:$B, $A6)</f>
        <v>6159496</v>
      </c>
      <c r="I6" s="5">
        <f t="shared" si="0"/>
        <v>2747444</v>
      </c>
      <c r="J6" s="6">
        <f t="shared" si="1"/>
        <v>0.44605013137438521</v>
      </c>
    </row>
    <row r="7" spans="1:10" x14ac:dyDescent="0.3">
      <c r="A7" s="2" t="s">
        <v>13</v>
      </c>
      <c r="B7" s="3">
        <v>128999</v>
      </c>
      <c r="C7" s="3">
        <v>55000</v>
      </c>
      <c r="H7" s="4">
        <f>SUMIFS(old_data!E:E, old_data!$B:$B, $A7)</f>
        <v>132293</v>
      </c>
      <c r="I7" s="5">
        <f t="shared" si="0"/>
        <v>-3294</v>
      </c>
      <c r="J7" s="6">
        <f t="shared" si="1"/>
        <v>-2.4899276605716114E-2</v>
      </c>
    </row>
    <row r="8" spans="1:10" x14ac:dyDescent="0.3">
      <c r="A8" s="2" t="s">
        <v>8</v>
      </c>
      <c r="B8" s="3">
        <v>145116752</v>
      </c>
      <c r="C8" s="3">
        <v>10100585</v>
      </c>
      <c r="H8" s="4">
        <f>SUMIFS(old_data!E:E, old_data!$B:$B, $A8)</f>
        <v>128914607</v>
      </c>
      <c r="I8" s="5">
        <f t="shared" si="0"/>
        <v>16202145</v>
      </c>
      <c r="J8" s="6">
        <f t="shared" si="1"/>
        <v>0.12568121935165966</v>
      </c>
    </row>
    <row r="9" spans="1:10" x14ac:dyDescent="0.3">
      <c r="A9" s="2" t="s">
        <v>10</v>
      </c>
      <c r="B9" s="3">
        <v>1676746</v>
      </c>
      <c r="C9" s="3">
        <v>699580</v>
      </c>
      <c r="H9" s="4">
        <f>SUMIFS(old_data!E:E, old_data!$B:$B, $A9)</f>
        <v>1661726</v>
      </c>
      <c r="I9" s="5">
        <f t="shared" si="0"/>
        <v>15020</v>
      </c>
      <c r="J9" s="6">
        <f t="shared" si="1"/>
        <v>9.0387946027203903E-3</v>
      </c>
    </row>
    <row r="10" spans="1:10" x14ac:dyDescent="0.3">
      <c r="A10" s="2" t="s">
        <v>15</v>
      </c>
      <c r="B10" s="3">
        <v>76192</v>
      </c>
      <c r="C10" s="3">
        <v>1447200</v>
      </c>
      <c r="H10" s="4">
        <f>SUMIFS(old_data!E:E, old_data!$B:$B, $A10)</f>
        <v>72156</v>
      </c>
      <c r="I10" s="5">
        <f t="shared" si="0"/>
        <v>4036</v>
      </c>
      <c r="J10" s="6">
        <f t="shared" si="1"/>
        <v>5.5934364432618233E-2</v>
      </c>
    </row>
    <row r="11" spans="1:10" x14ac:dyDescent="0.3">
      <c r="A11" s="2" t="s">
        <v>44</v>
      </c>
      <c r="B11" s="3">
        <v>2352664</v>
      </c>
      <c r="C11" s="3">
        <v>578980</v>
      </c>
      <c r="H11" s="4">
        <f>SUMIFS(old_data!E:E, old_data!$B:$B, $A11)</f>
        <v>1250578</v>
      </c>
      <c r="I11" s="5">
        <f t="shared" si="0"/>
        <v>1102086</v>
      </c>
      <c r="J11" s="6">
        <f t="shared" si="1"/>
        <v>0.88126130477267317</v>
      </c>
    </row>
    <row r="12" spans="1:10" x14ac:dyDescent="0.3">
      <c r="A12" s="2" t="s">
        <v>47</v>
      </c>
      <c r="B12" s="3">
        <v>1510176</v>
      </c>
      <c r="C12" s="3">
        <v>0</v>
      </c>
      <c r="H12" s="4">
        <f>SUMIFS(old_data!E:E, old_data!$B:$B, $A12)</f>
        <v>1410176</v>
      </c>
      <c r="I12" s="5">
        <f t="shared" si="0"/>
        <v>100000</v>
      </c>
      <c r="J12" s="6">
        <f t="shared" si="1"/>
        <v>7.0913134247072795E-2</v>
      </c>
    </row>
    <row r="13" spans="1:10" x14ac:dyDescent="0.3">
      <c r="A13" s="2" t="s">
        <v>40</v>
      </c>
      <c r="B13" s="3">
        <v>3777912</v>
      </c>
      <c r="C13" s="3">
        <v>4586600</v>
      </c>
      <c r="H13" s="4">
        <f>SUMIFS(old_data!E:E, old_data!$B:$B, $A13)</f>
        <v>3769129</v>
      </c>
      <c r="I13" s="5">
        <f t="shared" si="0"/>
        <v>8783</v>
      </c>
      <c r="J13" s="6">
        <f t="shared" si="1"/>
        <v>2.3302465901273717E-3</v>
      </c>
    </row>
    <row r="14" spans="1:10" x14ac:dyDescent="0.3">
      <c r="A14" s="2" t="s">
        <v>26</v>
      </c>
      <c r="B14" s="3">
        <v>80389882</v>
      </c>
      <c r="C14" s="3">
        <v>2051600</v>
      </c>
      <c r="H14" s="4">
        <f>SUMIFS(old_data!E:E, old_data!$B:$B, $A14)</f>
        <v>78738334</v>
      </c>
      <c r="I14" s="5">
        <f t="shared" si="0"/>
        <v>1651548</v>
      </c>
      <c r="J14" s="6">
        <f t="shared" si="1"/>
        <v>2.0975145346610935E-2</v>
      </c>
    </row>
    <row r="15" spans="1:10" x14ac:dyDescent="0.3">
      <c r="A15" s="2" t="s">
        <v>19</v>
      </c>
      <c r="B15" s="3">
        <v>20637649</v>
      </c>
      <c r="C15" s="3">
        <v>2619132</v>
      </c>
      <c r="H15" s="4">
        <f>SUMIFS(old_data!E:E, old_data!$B:$B, $A15)</f>
        <v>15479613</v>
      </c>
      <c r="I15" s="5">
        <f t="shared" si="0"/>
        <v>5158036</v>
      </c>
      <c r="J15" s="6">
        <f t="shared" si="1"/>
        <v>0.33321479031807844</v>
      </c>
    </row>
    <row r="16" spans="1:10" x14ac:dyDescent="0.3">
      <c r="A16" s="2" t="s">
        <v>27</v>
      </c>
      <c r="B16" s="3">
        <v>13412102</v>
      </c>
      <c r="C16" s="3">
        <v>12484591</v>
      </c>
      <c r="H16" s="4">
        <f>SUMIFS(old_data!E:E, old_data!$B:$B, $A16)</f>
        <v>13014329</v>
      </c>
      <c r="I16" s="5">
        <f t="shared" si="0"/>
        <v>397773</v>
      </c>
      <c r="J16" s="6">
        <f t="shared" si="1"/>
        <v>3.0564234237508536E-2</v>
      </c>
    </row>
    <row r="17" spans="1:10" x14ac:dyDescent="0.3">
      <c r="A17" s="2" t="s">
        <v>23</v>
      </c>
      <c r="B17" s="3">
        <v>9903997</v>
      </c>
      <c r="C17" s="3">
        <v>446479</v>
      </c>
      <c r="H17" s="4">
        <f>SUMIFS(old_data!E:E, old_data!$B:$B, $A17)</f>
        <v>9729248</v>
      </c>
      <c r="I17" s="5">
        <f t="shared" si="0"/>
        <v>174749</v>
      </c>
      <c r="J17" s="6">
        <f t="shared" si="1"/>
        <v>1.7961203168014528E-2</v>
      </c>
    </row>
    <row r="18" spans="1:10" x14ac:dyDescent="0.3">
      <c r="A18" s="2" t="s">
        <v>16</v>
      </c>
      <c r="B18" s="3">
        <v>1042171360</v>
      </c>
      <c r="C18" s="3">
        <v>120077161</v>
      </c>
      <c r="H18" s="4">
        <f>SUMIFS(old_data!E:E, old_data!$B:$B, $A18)</f>
        <v>1108608452</v>
      </c>
      <c r="I18" s="5">
        <f t="shared" si="0"/>
        <v>-66437092</v>
      </c>
      <c r="J18" s="6">
        <f t="shared" si="1"/>
        <v>-5.9928365041907461E-2</v>
      </c>
    </row>
    <row r="19" spans="1:10" x14ac:dyDescent="0.3">
      <c r="A19" s="2" t="s">
        <v>20</v>
      </c>
      <c r="B19" s="3">
        <v>40774271</v>
      </c>
      <c r="C19" s="3">
        <v>21687513</v>
      </c>
      <c r="H19" s="4">
        <f>SUMIFS(old_data!E:E, old_data!$B:$B, $A19)</f>
        <v>22370306</v>
      </c>
      <c r="I19" s="5">
        <f t="shared" si="0"/>
        <v>18403965</v>
      </c>
      <c r="J19" s="6">
        <f t="shared" si="1"/>
        <v>0.82269616696347381</v>
      </c>
    </row>
    <row r="20" spans="1:10" x14ac:dyDescent="0.3">
      <c r="A20" s="2" t="s">
        <v>18</v>
      </c>
      <c r="B20" s="3">
        <v>19456475</v>
      </c>
      <c r="C20" s="3">
        <v>10312866</v>
      </c>
      <c r="H20" s="4">
        <f>SUMIFS(old_data!E:E, old_data!$B:$B, $A20)</f>
        <v>19157008</v>
      </c>
      <c r="I20" s="5">
        <f t="shared" si="0"/>
        <v>299467</v>
      </c>
      <c r="J20" s="6">
        <f t="shared" si="1"/>
        <v>1.5632242780292183E-2</v>
      </c>
    </row>
    <row r="21" spans="1:10" x14ac:dyDescent="0.3">
      <c r="A21" s="2" t="s">
        <v>28</v>
      </c>
      <c r="B21" s="3">
        <v>1029371</v>
      </c>
      <c r="C21" s="3">
        <v>2556757</v>
      </c>
      <c r="H21" s="4">
        <f>SUMIFS(old_data!E:E, old_data!$B:$B, $A21)</f>
        <v>869311</v>
      </c>
      <c r="I21" s="5">
        <f t="shared" si="0"/>
        <v>160060</v>
      </c>
      <c r="J21" s="6">
        <f t="shared" si="1"/>
        <v>0.18412282830885607</v>
      </c>
    </row>
    <row r="22" spans="1:10" x14ac:dyDescent="0.3">
      <c r="A22" s="2" t="s">
        <v>34</v>
      </c>
      <c r="B22" s="3">
        <v>34785745</v>
      </c>
      <c r="C22" s="3">
        <v>846500</v>
      </c>
      <c r="H22" s="4">
        <f>SUMIFS(old_data!E:E, old_data!$B:$B, $A22)</f>
        <v>33661846</v>
      </c>
      <c r="I22" s="5">
        <f t="shared" si="0"/>
        <v>1123899</v>
      </c>
      <c r="J22" s="6">
        <f t="shared" si="1"/>
        <v>3.3387919367226626E-2</v>
      </c>
    </row>
    <row r="23" spans="1:10" x14ac:dyDescent="0.3">
      <c r="A23" s="2" t="s">
        <v>48</v>
      </c>
      <c r="B23" s="3">
        <v>2168398</v>
      </c>
      <c r="C23" s="3">
        <v>14860</v>
      </c>
      <c r="H23" s="4">
        <f>SUMIFS(old_data!E:E, old_data!$B:$B, $A23)</f>
        <v>2060997</v>
      </c>
      <c r="I23" s="5">
        <f t="shared" si="0"/>
        <v>107401</v>
      </c>
      <c r="J23" s="6">
        <f t="shared" si="1"/>
        <v>5.211118696436734E-2</v>
      </c>
    </row>
    <row r="24" spans="1:10" x14ac:dyDescent="0.3">
      <c r="A24" s="2" t="s">
        <v>22</v>
      </c>
      <c r="B24" s="3">
        <v>11010371</v>
      </c>
      <c r="C24" s="3">
        <v>1007181</v>
      </c>
      <c r="H24" s="4">
        <f>SUMIFS(old_data!E:E, old_data!$B:$B, $A24)</f>
        <v>11995276</v>
      </c>
      <c r="I24" s="5">
        <f t="shared" si="0"/>
        <v>-984905</v>
      </c>
      <c r="J24" s="6">
        <f t="shared" si="1"/>
        <v>-8.2107739746880348E-2</v>
      </c>
    </row>
    <row r="25" spans="1:10" x14ac:dyDescent="0.3">
      <c r="A25" s="2" t="s">
        <v>21</v>
      </c>
      <c r="B25" s="3">
        <v>15068716</v>
      </c>
      <c r="C25" s="3">
        <v>56155605</v>
      </c>
      <c r="H25" s="4">
        <f>SUMIFS(old_data!E:E, old_data!$B:$B, $A25)</f>
        <v>14085967</v>
      </c>
      <c r="I25" s="5">
        <f t="shared" si="0"/>
        <v>982749</v>
      </c>
      <c r="J25" s="6">
        <f t="shared" si="1"/>
        <v>6.9767947063911206E-2</v>
      </c>
    </row>
    <row r="26" spans="1:10" x14ac:dyDescent="0.3">
      <c r="A26" s="2" t="s">
        <v>29</v>
      </c>
      <c r="B26" s="3">
        <v>1111867</v>
      </c>
      <c r="C26" s="3">
        <v>7931250</v>
      </c>
      <c r="H26" s="4">
        <f>SUMIFS(old_data!E:E, old_data!$B:$B, $A26)</f>
        <v>266975</v>
      </c>
      <c r="I26" s="5">
        <f t="shared" si="0"/>
        <v>844892</v>
      </c>
      <c r="J26" s="6">
        <f t="shared" si="1"/>
        <v>3.1646858320067421</v>
      </c>
    </row>
    <row r="27" spans="1:10" x14ac:dyDescent="0.3">
      <c r="A27" s="2" t="s">
        <v>30</v>
      </c>
      <c r="B27" s="3">
        <v>22953295</v>
      </c>
      <c r="C27" s="3">
        <v>2513600</v>
      </c>
      <c r="H27" s="4">
        <f>SUMIFS(old_data!E:E, old_data!$B:$B, $A27)</f>
        <v>23261633</v>
      </c>
      <c r="I27" s="5">
        <f t="shared" si="0"/>
        <v>-308338</v>
      </c>
      <c r="J27" s="6">
        <f t="shared" si="1"/>
        <v>-1.3255217292784227E-2</v>
      </c>
    </row>
    <row r="28" spans="1:10" x14ac:dyDescent="0.3">
      <c r="A28" s="2" t="s">
        <v>45</v>
      </c>
      <c r="B28" s="3">
        <v>8771336</v>
      </c>
      <c r="C28" s="3">
        <v>7161758</v>
      </c>
      <c r="H28" s="4">
        <f>SUMIFS(old_data!E:E, old_data!$B:$B, $A28)</f>
        <v>6389029</v>
      </c>
      <c r="I28" s="5">
        <f t="shared" si="0"/>
        <v>2382307</v>
      </c>
      <c r="J28" s="6">
        <f t="shared" si="1"/>
        <v>0.37287465747925075</v>
      </c>
    </row>
    <row r="29" spans="1:10" x14ac:dyDescent="0.3">
      <c r="A29" s="2" t="s">
        <v>31</v>
      </c>
      <c r="B29" s="3">
        <v>5016543</v>
      </c>
      <c r="C29" s="3">
        <v>144490</v>
      </c>
      <c r="H29" s="4">
        <f>SUMIFS(old_data!E:E, old_data!$B:$B, $A29)</f>
        <v>3366543</v>
      </c>
      <c r="I29" s="5">
        <f t="shared" si="0"/>
        <v>1650000</v>
      </c>
      <c r="J29" s="6">
        <f t="shared" si="1"/>
        <v>0.49011701320909906</v>
      </c>
    </row>
    <row r="30" spans="1:10" x14ac:dyDescent="0.3">
      <c r="A30" s="2" t="s">
        <v>33</v>
      </c>
      <c r="B30" s="3">
        <v>13481365</v>
      </c>
      <c r="C30" s="3">
        <v>6589472</v>
      </c>
      <c r="H30" s="4">
        <f>SUMIFS(old_data!E:E, old_data!$B:$B, $A30)</f>
        <v>10600378</v>
      </c>
      <c r="I30" s="5">
        <f t="shared" si="0"/>
        <v>2880987</v>
      </c>
      <c r="J30" s="6">
        <f t="shared" si="1"/>
        <v>0.27178153458301213</v>
      </c>
    </row>
    <row r="31" spans="1:10" x14ac:dyDescent="0.3">
      <c r="A31" s="2" t="s">
        <v>24</v>
      </c>
      <c r="B31" s="3">
        <v>2674751</v>
      </c>
      <c r="C31" s="3">
        <v>1104050</v>
      </c>
      <c r="H31" s="4">
        <f>SUMIFS(old_data!E:E, old_data!$B:$B, $A31)</f>
        <v>2645238</v>
      </c>
      <c r="I31" s="5">
        <f t="shared" si="0"/>
        <v>29513</v>
      </c>
      <c r="J31" s="6">
        <f t="shared" si="1"/>
        <v>1.1157030104663512E-2</v>
      </c>
    </row>
    <row r="32" spans="1:10" x14ac:dyDescent="0.3">
      <c r="A32" s="2" t="s">
        <v>35</v>
      </c>
      <c r="B32" s="3">
        <v>95866478</v>
      </c>
      <c r="C32" s="3">
        <v>42356648</v>
      </c>
      <c r="H32" s="4">
        <f>SUMIFS(old_data!E:E, old_data!$B:$B, $A32)</f>
        <v>95169548</v>
      </c>
      <c r="I32" s="5">
        <f t="shared" si="0"/>
        <v>696930</v>
      </c>
      <c r="J32" s="6">
        <f t="shared" si="1"/>
        <v>7.3230357256715006E-3</v>
      </c>
    </row>
    <row r="33" spans="1:10" x14ac:dyDescent="0.3">
      <c r="A33" s="2" t="s">
        <v>36</v>
      </c>
      <c r="B33" s="3">
        <v>6294132</v>
      </c>
      <c r="C33" s="3">
        <v>5147050</v>
      </c>
      <c r="H33" s="4">
        <f>SUMIFS(old_data!E:E, old_data!$B:$B, $A33)</f>
        <v>6239252</v>
      </c>
      <c r="I33" s="5">
        <f t="shared" si="0"/>
        <v>54880</v>
      </c>
      <c r="J33" s="6">
        <f t="shared" si="1"/>
        <v>8.7959261783303599E-3</v>
      </c>
    </row>
    <row r="34" spans="1:10" x14ac:dyDescent="0.3">
      <c r="A34" s="2" t="s">
        <v>39</v>
      </c>
      <c r="B34" s="3">
        <v>190562</v>
      </c>
      <c r="C34" s="3">
        <v>2663018</v>
      </c>
      <c r="H34" s="4">
        <f>SUMIFS(old_data!E:E, old_data!$B:$B, $A34)</f>
        <v>239293</v>
      </c>
      <c r="I34" s="5">
        <f t="shared" si="0"/>
        <v>-48731</v>
      </c>
      <c r="J34" s="6">
        <f t="shared" si="1"/>
        <v>-0.20364573974165567</v>
      </c>
    </row>
    <row r="35" spans="1:10" x14ac:dyDescent="0.3">
      <c r="A35" s="2" t="s">
        <v>41</v>
      </c>
      <c r="B35" s="3">
        <v>35041104</v>
      </c>
      <c r="C35" s="3">
        <v>1175020</v>
      </c>
      <c r="H35" s="4">
        <f>SUMIFS(old_data!E:E, old_data!$B:$B, $A35)</f>
        <v>31962604</v>
      </c>
      <c r="I35" s="5">
        <f t="shared" si="0"/>
        <v>3078500</v>
      </c>
      <c r="J35" s="6">
        <f t="shared" si="1"/>
        <v>9.6315681913776485E-2</v>
      </c>
    </row>
    <row r="36" spans="1:10" x14ac:dyDescent="0.3">
      <c r="A36" s="2" t="s">
        <v>38</v>
      </c>
      <c r="B36" s="3">
        <v>31350909</v>
      </c>
      <c r="C36" s="3">
        <v>7085305</v>
      </c>
      <c r="H36" s="4">
        <f>SUMIFS(old_data!E:E, old_data!$B:$B, $A36)</f>
        <v>31257891</v>
      </c>
      <c r="I36" s="5">
        <f t="shared" si="0"/>
        <v>93018</v>
      </c>
      <c r="J36" s="6">
        <f t="shared" si="1"/>
        <v>2.9758245685864715E-3</v>
      </c>
    </row>
    <row r="37" spans="1:10" x14ac:dyDescent="0.3">
      <c r="A37" s="2" t="s">
        <v>17</v>
      </c>
      <c r="B37" s="3">
        <v>18305068</v>
      </c>
      <c r="C37" s="3">
        <v>3995750</v>
      </c>
      <c r="H37" s="4">
        <f>SUMIFS(old_data!E:E, old_data!$B:$B, $A37)</f>
        <v>17784075</v>
      </c>
      <c r="I37" s="5">
        <f t="shared" si="0"/>
        <v>520993</v>
      </c>
      <c r="J37" s="6">
        <f t="shared" si="1"/>
        <v>2.9295479241962186E-2</v>
      </c>
    </row>
    <row r="38" spans="1:10" x14ac:dyDescent="0.3">
      <c r="A38" s="2" t="s">
        <v>42</v>
      </c>
      <c r="B38" s="3">
        <v>1385412</v>
      </c>
      <c r="C38" s="3">
        <v>330330</v>
      </c>
      <c r="H38" s="4">
        <f>SUMIFS(old_data!E:E, old_data!$B:$B, $A38)</f>
        <v>4391372</v>
      </c>
      <c r="I38" s="5">
        <f t="shared" si="0"/>
        <v>-3005960</v>
      </c>
      <c r="J38" s="6">
        <f t="shared" si="1"/>
        <v>-0.68451499895704582</v>
      </c>
    </row>
    <row r="39" spans="1:10" x14ac:dyDescent="0.3">
      <c r="A39" s="2" t="s">
        <v>43</v>
      </c>
      <c r="B39" s="3">
        <v>41179569</v>
      </c>
      <c r="C39" s="3">
        <v>22522204</v>
      </c>
      <c r="H39" s="4">
        <f>SUMIFS(old_data!E:E, old_data!$B:$B, $A39)</f>
        <v>41879223</v>
      </c>
      <c r="I39" s="5">
        <f t="shared" si="0"/>
        <v>-699654</v>
      </c>
      <c r="J39" s="6">
        <f t="shared" si="1"/>
        <v>-1.6706470413741958E-2</v>
      </c>
    </row>
    <row r="40" spans="1:10" x14ac:dyDescent="0.3">
      <c r="A40" s="2" t="s">
        <v>46</v>
      </c>
      <c r="B40" s="3">
        <v>2219189</v>
      </c>
      <c r="C40" s="3">
        <v>620000</v>
      </c>
      <c r="H40" s="4">
        <f>SUMIFS(old_data!E:E, old_data!$B:$B, $A40)</f>
        <v>962852</v>
      </c>
      <c r="I40" s="5">
        <f t="shared" si="0"/>
        <v>1256337</v>
      </c>
      <c r="J40" s="6">
        <f t="shared" si="1"/>
        <v>1.3048080078765998</v>
      </c>
    </row>
    <row r="41" spans="1:10" x14ac:dyDescent="0.3">
      <c r="A41" s="2" t="s">
        <v>2691</v>
      </c>
      <c r="B41" s="3">
        <v>1771648220</v>
      </c>
      <c r="C41" s="3">
        <v>365720202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D071-3FBF-40EA-8DFC-19732D609DD1}">
  <dimension ref="A1:F2641"/>
  <sheetViews>
    <sheetView tabSelected="1" topLeftCell="A2615" workbookViewId="0">
      <selection activeCell="G2622" sqref="G26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49</v>
      </c>
      <c r="B2" t="s">
        <v>6</v>
      </c>
      <c r="C2">
        <v>2001</v>
      </c>
      <c r="D2" t="s">
        <v>14</v>
      </c>
      <c r="E2">
        <v>270</v>
      </c>
      <c r="F2">
        <v>0</v>
      </c>
    </row>
    <row r="3" spans="1:6" x14ac:dyDescent="0.3">
      <c r="A3" t="s">
        <v>50</v>
      </c>
      <c r="B3" t="s">
        <v>6</v>
      </c>
      <c r="C3">
        <v>2002</v>
      </c>
      <c r="D3" t="s">
        <v>14</v>
      </c>
      <c r="E3">
        <v>3513</v>
      </c>
      <c r="F3">
        <v>0</v>
      </c>
    </row>
    <row r="4" spans="1:6" x14ac:dyDescent="0.3">
      <c r="A4" t="s">
        <v>51</v>
      </c>
      <c r="B4" t="s">
        <v>6</v>
      </c>
      <c r="C4">
        <v>2002</v>
      </c>
      <c r="D4" t="s">
        <v>14</v>
      </c>
      <c r="E4">
        <v>91228</v>
      </c>
      <c r="F4">
        <v>0</v>
      </c>
    </row>
    <row r="5" spans="1:6" x14ac:dyDescent="0.3">
      <c r="A5" t="s">
        <v>52</v>
      </c>
      <c r="B5" t="s">
        <v>6</v>
      </c>
      <c r="C5">
        <v>2002</v>
      </c>
      <c r="D5" t="s">
        <v>14</v>
      </c>
      <c r="E5">
        <v>6150</v>
      </c>
      <c r="F5">
        <v>0</v>
      </c>
    </row>
    <row r="6" spans="1:6" x14ac:dyDescent="0.3">
      <c r="A6" t="s">
        <v>53</v>
      </c>
      <c r="B6" t="s">
        <v>6</v>
      </c>
      <c r="C6">
        <v>2002</v>
      </c>
      <c r="D6" t="s">
        <v>9</v>
      </c>
      <c r="E6">
        <v>120</v>
      </c>
      <c r="F6">
        <v>0</v>
      </c>
    </row>
    <row r="7" spans="1:6" x14ac:dyDescent="0.3">
      <c r="A7" t="s">
        <v>54</v>
      </c>
      <c r="B7" t="s">
        <v>6</v>
      </c>
      <c r="C7">
        <v>2002</v>
      </c>
      <c r="D7" t="s">
        <v>9</v>
      </c>
      <c r="E7">
        <v>4225</v>
      </c>
      <c r="F7">
        <v>0</v>
      </c>
    </row>
    <row r="8" spans="1:6" x14ac:dyDescent="0.3">
      <c r="A8" t="s">
        <v>55</v>
      </c>
      <c r="B8" t="s">
        <v>6</v>
      </c>
      <c r="C8">
        <v>2002</v>
      </c>
      <c r="D8" t="s">
        <v>9</v>
      </c>
      <c r="E8">
        <v>1200</v>
      </c>
      <c r="F8">
        <v>0</v>
      </c>
    </row>
    <row r="9" spans="1:6" x14ac:dyDescent="0.3">
      <c r="A9" t="s">
        <v>56</v>
      </c>
      <c r="B9" t="s">
        <v>6</v>
      </c>
      <c r="C9">
        <v>2002</v>
      </c>
      <c r="D9" t="s">
        <v>9</v>
      </c>
      <c r="E9">
        <v>0</v>
      </c>
      <c r="F9">
        <v>0</v>
      </c>
    </row>
    <row r="10" spans="1:6" x14ac:dyDescent="0.3">
      <c r="A10" t="s">
        <v>57</v>
      </c>
      <c r="B10" t="s">
        <v>6</v>
      </c>
      <c r="C10">
        <v>2003</v>
      </c>
      <c r="D10" t="s">
        <v>14</v>
      </c>
      <c r="E10">
        <v>1001</v>
      </c>
      <c r="F10">
        <v>0</v>
      </c>
    </row>
    <row r="11" spans="1:6" x14ac:dyDescent="0.3">
      <c r="A11" t="s">
        <v>58</v>
      </c>
      <c r="B11" t="s">
        <v>6</v>
      </c>
      <c r="C11">
        <v>2003</v>
      </c>
      <c r="D11" t="s">
        <v>9</v>
      </c>
      <c r="E11">
        <v>0</v>
      </c>
      <c r="F11">
        <v>0</v>
      </c>
    </row>
    <row r="12" spans="1:6" x14ac:dyDescent="0.3">
      <c r="A12" t="s">
        <v>59</v>
      </c>
      <c r="B12" t="s">
        <v>6</v>
      </c>
      <c r="C12">
        <v>2003</v>
      </c>
      <c r="D12" t="s">
        <v>9</v>
      </c>
      <c r="E12">
        <v>2000</v>
      </c>
      <c r="F12">
        <v>0</v>
      </c>
    </row>
    <row r="13" spans="1:6" x14ac:dyDescent="0.3">
      <c r="A13" t="s">
        <v>60</v>
      </c>
      <c r="B13" t="s">
        <v>6</v>
      </c>
      <c r="C13">
        <v>2003</v>
      </c>
      <c r="D13" t="s">
        <v>9</v>
      </c>
      <c r="E13">
        <v>1000</v>
      </c>
      <c r="F13">
        <v>0</v>
      </c>
    </row>
    <row r="14" spans="1:6" x14ac:dyDescent="0.3">
      <c r="A14" t="s">
        <v>61</v>
      </c>
      <c r="B14" t="s">
        <v>6</v>
      </c>
      <c r="C14">
        <v>2003</v>
      </c>
      <c r="D14" t="s">
        <v>9</v>
      </c>
      <c r="E14">
        <v>400</v>
      </c>
      <c r="F14">
        <v>0</v>
      </c>
    </row>
    <row r="15" spans="1:6" x14ac:dyDescent="0.3">
      <c r="A15" t="s">
        <v>62</v>
      </c>
      <c r="B15" t="s">
        <v>6</v>
      </c>
      <c r="C15">
        <v>2003</v>
      </c>
      <c r="D15" t="s">
        <v>9</v>
      </c>
      <c r="E15">
        <v>100</v>
      </c>
      <c r="F15">
        <v>0</v>
      </c>
    </row>
    <row r="16" spans="1:6" x14ac:dyDescent="0.3">
      <c r="A16" t="s">
        <v>63</v>
      </c>
      <c r="B16" t="s">
        <v>6</v>
      </c>
      <c r="C16">
        <v>2003</v>
      </c>
      <c r="D16" t="s">
        <v>9</v>
      </c>
      <c r="E16">
        <v>250</v>
      </c>
      <c r="F16">
        <v>0</v>
      </c>
    </row>
    <row r="17" spans="1:6" x14ac:dyDescent="0.3">
      <c r="A17" t="s">
        <v>64</v>
      </c>
      <c r="B17" t="s">
        <v>6</v>
      </c>
      <c r="C17">
        <v>2003</v>
      </c>
      <c r="D17" t="s">
        <v>9</v>
      </c>
      <c r="E17">
        <v>3</v>
      </c>
      <c r="F17">
        <v>0</v>
      </c>
    </row>
    <row r="18" spans="1:6" x14ac:dyDescent="0.3">
      <c r="A18" t="s">
        <v>65</v>
      </c>
      <c r="B18" t="s">
        <v>6</v>
      </c>
      <c r="C18">
        <v>2003</v>
      </c>
      <c r="D18" t="s">
        <v>9</v>
      </c>
      <c r="E18">
        <v>0</v>
      </c>
      <c r="F18">
        <v>0</v>
      </c>
    </row>
    <row r="19" spans="1:6" x14ac:dyDescent="0.3">
      <c r="A19" t="s">
        <v>66</v>
      </c>
      <c r="B19" t="s">
        <v>6</v>
      </c>
      <c r="C19">
        <v>2004</v>
      </c>
      <c r="D19" t="s">
        <v>14</v>
      </c>
      <c r="E19">
        <v>1040</v>
      </c>
      <c r="F19">
        <v>0</v>
      </c>
    </row>
    <row r="20" spans="1:6" x14ac:dyDescent="0.3">
      <c r="A20" t="s">
        <v>67</v>
      </c>
      <c r="B20" t="s">
        <v>6</v>
      </c>
      <c r="C20">
        <v>2004</v>
      </c>
      <c r="D20" t="s">
        <v>9</v>
      </c>
      <c r="E20">
        <v>2500</v>
      </c>
      <c r="F20">
        <v>0</v>
      </c>
    </row>
    <row r="21" spans="1:6" x14ac:dyDescent="0.3">
      <c r="A21" t="s">
        <v>68</v>
      </c>
      <c r="B21" t="s">
        <v>6</v>
      </c>
      <c r="C21">
        <v>2004</v>
      </c>
      <c r="D21" t="s">
        <v>9</v>
      </c>
      <c r="E21">
        <v>2000</v>
      </c>
      <c r="F21">
        <v>0</v>
      </c>
    </row>
    <row r="22" spans="1:6" x14ac:dyDescent="0.3">
      <c r="A22" t="s">
        <v>69</v>
      </c>
      <c r="B22" t="s">
        <v>6</v>
      </c>
      <c r="C22">
        <v>2005</v>
      </c>
      <c r="D22" t="s">
        <v>14</v>
      </c>
      <c r="E22">
        <v>0</v>
      </c>
      <c r="F22">
        <v>50</v>
      </c>
    </row>
    <row r="23" spans="1:6" x14ac:dyDescent="0.3">
      <c r="A23" t="s">
        <v>70</v>
      </c>
      <c r="B23" t="s">
        <v>6</v>
      </c>
      <c r="C23">
        <v>2005</v>
      </c>
      <c r="D23" t="s">
        <v>14</v>
      </c>
      <c r="E23">
        <v>501</v>
      </c>
      <c r="F23">
        <v>0</v>
      </c>
    </row>
    <row r="24" spans="1:6" x14ac:dyDescent="0.3">
      <c r="A24" t="s">
        <v>71</v>
      </c>
      <c r="B24" t="s">
        <v>6</v>
      </c>
      <c r="C24">
        <v>2005</v>
      </c>
      <c r="D24" t="s">
        <v>9</v>
      </c>
      <c r="E24">
        <v>1500</v>
      </c>
      <c r="F24">
        <v>0</v>
      </c>
    </row>
    <row r="25" spans="1:6" x14ac:dyDescent="0.3">
      <c r="A25" t="s">
        <v>72</v>
      </c>
      <c r="B25" t="s">
        <v>6</v>
      </c>
      <c r="C25">
        <v>2005</v>
      </c>
      <c r="D25" t="s">
        <v>9</v>
      </c>
      <c r="E25">
        <v>11003</v>
      </c>
      <c r="F25">
        <v>0</v>
      </c>
    </row>
    <row r="26" spans="1:6" x14ac:dyDescent="0.3">
      <c r="A26" t="s">
        <v>73</v>
      </c>
      <c r="B26" t="s">
        <v>6</v>
      </c>
      <c r="C26">
        <v>2005</v>
      </c>
      <c r="D26" t="s">
        <v>9</v>
      </c>
      <c r="E26">
        <v>500</v>
      </c>
      <c r="F26">
        <v>0</v>
      </c>
    </row>
    <row r="27" spans="1:6" x14ac:dyDescent="0.3">
      <c r="A27" t="s">
        <v>74</v>
      </c>
      <c r="B27" t="s">
        <v>6</v>
      </c>
      <c r="C27">
        <v>2005</v>
      </c>
      <c r="D27" t="s">
        <v>9</v>
      </c>
      <c r="E27">
        <v>5040</v>
      </c>
      <c r="F27">
        <v>0</v>
      </c>
    </row>
    <row r="28" spans="1:6" x14ac:dyDescent="0.3">
      <c r="A28" t="s">
        <v>75</v>
      </c>
      <c r="B28" t="s">
        <v>6</v>
      </c>
      <c r="C28">
        <v>2005</v>
      </c>
      <c r="D28" t="s">
        <v>9</v>
      </c>
      <c r="E28">
        <v>0</v>
      </c>
      <c r="F28">
        <v>0</v>
      </c>
    </row>
    <row r="29" spans="1:6" x14ac:dyDescent="0.3">
      <c r="A29" t="s">
        <v>76</v>
      </c>
      <c r="B29" t="s">
        <v>6</v>
      </c>
      <c r="C29">
        <v>2005</v>
      </c>
      <c r="D29" t="s">
        <v>9</v>
      </c>
      <c r="E29">
        <v>0</v>
      </c>
      <c r="F29">
        <v>0</v>
      </c>
    </row>
    <row r="30" spans="1:6" x14ac:dyDescent="0.3">
      <c r="A30" t="s">
        <v>77</v>
      </c>
      <c r="B30" t="s">
        <v>6</v>
      </c>
      <c r="C30">
        <v>2005</v>
      </c>
      <c r="D30" t="s">
        <v>9</v>
      </c>
      <c r="E30">
        <v>150</v>
      </c>
      <c r="F30">
        <v>0</v>
      </c>
    </row>
    <row r="31" spans="1:6" x14ac:dyDescent="0.3">
      <c r="A31" t="s">
        <v>78</v>
      </c>
      <c r="B31" t="s">
        <v>6</v>
      </c>
      <c r="C31">
        <v>2005</v>
      </c>
      <c r="D31" t="s">
        <v>9</v>
      </c>
      <c r="E31">
        <v>125</v>
      </c>
      <c r="F31">
        <v>0</v>
      </c>
    </row>
    <row r="32" spans="1:6" x14ac:dyDescent="0.3">
      <c r="A32" t="s">
        <v>79</v>
      </c>
      <c r="B32" t="s">
        <v>6</v>
      </c>
      <c r="C32">
        <v>2005</v>
      </c>
      <c r="D32" t="s">
        <v>2689</v>
      </c>
      <c r="E32">
        <v>22656</v>
      </c>
      <c r="F32">
        <v>5000</v>
      </c>
    </row>
    <row r="33" spans="1:6" x14ac:dyDescent="0.3">
      <c r="A33" t="s">
        <v>80</v>
      </c>
      <c r="B33" t="s">
        <v>6</v>
      </c>
      <c r="C33">
        <v>2006</v>
      </c>
      <c r="D33" t="s">
        <v>7</v>
      </c>
      <c r="E33">
        <v>1900000</v>
      </c>
      <c r="F33">
        <v>0</v>
      </c>
    </row>
    <row r="34" spans="1:6" x14ac:dyDescent="0.3">
      <c r="A34" t="s">
        <v>81</v>
      </c>
      <c r="B34" t="s">
        <v>6</v>
      </c>
      <c r="C34">
        <v>2006</v>
      </c>
      <c r="D34" t="s">
        <v>14</v>
      </c>
      <c r="E34">
        <v>935</v>
      </c>
      <c r="F34">
        <v>0</v>
      </c>
    </row>
    <row r="35" spans="1:6" x14ac:dyDescent="0.3">
      <c r="A35" t="s">
        <v>82</v>
      </c>
      <c r="B35" t="s">
        <v>6</v>
      </c>
      <c r="C35">
        <v>2006</v>
      </c>
      <c r="D35" t="s">
        <v>9</v>
      </c>
      <c r="E35">
        <v>5025</v>
      </c>
      <c r="F35">
        <v>0</v>
      </c>
    </row>
    <row r="36" spans="1:6" x14ac:dyDescent="0.3">
      <c r="A36" t="s">
        <v>83</v>
      </c>
      <c r="B36" t="s">
        <v>6</v>
      </c>
      <c r="C36">
        <v>2006</v>
      </c>
      <c r="D36" t="s">
        <v>9</v>
      </c>
      <c r="E36">
        <v>615</v>
      </c>
      <c r="F36">
        <v>0</v>
      </c>
    </row>
    <row r="37" spans="1:6" x14ac:dyDescent="0.3">
      <c r="A37" t="s">
        <v>84</v>
      </c>
      <c r="B37" t="s">
        <v>6</v>
      </c>
      <c r="C37">
        <v>2006</v>
      </c>
      <c r="D37" t="s">
        <v>9</v>
      </c>
      <c r="E37">
        <v>1735</v>
      </c>
      <c r="F37">
        <v>0</v>
      </c>
    </row>
    <row r="38" spans="1:6" x14ac:dyDescent="0.3">
      <c r="A38" t="s">
        <v>85</v>
      </c>
      <c r="B38" t="s">
        <v>6</v>
      </c>
      <c r="C38">
        <v>2006</v>
      </c>
      <c r="D38" t="s">
        <v>9</v>
      </c>
      <c r="E38">
        <v>0</v>
      </c>
      <c r="F38">
        <v>0</v>
      </c>
    </row>
    <row r="39" spans="1:6" x14ac:dyDescent="0.3">
      <c r="A39" t="s">
        <v>86</v>
      </c>
      <c r="B39" t="s">
        <v>6</v>
      </c>
      <c r="C39">
        <v>2006</v>
      </c>
      <c r="D39" t="s">
        <v>9</v>
      </c>
      <c r="E39">
        <v>8000</v>
      </c>
      <c r="F39">
        <v>0</v>
      </c>
    </row>
    <row r="40" spans="1:6" x14ac:dyDescent="0.3">
      <c r="A40" t="s">
        <v>87</v>
      </c>
      <c r="B40" t="s">
        <v>6</v>
      </c>
      <c r="C40">
        <v>2006</v>
      </c>
      <c r="D40" t="s">
        <v>9</v>
      </c>
      <c r="E40">
        <v>20</v>
      </c>
      <c r="F40">
        <v>0</v>
      </c>
    </row>
    <row r="41" spans="1:6" x14ac:dyDescent="0.3">
      <c r="A41" t="s">
        <v>88</v>
      </c>
      <c r="B41" t="s">
        <v>6</v>
      </c>
      <c r="C41">
        <v>2006</v>
      </c>
      <c r="D41" t="s">
        <v>9</v>
      </c>
      <c r="E41">
        <v>17580</v>
      </c>
      <c r="F41">
        <v>0</v>
      </c>
    </row>
    <row r="42" spans="1:6" x14ac:dyDescent="0.3">
      <c r="A42" t="s">
        <v>89</v>
      </c>
      <c r="B42" t="s">
        <v>6</v>
      </c>
      <c r="C42">
        <v>2006</v>
      </c>
      <c r="D42" t="s">
        <v>2689</v>
      </c>
      <c r="E42">
        <v>0</v>
      </c>
      <c r="F42">
        <v>0</v>
      </c>
    </row>
    <row r="43" spans="1:6" x14ac:dyDescent="0.3">
      <c r="A43" t="s">
        <v>90</v>
      </c>
      <c r="B43" t="s">
        <v>6</v>
      </c>
      <c r="C43">
        <v>2006</v>
      </c>
      <c r="D43" t="s">
        <v>2689</v>
      </c>
      <c r="E43">
        <v>0</v>
      </c>
      <c r="F43">
        <v>0</v>
      </c>
    </row>
    <row r="44" spans="1:6" x14ac:dyDescent="0.3">
      <c r="A44" t="s">
        <v>91</v>
      </c>
      <c r="B44" t="s">
        <v>6</v>
      </c>
      <c r="C44">
        <v>2007</v>
      </c>
      <c r="D44" t="s">
        <v>9</v>
      </c>
      <c r="E44">
        <v>20000</v>
      </c>
      <c r="F44">
        <v>0</v>
      </c>
    </row>
    <row r="45" spans="1:6" x14ac:dyDescent="0.3">
      <c r="A45" t="s">
        <v>92</v>
      </c>
      <c r="B45" t="s">
        <v>6</v>
      </c>
      <c r="C45">
        <v>2007</v>
      </c>
      <c r="D45" t="s">
        <v>9</v>
      </c>
      <c r="E45">
        <v>2950</v>
      </c>
      <c r="F45">
        <v>0</v>
      </c>
    </row>
    <row r="46" spans="1:6" x14ac:dyDescent="0.3">
      <c r="A46" t="s">
        <v>93</v>
      </c>
      <c r="B46" t="s">
        <v>6</v>
      </c>
      <c r="C46">
        <v>2007</v>
      </c>
      <c r="D46" t="s">
        <v>9</v>
      </c>
      <c r="E46">
        <v>645</v>
      </c>
      <c r="F46">
        <v>0</v>
      </c>
    </row>
    <row r="47" spans="1:6" x14ac:dyDescent="0.3">
      <c r="A47" t="s">
        <v>94</v>
      </c>
      <c r="B47" t="s">
        <v>6</v>
      </c>
      <c r="C47">
        <v>2007</v>
      </c>
      <c r="D47" t="s">
        <v>9</v>
      </c>
      <c r="E47">
        <v>0</v>
      </c>
      <c r="F47">
        <v>0</v>
      </c>
    </row>
    <row r="48" spans="1:6" x14ac:dyDescent="0.3">
      <c r="A48" t="s">
        <v>95</v>
      </c>
      <c r="B48" t="s">
        <v>6</v>
      </c>
      <c r="C48">
        <v>2007</v>
      </c>
      <c r="D48" t="s">
        <v>9</v>
      </c>
      <c r="E48">
        <v>4000</v>
      </c>
      <c r="F48">
        <v>0</v>
      </c>
    </row>
    <row r="49" spans="1:6" x14ac:dyDescent="0.3">
      <c r="A49" t="s">
        <v>96</v>
      </c>
      <c r="B49" t="s">
        <v>6</v>
      </c>
      <c r="C49">
        <v>2007</v>
      </c>
      <c r="D49" t="s">
        <v>9</v>
      </c>
      <c r="E49">
        <v>2500</v>
      </c>
      <c r="F49">
        <v>0</v>
      </c>
    </row>
    <row r="50" spans="1:6" x14ac:dyDescent="0.3">
      <c r="A50" t="s">
        <v>97</v>
      </c>
      <c r="B50" t="s">
        <v>6</v>
      </c>
      <c r="C50">
        <v>2007</v>
      </c>
      <c r="D50" t="s">
        <v>9</v>
      </c>
      <c r="E50">
        <v>160</v>
      </c>
      <c r="F50">
        <v>0</v>
      </c>
    </row>
    <row r="51" spans="1:6" x14ac:dyDescent="0.3">
      <c r="A51" t="s">
        <v>98</v>
      </c>
      <c r="B51" t="s">
        <v>6</v>
      </c>
      <c r="C51">
        <v>2008</v>
      </c>
      <c r="D51" t="s">
        <v>7</v>
      </c>
      <c r="E51">
        <v>280000</v>
      </c>
      <c r="F51">
        <v>0</v>
      </c>
    </row>
    <row r="52" spans="1:6" x14ac:dyDescent="0.3">
      <c r="A52" t="s">
        <v>99</v>
      </c>
      <c r="B52" t="s">
        <v>6</v>
      </c>
      <c r="C52">
        <v>2008</v>
      </c>
      <c r="D52" t="s">
        <v>9</v>
      </c>
      <c r="E52">
        <v>1180</v>
      </c>
      <c r="F52">
        <v>0</v>
      </c>
    </row>
    <row r="53" spans="1:6" x14ac:dyDescent="0.3">
      <c r="A53" t="s">
        <v>100</v>
      </c>
      <c r="B53" t="s">
        <v>6</v>
      </c>
      <c r="C53">
        <v>2009</v>
      </c>
      <c r="D53" t="s">
        <v>14</v>
      </c>
      <c r="E53">
        <v>3309</v>
      </c>
      <c r="F53">
        <v>0</v>
      </c>
    </row>
    <row r="54" spans="1:6" x14ac:dyDescent="0.3">
      <c r="A54" t="s">
        <v>101</v>
      </c>
      <c r="B54" t="s">
        <v>6</v>
      </c>
      <c r="C54">
        <v>2009</v>
      </c>
      <c r="D54" t="s">
        <v>9</v>
      </c>
      <c r="E54">
        <v>2500</v>
      </c>
      <c r="F54">
        <v>0</v>
      </c>
    </row>
    <row r="55" spans="1:6" x14ac:dyDescent="0.3">
      <c r="A55" t="s">
        <v>102</v>
      </c>
      <c r="B55" t="s">
        <v>6</v>
      </c>
      <c r="C55">
        <v>2009</v>
      </c>
      <c r="D55" t="s">
        <v>9</v>
      </c>
      <c r="E55">
        <v>60016</v>
      </c>
      <c r="F55">
        <v>20000</v>
      </c>
    </row>
    <row r="56" spans="1:6" x14ac:dyDescent="0.3">
      <c r="A56" t="s">
        <v>103</v>
      </c>
      <c r="B56" t="s">
        <v>6</v>
      </c>
      <c r="C56">
        <v>2009</v>
      </c>
      <c r="D56" t="s">
        <v>9</v>
      </c>
      <c r="E56">
        <v>0</v>
      </c>
      <c r="F56">
        <v>0</v>
      </c>
    </row>
    <row r="57" spans="1:6" x14ac:dyDescent="0.3">
      <c r="A57" t="s">
        <v>104</v>
      </c>
      <c r="B57" t="s">
        <v>6</v>
      </c>
      <c r="C57">
        <v>2010</v>
      </c>
      <c r="D57" t="s">
        <v>14</v>
      </c>
      <c r="E57">
        <v>1070</v>
      </c>
      <c r="F57">
        <v>0</v>
      </c>
    </row>
    <row r="58" spans="1:6" x14ac:dyDescent="0.3">
      <c r="A58" t="s">
        <v>105</v>
      </c>
      <c r="B58" t="s">
        <v>6</v>
      </c>
      <c r="C58">
        <v>2010</v>
      </c>
      <c r="D58" t="s">
        <v>9</v>
      </c>
      <c r="E58">
        <v>40000</v>
      </c>
      <c r="F58">
        <v>0</v>
      </c>
    </row>
    <row r="59" spans="1:6" x14ac:dyDescent="0.3">
      <c r="A59" t="s">
        <v>106</v>
      </c>
      <c r="B59" t="s">
        <v>6</v>
      </c>
      <c r="C59">
        <v>2010</v>
      </c>
      <c r="D59" t="s">
        <v>9</v>
      </c>
      <c r="E59">
        <v>5000</v>
      </c>
      <c r="F59">
        <v>0</v>
      </c>
    </row>
    <row r="60" spans="1:6" x14ac:dyDescent="0.3">
      <c r="A60" t="s">
        <v>107</v>
      </c>
      <c r="B60" t="s">
        <v>6</v>
      </c>
      <c r="C60">
        <v>2011</v>
      </c>
      <c r="D60" t="s">
        <v>7</v>
      </c>
      <c r="E60">
        <v>1750000</v>
      </c>
      <c r="F60">
        <v>142000</v>
      </c>
    </row>
    <row r="61" spans="1:6" x14ac:dyDescent="0.3">
      <c r="A61" t="s">
        <v>108</v>
      </c>
      <c r="B61" t="s">
        <v>6</v>
      </c>
      <c r="C61">
        <v>2011</v>
      </c>
      <c r="D61" t="s">
        <v>9</v>
      </c>
      <c r="E61">
        <v>3065</v>
      </c>
      <c r="F61">
        <v>0</v>
      </c>
    </row>
    <row r="62" spans="1:6" x14ac:dyDescent="0.3">
      <c r="A62" t="s">
        <v>109</v>
      </c>
      <c r="B62" t="s">
        <v>6</v>
      </c>
      <c r="C62">
        <v>2011</v>
      </c>
      <c r="D62" t="s">
        <v>9</v>
      </c>
      <c r="E62">
        <v>9745</v>
      </c>
      <c r="F62">
        <v>0</v>
      </c>
    </row>
    <row r="63" spans="1:6" x14ac:dyDescent="0.3">
      <c r="A63" t="s">
        <v>110</v>
      </c>
      <c r="B63" t="s">
        <v>6</v>
      </c>
      <c r="C63">
        <v>2011</v>
      </c>
      <c r="D63" t="s">
        <v>2689</v>
      </c>
      <c r="E63">
        <v>5</v>
      </c>
      <c r="F63">
        <v>0</v>
      </c>
    </row>
    <row r="64" spans="1:6" x14ac:dyDescent="0.3">
      <c r="A64" t="s">
        <v>111</v>
      </c>
      <c r="B64" t="s">
        <v>6</v>
      </c>
      <c r="C64">
        <v>2012</v>
      </c>
      <c r="D64" t="s">
        <v>14</v>
      </c>
      <c r="E64">
        <v>3548</v>
      </c>
      <c r="F64">
        <v>0</v>
      </c>
    </row>
    <row r="65" spans="1:6" x14ac:dyDescent="0.3">
      <c r="A65" t="s">
        <v>112</v>
      </c>
      <c r="B65" t="s">
        <v>6</v>
      </c>
      <c r="C65">
        <v>2012</v>
      </c>
      <c r="D65" t="s">
        <v>9</v>
      </c>
      <c r="E65">
        <v>230</v>
      </c>
      <c r="F65">
        <v>0</v>
      </c>
    </row>
    <row r="66" spans="1:6" x14ac:dyDescent="0.3">
      <c r="A66" t="s">
        <v>113</v>
      </c>
      <c r="B66" t="s">
        <v>6</v>
      </c>
      <c r="C66">
        <v>2012</v>
      </c>
      <c r="D66" t="s">
        <v>9</v>
      </c>
      <c r="E66">
        <v>27769</v>
      </c>
      <c r="F66">
        <v>0</v>
      </c>
    </row>
    <row r="67" spans="1:6" x14ac:dyDescent="0.3">
      <c r="A67" t="s">
        <v>114</v>
      </c>
      <c r="B67" t="s">
        <v>6</v>
      </c>
      <c r="C67">
        <v>2012</v>
      </c>
      <c r="D67" t="s">
        <v>9</v>
      </c>
      <c r="E67">
        <v>13151</v>
      </c>
      <c r="F67">
        <v>0</v>
      </c>
    </row>
    <row r="68" spans="1:6" x14ac:dyDescent="0.3">
      <c r="A68" t="s">
        <v>115</v>
      </c>
      <c r="B68" t="s">
        <v>6</v>
      </c>
      <c r="C68">
        <v>2012</v>
      </c>
      <c r="D68" t="s">
        <v>9</v>
      </c>
      <c r="E68">
        <v>0</v>
      </c>
      <c r="F68">
        <v>0</v>
      </c>
    </row>
    <row r="69" spans="1:6" x14ac:dyDescent="0.3">
      <c r="A69" t="s">
        <v>116</v>
      </c>
      <c r="B69" t="s">
        <v>6</v>
      </c>
      <c r="C69">
        <v>2012</v>
      </c>
      <c r="D69" t="s">
        <v>9</v>
      </c>
      <c r="E69">
        <v>4300</v>
      </c>
      <c r="F69">
        <v>0</v>
      </c>
    </row>
    <row r="70" spans="1:6" x14ac:dyDescent="0.3">
      <c r="A70" t="s">
        <v>117</v>
      </c>
      <c r="B70" t="s">
        <v>6</v>
      </c>
      <c r="C70">
        <v>2012</v>
      </c>
      <c r="D70" t="s">
        <v>9</v>
      </c>
      <c r="E70">
        <v>5700</v>
      </c>
      <c r="F70">
        <v>0</v>
      </c>
    </row>
    <row r="71" spans="1:6" x14ac:dyDescent="0.3">
      <c r="A71" t="s">
        <v>118</v>
      </c>
      <c r="B71" t="s">
        <v>6</v>
      </c>
      <c r="C71">
        <v>2013</v>
      </c>
      <c r="D71" t="s">
        <v>14</v>
      </c>
      <c r="E71">
        <v>3531</v>
      </c>
      <c r="F71">
        <v>0</v>
      </c>
    </row>
    <row r="72" spans="1:6" x14ac:dyDescent="0.3">
      <c r="A72" t="s">
        <v>119</v>
      </c>
      <c r="B72" t="s">
        <v>6</v>
      </c>
      <c r="C72">
        <v>2013</v>
      </c>
      <c r="D72" t="s">
        <v>9</v>
      </c>
      <c r="E72">
        <v>5000</v>
      </c>
      <c r="F72">
        <v>0</v>
      </c>
    </row>
    <row r="73" spans="1:6" x14ac:dyDescent="0.3">
      <c r="A73" t="s">
        <v>120</v>
      </c>
      <c r="B73" t="s">
        <v>6</v>
      </c>
      <c r="C73">
        <v>2013</v>
      </c>
      <c r="D73" t="s">
        <v>9</v>
      </c>
      <c r="E73">
        <v>9500</v>
      </c>
      <c r="F73">
        <v>0</v>
      </c>
    </row>
    <row r="74" spans="1:6" x14ac:dyDescent="0.3">
      <c r="A74" t="s">
        <v>121</v>
      </c>
      <c r="B74" t="s">
        <v>6</v>
      </c>
      <c r="C74">
        <v>2013</v>
      </c>
      <c r="D74" t="s">
        <v>9</v>
      </c>
      <c r="E74">
        <v>2597</v>
      </c>
      <c r="F74">
        <v>0</v>
      </c>
    </row>
    <row r="75" spans="1:6" x14ac:dyDescent="0.3">
      <c r="A75" t="s">
        <v>122</v>
      </c>
      <c r="B75" t="s">
        <v>6</v>
      </c>
      <c r="C75">
        <v>2013</v>
      </c>
      <c r="D75" t="s">
        <v>9</v>
      </c>
      <c r="E75">
        <v>0</v>
      </c>
      <c r="F75">
        <v>0</v>
      </c>
    </row>
    <row r="76" spans="1:6" x14ac:dyDescent="0.3">
      <c r="A76" t="s">
        <v>123</v>
      </c>
      <c r="B76" t="s">
        <v>6</v>
      </c>
      <c r="C76">
        <v>2014</v>
      </c>
      <c r="D76" t="s">
        <v>9</v>
      </c>
      <c r="E76">
        <v>140100</v>
      </c>
      <c r="F76">
        <v>0</v>
      </c>
    </row>
    <row r="77" spans="1:6" x14ac:dyDescent="0.3">
      <c r="A77" t="s">
        <v>124</v>
      </c>
      <c r="B77" t="s">
        <v>6</v>
      </c>
      <c r="C77">
        <v>2014</v>
      </c>
      <c r="D77" t="s">
        <v>9</v>
      </c>
      <c r="E77">
        <v>1955</v>
      </c>
      <c r="F77">
        <v>3000</v>
      </c>
    </row>
    <row r="78" spans="1:6" x14ac:dyDescent="0.3">
      <c r="A78" t="s">
        <v>125</v>
      </c>
      <c r="B78" t="s">
        <v>6</v>
      </c>
      <c r="C78">
        <v>2014</v>
      </c>
      <c r="D78" t="s">
        <v>2689</v>
      </c>
      <c r="E78">
        <v>0</v>
      </c>
      <c r="F78">
        <v>0</v>
      </c>
    </row>
    <row r="79" spans="1:6" x14ac:dyDescent="0.3">
      <c r="A79" t="s">
        <v>126</v>
      </c>
      <c r="B79" t="s">
        <v>6</v>
      </c>
      <c r="C79">
        <v>2015</v>
      </c>
      <c r="D79" t="s">
        <v>14</v>
      </c>
      <c r="E79">
        <v>92725</v>
      </c>
      <c r="F79">
        <v>0</v>
      </c>
    </row>
    <row r="80" spans="1:6" x14ac:dyDescent="0.3">
      <c r="A80" t="s">
        <v>127</v>
      </c>
      <c r="B80" t="s">
        <v>6</v>
      </c>
      <c r="C80">
        <v>2015</v>
      </c>
      <c r="D80" t="s">
        <v>14</v>
      </c>
      <c r="E80">
        <v>407</v>
      </c>
      <c r="F80">
        <v>0</v>
      </c>
    </row>
    <row r="81" spans="1:6" x14ac:dyDescent="0.3">
      <c r="A81" t="s">
        <v>128</v>
      </c>
      <c r="B81" t="s">
        <v>6</v>
      </c>
      <c r="C81">
        <v>2015</v>
      </c>
      <c r="D81" t="s">
        <v>9</v>
      </c>
      <c r="E81">
        <v>3010</v>
      </c>
      <c r="F81">
        <v>0</v>
      </c>
    </row>
    <row r="82" spans="1:6" x14ac:dyDescent="0.3">
      <c r="A82" t="s">
        <v>129</v>
      </c>
      <c r="B82" t="s">
        <v>6</v>
      </c>
      <c r="C82">
        <v>2016</v>
      </c>
      <c r="D82" t="s">
        <v>9</v>
      </c>
      <c r="E82">
        <v>0</v>
      </c>
      <c r="F82">
        <v>0</v>
      </c>
    </row>
    <row r="83" spans="1:6" x14ac:dyDescent="0.3">
      <c r="A83" t="s">
        <v>130</v>
      </c>
      <c r="B83" t="s">
        <v>6</v>
      </c>
      <c r="C83">
        <v>2016</v>
      </c>
      <c r="D83" t="s">
        <v>9</v>
      </c>
      <c r="E83">
        <v>0</v>
      </c>
      <c r="F83">
        <v>0</v>
      </c>
    </row>
    <row r="84" spans="1:6" x14ac:dyDescent="0.3">
      <c r="A84" t="s">
        <v>131</v>
      </c>
      <c r="B84" t="s">
        <v>6</v>
      </c>
      <c r="C84">
        <v>2016</v>
      </c>
      <c r="D84" t="s">
        <v>9</v>
      </c>
      <c r="E84">
        <v>0</v>
      </c>
      <c r="F84">
        <v>0</v>
      </c>
    </row>
    <row r="85" spans="1:6" x14ac:dyDescent="0.3">
      <c r="A85" t="s">
        <v>132</v>
      </c>
      <c r="B85" t="s">
        <v>6</v>
      </c>
      <c r="C85">
        <v>2016</v>
      </c>
      <c r="D85" t="s">
        <v>9</v>
      </c>
      <c r="E85">
        <v>0</v>
      </c>
      <c r="F85">
        <v>0</v>
      </c>
    </row>
    <row r="86" spans="1:6" x14ac:dyDescent="0.3">
      <c r="A86" t="s">
        <v>133</v>
      </c>
      <c r="B86" t="s">
        <v>6</v>
      </c>
      <c r="C86">
        <v>2017</v>
      </c>
      <c r="D86" t="s">
        <v>9</v>
      </c>
      <c r="E86">
        <v>1822</v>
      </c>
      <c r="F86">
        <v>0</v>
      </c>
    </row>
    <row r="87" spans="1:6" x14ac:dyDescent="0.3">
      <c r="A87" t="s">
        <v>134</v>
      </c>
      <c r="B87" t="s">
        <v>6</v>
      </c>
      <c r="C87">
        <v>2017</v>
      </c>
      <c r="D87" t="s">
        <v>2689</v>
      </c>
      <c r="E87">
        <v>0</v>
      </c>
      <c r="F87">
        <v>0</v>
      </c>
    </row>
    <row r="88" spans="1:6" x14ac:dyDescent="0.3">
      <c r="A88" t="s">
        <v>135</v>
      </c>
      <c r="B88" t="s">
        <v>6</v>
      </c>
      <c r="C88">
        <v>2017</v>
      </c>
      <c r="D88" t="s">
        <v>2689</v>
      </c>
      <c r="E88">
        <v>9055</v>
      </c>
      <c r="F88">
        <v>0</v>
      </c>
    </row>
    <row r="89" spans="1:6" x14ac:dyDescent="0.3">
      <c r="A89" t="s">
        <v>136</v>
      </c>
      <c r="B89" t="s">
        <v>6</v>
      </c>
      <c r="C89">
        <v>2018</v>
      </c>
      <c r="D89" t="s">
        <v>7</v>
      </c>
      <c r="E89">
        <v>13500000</v>
      </c>
      <c r="F89">
        <v>0</v>
      </c>
    </row>
    <row r="90" spans="1:6" x14ac:dyDescent="0.3">
      <c r="A90" t="s">
        <v>137</v>
      </c>
      <c r="B90" t="s">
        <v>6</v>
      </c>
      <c r="C90">
        <v>2018</v>
      </c>
      <c r="D90" t="s">
        <v>9</v>
      </c>
      <c r="E90">
        <v>4000</v>
      </c>
      <c r="F90">
        <v>0</v>
      </c>
    </row>
    <row r="91" spans="1:6" x14ac:dyDescent="0.3">
      <c r="A91" t="s">
        <v>138</v>
      </c>
      <c r="B91" t="s">
        <v>6</v>
      </c>
      <c r="C91">
        <v>2018</v>
      </c>
      <c r="D91" t="s">
        <v>9</v>
      </c>
      <c r="E91">
        <v>0</v>
      </c>
      <c r="F91">
        <v>0</v>
      </c>
    </row>
    <row r="92" spans="1:6" x14ac:dyDescent="0.3">
      <c r="A92" t="s">
        <v>139</v>
      </c>
      <c r="B92" t="s">
        <v>6</v>
      </c>
      <c r="C92">
        <v>2018</v>
      </c>
      <c r="D92" t="s">
        <v>9</v>
      </c>
      <c r="E92">
        <v>0</v>
      </c>
      <c r="F92">
        <v>0</v>
      </c>
    </row>
    <row r="93" spans="1:6" x14ac:dyDescent="0.3">
      <c r="A93" t="s">
        <v>140</v>
      </c>
      <c r="B93" t="s">
        <v>6</v>
      </c>
      <c r="C93">
        <v>2019</v>
      </c>
      <c r="D93" t="s">
        <v>9</v>
      </c>
      <c r="E93">
        <v>0</v>
      </c>
      <c r="F93">
        <v>0</v>
      </c>
    </row>
    <row r="94" spans="1:6" x14ac:dyDescent="0.3">
      <c r="A94" t="s">
        <v>141</v>
      </c>
      <c r="B94" t="s">
        <v>6</v>
      </c>
      <c r="C94">
        <v>2019</v>
      </c>
      <c r="D94" t="s">
        <v>9</v>
      </c>
      <c r="E94">
        <v>129100</v>
      </c>
      <c r="F94">
        <v>0</v>
      </c>
    </row>
    <row r="95" spans="1:6" x14ac:dyDescent="0.3">
      <c r="A95" t="s">
        <v>142</v>
      </c>
      <c r="B95" t="s">
        <v>6</v>
      </c>
      <c r="C95">
        <v>2019</v>
      </c>
      <c r="D95" t="s">
        <v>9</v>
      </c>
      <c r="E95">
        <v>0</v>
      </c>
      <c r="F95">
        <v>0</v>
      </c>
    </row>
    <row r="96" spans="1:6" x14ac:dyDescent="0.3">
      <c r="A96" t="s">
        <v>143</v>
      </c>
      <c r="B96" t="s">
        <v>6</v>
      </c>
      <c r="C96">
        <v>2019</v>
      </c>
      <c r="D96" t="s">
        <v>9</v>
      </c>
      <c r="E96">
        <v>1281</v>
      </c>
      <c r="F96">
        <v>0</v>
      </c>
    </row>
    <row r="97" spans="1:6" x14ac:dyDescent="0.3">
      <c r="A97" t="s">
        <v>144</v>
      </c>
      <c r="B97" t="s">
        <v>6</v>
      </c>
      <c r="C97">
        <v>2019</v>
      </c>
      <c r="D97" t="s">
        <v>9</v>
      </c>
      <c r="E97">
        <v>0</v>
      </c>
      <c r="F97">
        <v>0</v>
      </c>
    </row>
    <row r="98" spans="1:6" x14ac:dyDescent="0.3">
      <c r="A98" t="s">
        <v>145</v>
      </c>
      <c r="B98" t="s">
        <v>6</v>
      </c>
      <c r="C98">
        <v>2019</v>
      </c>
      <c r="D98" t="s">
        <v>9</v>
      </c>
      <c r="E98">
        <v>561</v>
      </c>
      <c r="F98">
        <v>0</v>
      </c>
    </row>
    <row r="99" spans="1:6" x14ac:dyDescent="0.3">
      <c r="A99" t="s">
        <v>146</v>
      </c>
      <c r="B99" t="s">
        <v>6</v>
      </c>
      <c r="C99">
        <v>2020</v>
      </c>
      <c r="D99" t="s">
        <v>9</v>
      </c>
      <c r="E99">
        <v>18031</v>
      </c>
      <c r="F99">
        <v>0</v>
      </c>
    </row>
    <row r="100" spans="1:6" x14ac:dyDescent="0.3">
      <c r="A100" t="s">
        <v>147</v>
      </c>
      <c r="B100" t="s">
        <v>6</v>
      </c>
      <c r="C100">
        <v>2020</v>
      </c>
      <c r="D100" t="s">
        <v>9</v>
      </c>
      <c r="E100">
        <v>0</v>
      </c>
      <c r="F100">
        <v>0</v>
      </c>
    </row>
    <row r="101" spans="1:6" x14ac:dyDescent="0.3">
      <c r="A101" t="s">
        <v>148</v>
      </c>
      <c r="B101" t="s">
        <v>6</v>
      </c>
      <c r="C101">
        <v>2020</v>
      </c>
      <c r="D101" t="s">
        <v>9</v>
      </c>
      <c r="E101">
        <v>5500</v>
      </c>
      <c r="F101">
        <v>0</v>
      </c>
    </row>
    <row r="102" spans="1:6" x14ac:dyDescent="0.3">
      <c r="A102" t="s">
        <v>149</v>
      </c>
      <c r="B102" t="s">
        <v>6</v>
      </c>
      <c r="C102">
        <v>2020</v>
      </c>
      <c r="D102" t="s">
        <v>9</v>
      </c>
      <c r="E102">
        <v>100</v>
      </c>
      <c r="F102">
        <v>0</v>
      </c>
    </row>
    <row r="103" spans="1:6" x14ac:dyDescent="0.3">
      <c r="A103" t="s">
        <v>150</v>
      </c>
      <c r="B103" t="s">
        <v>6</v>
      </c>
      <c r="C103">
        <v>2020</v>
      </c>
      <c r="D103" t="s">
        <v>9</v>
      </c>
      <c r="E103">
        <v>20445</v>
      </c>
      <c r="F103">
        <v>0</v>
      </c>
    </row>
    <row r="104" spans="1:6" x14ac:dyDescent="0.3">
      <c r="A104" t="s">
        <v>151</v>
      </c>
      <c r="B104" t="s">
        <v>6</v>
      </c>
      <c r="C104">
        <v>2020</v>
      </c>
      <c r="D104" t="s">
        <v>2689</v>
      </c>
      <c r="E104">
        <v>7481</v>
      </c>
      <c r="F104">
        <v>0</v>
      </c>
    </row>
    <row r="105" spans="1:6" x14ac:dyDescent="0.3">
      <c r="A105" t="s">
        <v>152</v>
      </c>
      <c r="B105" t="s">
        <v>6</v>
      </c>
      <c r="C105">
        <v>2021</v>
      </c>
      <c r="D105" t="s">
        <v>7</v>
      </c>
      <c r="E105">
        <v>11000000</v>
      </c>
      <c r="F105">
        <v>0</v>
      </c>
    </row>
    <row r="106" spans="1:6" x14ac:dyDescent="0.3">
      <c r="A106" t="s">
        <v>153</v>
      </c>
      <c r="B106" t="s">
        <v>6</v>
      </c>
      <c r="C106">
        <v>2021</v>
      </c>
      <c r="D106" t="s">
        <v>9</v>
      </c>
      <c r="E106">
        <v>30833</v>
      </c>
      <c r="F106">
        <v>0</v>
      </c>
    </row>
    <row r="107" spans="1:6" x14ac:dyDescent="0.3">
      <c r="A107" t="s">
        <v>154</v>
      </c>
      <c r="B107" t="s">
        <v>6</v>
      </c>
      <c r="C107">
        <v>2021</v>
      </c>
      <c r="D107" t="s">
        <v>9</v>
      </c>
      <c r="E107">
        <v>4200</v>
      </c>
      <c r="F107">
        <v>0</v>
      </c>
    </row>
    <row r="108" spans="1:6" x14ac:dyDescent="0.3">
      <c r="A108" t="s">
        <v>155</v>
      </c>
      <c r="B108" t="s">
        <v>6</v>
      </c>
      <c r="C108">
        <v>2022</v>
      </c>
      <c r="D108" t="s">
        <v>14</v>
      </c>
      <c r="E108">
        <v>4004</v>
      </c>
      <c r="F108">
        <v>0</v>
      </c>
    </row>
    <row r="109" spans="1:6" x14ac:dyDescent="0.3">
      <c r="A109" t="s">
        <v>156</v>
      </c>
      <c r="B109" t="s">
        <v>6</v>
      </c>
      <c r="C109">
        <v>2022</v>
      </c>
      <c r="D109" t="s">
        <v>14</v>
      </c>
      <c r="E109">
        <v>364623</v>
      </c>
      <c r="F109">
        <v>0</v>
      </c>
    </row>
    <row r="110" spans="1:6" x14ac:dyDescent="0.3">
      <c r="A110" t="s">
        <v>157</v>
      </c>
      <c r="B110" t="s">
        <v>6</v>
      </c>
      <c r="C110">
        <v>2022</v>
      </c>
      <c r="D110" t="s">
        <v>9</v>
      </c>
      <c r="E110">
        <v>810</v>
      </c>
      <c r="F110">
        <v>0</v>
      </c>
    </row>
    <row r="111" spans="1:6" x14ac:dyDescent="0.3">
      <c r="A111" t="s">
        <v>158</v>
      </c>
      <c r="B111" t="s">
        <v>6</v>
      </c>
      <c r="C111">
        <v>2022</v>
      </c>
      <c r="D111" t="s">
        <v>9</v>
      </c>
      <c r="E111">
        <v>14554</v>
      </c>
      <c r="F111">
        <v>0</v>
      </c>
    </row>
    <row r="112" spans="1:6" x14ac:dyDescent="0.3">
      <c r="A112" t="s">
        <v>159</v>
      </c>
      <c r="B112" t="s">
        <v>6</v>
      </c>
      <c r="C112">
        <v>2022</v>
      </c>
      <c r="D112" t="s">
        <v>9</v>
      </c>
      <c r="E112">
        <v>20</v>
      </c>
      <c r="F112">
        <v>0</v>
      </c>
    </row>
    <row r="113" spans="1:6" x14ac:dyDescent="0.3">
      <c r="A113" t="s">
        <v>160</v>
      </c>
      <c r="B113" t="s">
        <v>6</v>
      </c>
      <c r="C113">
        <v>2022</v>
      </c>
      <c r="D113" t="s">
        <v>9</v>
      </c>
      <c r="E113">
        <v>250024</v>
      </c>
      <c r="F113">
        <v>0</v>
      </c>
    </row>
    <row r="114" spans="1:6" x14ac:dyDescent="0.3">
      <c r="A114" t="s">
        <v>161</v>
      </c>
      <c r="B114" t="s">
        <v>6</v>
      </c>
      <c r="C114">
        <v>2022</v>
      </c>
      <c r="D114" t="s">
        <v>9</v>
      </c>
      <c r="E114">
        <v>1379</v>
      </c>
      <c r="F114">
        <v>0</v>
      </c>
    </row>
    <row r="115" spans="1:6" x14ac:dyDescent="0.3">
      <c r="A115" t="s">
        <v>162</v>
      </c>
      <c r="B115" t="s">
        <v>6</v>
      </c>
      <c r="C115">
        <v>2023</v>
      </c>
      <c r="D115" t="s">
        <v>14</v>
      </c>
      <c r="E115">
        <v>3345</v>
      </c>
      <c r="F115">
        <v>0</v>
      </c>
    </row>
    <row r="116" spans="1:6" x14ac:dyDescent="0.3">
      <c r="A116" t="s">
        <v>163</v>
      </c>
      <c r="B116" t="s">
        <v>6</v>
      </c>
      <c r="C116">
        <v>2023</v>
      </c>
      <c r="D116" t="s">
        <v>14</v>
      </c>
      <c r="E116">
        <v>569240</v>
      </c>
      <c r="F116">
        <v>0</v>
      </c>
    </row>
    <row r="117" spans="1:6" x14ac:dyDescent="0.3">
      <c r="A117" t="s">
        <v>164</v>
      </c>
      <c r="B117" t="s">
        <v>6</v>
      </c>
      <c r="C117">
        <v>2023</v>
      </c>
      <c r="D117" t="s">
        <v>14</v>
      </c>
      <c r="E117">
        <v>140</v>
      </c>
      <c r="F117">
        <v>0</v>
      </c>
    </row>
    <row r="118" spans="1:6" x14ac:dyDescent="0.3">
      <c r="A118" t="s">
        <v>165</v>
      </c>
      <c r="B118" t="s">
        <v>6</v>
      </c>
      <c r="C118">
        <v>2023</v>
      </c>
      <c r="D118" t="s">
        <v>9</v>
      </c>
      <c r="E118">
        <v>1525</v>
      </c>
      <c r="F118">
        <v>0</v>
      </c>
    </row>
    <row r="119" spans="1:6" x14ac:dyDescent="0.3">
      <c r="A119" t="s">
        <v>166</v>
      </c>
      <c r="B119" t="s">
        <v>6</v>
      </c>
      <c r="C119">
        <v>2023</v>
      </c>
      <c r="D119" t="s">
        <v>9</v>
      </c>
      <c r="E119">
        <v>126024</v>
      </c>
      <c r="F119">
        <v>0</v>
      </c>
    </row>
    <row r="120" spans="1:6" x14ac:dyDescent="0.3">
      <c r="A120" t="s">
        <v>167</v>
      </c>
      <c r="B120" t="s">
        <v>6</v>
      </c>
      <c r="C120">
        <v>2024</v>
      </c>
      <c r="D120" t="s">
        <v>9</v>
      </c>
      <c r="E120">
        <v>3152</v>
      </c>
      <c r="F120">
        <v>0</v>
      </c>
    </row>
    <row r="121" spans="1:6" x14ac:dyDescent="0.3">
      <c r="A121" t="s">
        <v>168</v>
      </c>
      <c r="B121" t="s">
        <v>6</v>
      </c>
      <c r="C121">
        <v>2024</v>
      </c>
      <c r="D121" t="s">
        <v>9</v>
      </c>
      <c r="E121">
        <v>1920</v>
      </c>
      <c r="F121">
        <v>0</v>
      </c>
    </row>
    <row r="122" spans="1:6" x14ac:dyDescent="0.3">
      <c r="A122" t="s">
        <v>169</v>
      </c>
      <c r="B122" t="s">
        <v>6</v>
      </c>
      <c r="C122">
        <v>2024</v>
      </c>
      <c r="D122" t="s">
        <v>9</v>
      </c>
      <c r="E122">
        <v>258422</v>
      </c>
      <c r="F122">
        <v>0</v>
      </c>
    </row>
    <row r="123" spans="1:6" x14ac:dyDescent="0.3">
      <c r="A123" t="s">
        <v>170</v>
      </c>
      <c r="B123" t="s">
        <v>6</v>
      </c>
      <c r="C123">
        <v>2024</v>
      </c>
      <c r="D123" t="s">
        <v>9</v>
      </c>
      <c r="E123">
        <v>39005</v>
      </c>
      <c r="F123">
        <v>0</v>
      </c>
    </row>
    <row r="124" spans="1:6" x14ac:dyDescent="0.3">
      <c r="A124" t="s">
        <v>171</v>
      </c>
      <c r="B124" t="s">
        <v>6</v>
      </c>
      <c r="C124">
        <v>2024</v>
      </c>
      <c r="D124" t="s">
        <v>9</v>
      </c>
      <c r="E124">
        <v>10005</v>
      </c>
      <c r="F124">
        <v>0</v>
      </c>
    </row>
    <row r="125" spans="1:6" x14ac:dyDescent="0.3">
      <c r="A125" t="s">
        <v>172</v>
      </c>
      <c r="B125" t="s">
        <v>25</v>
      </c>
      <c r="C125">
        <v>2001</v>
      </c>
      <c r="D125" t="s">
        <v>9</v>
      </c>
      <c r="E125">
        <v>45423</v>
      </c>
      <c r="F125">
        <v>300000</v>
      </c>
    </row>
    <row r="126" spans="1:6" x14ac:dyDescent="0.3">
      <c r="A126" t="s">
        <v>173</v>
      </c>
      <c r="B126" t="s">
        <v>25</v>
      </c>
      <c r="C126">
        <v>2002</v>
      </c>
      <c r="D126" t="s">
        <v>9</v>
      </c>
      <c r="E126">
        <v>2301</v>
      </c>
      <c r="F126">
        <v>1500</v>
      </c>
    </row>
    <row r="127" spans="1:6" x14ac:dyDescent="0.3">
      <c r="A127" t="s">
        <v>174</v>
      </c>
      <c r="B127" t="s">
        <v>25</v>
      </c>
      <c r="C127">
        <v>2002</v>
      </c>
      <c r="D127" t="s">
        <v>9</v>
      </c>
      <c r="E127">
        <v>4</v>
      </c>
      <c r="F127">
        <v>0</v>
      </c>
    </row>
    <row r="128" spans="1:6" x14ac:dyDescent="0.3">
      <c r="A128" t="s">
        <v>175</v>
      </c>
      <c r="B128" t="s">
        <v>25</v>
      </c>
      <c r="C128">
        <v>2003</v>
      </c>
      <c r="D128" t="s">
        <v>14</v>
      </c>
      <c r="E128">
        <v>210261</v>
      </c>
      <c r="F128">
        <v>5000000</v>
      </c>
    </row>
    <row r="129" spans="1:6" x14ac:dyDescent="0.3">
      <c r="A129" t="s">
        <v>176</v>
      </c>
      <c r="B129" t="s">
        <v>25</v>
      </c>
      <c r="C129">
        <v>2003</v>
      </c>
      <c r="D129" t="s">
        <v>14</v>
      </c>
      <c r="E129">
        <v>200</v>
      </c>
      <c r="F129">
        <v>0</v>
      </c>
    </row>
    <row r="130" spans="1:6" x14ac:dyDescent="0.3">
      <c r="A130" t="s">
        <v>177</v>
      </c>
      <c r="B130" t="s">
        <v>25</v>
      </c>
      <c r="C130">
        <v>2003</v>
      </c>
      <c r="D130" t="s">
        <v>9</v>
      </c>
      <c r="E130">
        <v>50</v>
      </c>
      <c r="F130">
        <v>0</v>
      </c>
    </row>
    <row r="131" spans="1:6" x14ac:dyDescent="0.3">
      <c r="A131" t="s">
        <v>178</v>
      </c>
      <c r="B131" t="s">
        <v>25</v>
      </c>
      <c r="C131">
        <v>2003</v>
      </c>
      <c r="D131" t="s">
        <v>9</v>
      </c>
      <c r="E131">
        <v>0</v>
      </c>
      <c r="F131">
        <v>0</v>
      </c>
    </row>
    <row r="132" spans="1:6" x14ac:dyDescent="0.3">
      <c r="A132" t="s">
        <v>179</v>
      </c>
      <c r="B132" t="s">
        <v>25</v>
      </c>
      <c r="C132">
        <v>2003</v>
      </c>
      <c r="D132" t="s">
        <v>9</v>
      </c>
      <c r="E132">
        <v>0</v>
      </c>
      <c r="F132">
        <v>0</v>
      </c>
    </row>
    <row r="133" spans="1:6" x14ac:dyDescent="0.3">
      <c r="A133" t="s">
        <v>180</v>
      </c>
      <c r="B133" t="s">
        <v>25</v>
      </c>
      <c r="C133">
        <v>2003</v>
      </c>
      <c r="D133" t="s">
        <v>2689</v>
      </c>
      <c r="E133">
        <v>0</v>
      </c>
      <c r="F133">
        <v>0</v>
      </c>
    </row>
    <row r="134" spans="1:6" x14ac:dyDescent="0.3">
      <c r="A134" t="s">
        <v>181</v>
      </c>
      <c r="B134" t="s">
        <v>25</v>
      </c>
      <c r="C134">
        <v>2004</v>
      </c>
      <c r="D134" t="s">
        <v>14</v>
      </c>
      <c r="E134">
        <v>300</v>
      </c>
      <c r="F134">
        <v>0</v>
      </c>
    </row>
    <row r="135" spans="1:6" x14ac:dyDescent="0.3">
      <c r="A135" t="s">
        <v>182</v>
      </c>
      <c r="B135" t="s">
        <v>25</v>
      </c>
      <c r="C135">
        <v>2004</v>
      </c>
      <c r="D135" t="s">
        <v>14</v>
      </c>
      <c r="E135">
        <v>15</v>
      </c>
      <c r="F135">
        <v>0</v>
      </c>
    </row>
    <row r="136" spans="1:6" x14ac:dyDescent="0.3">
      <c r="A136" t="s">
        <v>183</v>
      </c>
      <c r="B136" t="s">
        <v>25</v>
      </c>
      <c r="C136">
        <v>2004</v>
      </c>
      <c r="D136" t="s">
        <v>9</v>
      </c>
      <c r="E136">
        <v>27545</v>
      </c>
      <c r="F136">
        <v>0</v>
      </c>
    </row>
    <row r="137" spans="1:6" x14ac:dyDescent="0.3">
      <c r="A137" t="s">
        <v>184</v>
      </c>
      <c r="B137" t="s">
        <v>25</v>
      </c>
      <c r="C137">
        <v>2004</v>
      </c>
      <c r="D137" t="s">
        <v>9</v>
      </c>
      <c r="E137">
        <v>20</v>
      </c>
      <c r="F137">
        <v>0</v>
      </c>
    </row>
    <row r="138" spans="1:6" x14ac:dyDescent="0.3">
      <c r="A138" t="s">
        <v>185</v>
      </c>
      <c r="B138" t="s">
        <v>25</v>
      </c>
      <c r="C138">
        <v>2005</v>
      </c>
      <c r="D138" t="s">
        <v>9</v>
      </c>
      <c r="E138">
        <v>70</v>
      </c>
      <c r="F138">
        <v>0</v>
      </c>
    </row>
    <row r="139" spans="1:6" x14ac:dyDescent="0.3">
      <c r="A139" t="s">
        <v>186</v>
      </c>
      <c r="B139" t="s">
        <v>25</v>
      </c>
      <c r="C139">
        <v>2005</v>
      </c>
      <c r="D139" t="s">
        <v>9</v>
      </c>
      <c r="E139">
        <v>1750</v>
      </c>
      <c r="F139">
        <v>7256</v>
      </c>
    </row>
    <row r="140" spans="1:6" x14ac:dyDescent="0.3">
      <c r="A140" t="s">
        <v>187</v>
      </c>
      <c r="B140" t="s">
        <v>25</v>
      </c>
      <c r="C140">
        <v>2005</v>
      </c>
      <c r="D140" t="s">
        <v>2689</v>
      </c>
      <c r="E140">
        <v>5</v>
      </c>
      <c r="F140">
        <v>0</v>
      </c>
    </row>
    <row r="141" spans="1:6" x14ac:dyDescent="0.3">
      <c r="A141" t="s">
        <v>188</v>
      </c>
      <c r="B141" t="s">
        <v>25</v>
      </c>
      <c r="C141">
        <v>2006</v>
      </c>
      <c r="D141" t="s">
        <v>14</v>
      </c>
      <c r="E141">
        <v>319</v>
      </c>
      <c r="F141">
        <v>0</v>
      </c>
    </row>
    <row r="142" spans="1:6" x14ac:dyDescent="0.3">
      <c r="A142" t="s">
        <v>189</v>
      </c>
      <c r="B142" t="s">
        <v>25</v>
      </c>
      <c r="C142">
        <v>2006</v>
      </c>
      <c r="D142" t="s">
        <v>9</v>
      </c>
      <c r="E142">
        <v>60000</v>
      </c>
      <c r="F142">
        <v>1200</v>
      </c>
    </row>
    <row r="143" spans="1:6" x14ac:dyDescent="0.3">
      <c r="A143" t="s">
        <v>190</v>
      </c>
      <c r="B143" t="s">
        <v>25</v>
      </c>
      <c r="C143">
        <v>2007</v>
      </c>
      <c r="D143" t="s">
        <v>9</v>
      </c>
      <c r="E143">
        <v>0</v>
      </c>
      <c r="F143">
        <v>0</v>
      </c>
    </row>
    <row r="144" spans="1:6" x14ac:dyDescent="0.3">
      <c r="A144" t="s">
        <v>191</v>
      </c>
      <c r="B144" t="s">
        <v>25</v>
      </c>
      <c r="C144">
        <v>2007</v>
      </c>
      <c r="D144" t="s">
        <v>9</v>
      </c>
      <c r="E144">
        <v>0</v>
      </c>
      <c r="F144">
        <v>13561</v>
      </c>
    </row>
    <row r="145" spans="1:6" x14ac:dyDescent="0.3">
      <c r="A145" t="s">
        <v>192</v>
      </c>
      <c r="B145" t="s">
        <v>25</v>
      </c>
      <c r="C145">
        <v>2007</v>
      </c>
      <c r="D145" t="s">
        <v>9</v>
      </c>
      <c r="E145">
        <v>0</v>
      </c>
      <c r="F145">
        <v>0</v>
      </c>
    </row>
    <row r="146" spans="1:6" x14ac:dyDescent="0.3">
      <c r="A146" t="s">
        <v>193</v>
      </c>
      <c r="B146" t="s">
        <v>25</v>
      </c>
      <c r="C146">
        <v>2007</v>
      </c>
      <c r="D146" t="s">
        <v>9</v>
      </c>
      <c r="E146">
        <v>102</v>
      </c>
      <c r="F146">
        <v>0</v>
      </c>
    </row>
    <row r="147" spans="1:6" x14ac:dyDescent="0.3">
      <c r="A147" t="s">
        <v>194</v>
      </c>
      <c r="B147" t="s">
        <v>25</v>
      </c>
      <c r="C147">
        <v>2007</v>
      </c>
      <c r="D147" t="s">
        <v>9</v>
      </c>
      <c r="E147">
        <v>0</v>
      </c>
      <c r="F147">
        <v>29500</v>
      </c>
    </row>
    <row r="148" spans="1:6" x14ac:dyDescent="0.3">
      <c r="A148" t="s">
        <v>195</v>
      </c>
      <c r="B148" t="s">
        <v>25</v>
      </c>
      <c r="C148">
        <v>2007</v>
      </c>
      <c r="D148" t="s">
        <v>9</v>
      </c>
      <c r="E148">
        <v>1203</v>
      </c>
      <c r="F148">
        <v>0</v>
      </c>
    </row>
    <row r="149" spans="1:6" x14ac:dyDescent="0.3">
      <c r="A149" t="s">
        <v>196</v>
      </c>
      <c r="B149" t="s">
        <v>25</v>
      </c>
      <c r="C149">
        <v>2008</v>
      </c>
      <c r="D149" t="s">
        <v>9</v>
      </c>
      <c r="E149">
        <v>59050</v>
      </c>
      <c r="F149">
        <v>348000</v>
      </c>
    </row>
    <row r="150" spans="1:6" x14ac:dyDescent="0.3">
      <c r="A150" t="s">
        <v>197</v>
      </c>
      <c r="B150" t="s">
        <v>25</v>
      </c>
      <c r="C150">
        <v>2009</v>
      </c>
      <c r="D150" t="s">
        <v>9</v>
      </c>
      <c r="E150">
        <v>2548</v>
      </c>
      <c r="F150">
        <v>0</v>
      </c>
    </row>
    <row r="151" spans="1:6" x14ac:dyDescent="0.3">
      <c r="A151" t="s">
        <v>198</v>
      </c>
      <c r="B151" t="s">
        <v>25</v>
      </c>
      <c r="C151">
        <v>2009</v>
      </c>
      <c r="D151" t="s">
        <v>9</v>
      </c>
      <c r="E151">
        <v>0</v>
      </c>
      <c r="F151">
        <v>0</v>
      </c>
    </row>
    <row r="152" spans="1:6" x14ac:dyDescent="0.3">
      <c r="A152" t="s">
        <v>199</v>
      </c>
      <c r="B152" t="s">
        <v>25</v>
      </c>
      <c r="C152">
        <v>2011</v>
      </c>
      <c r="D152" t="s">
        <v>9</v>
      </c>
      <c r="E152">
        <v>793</v>
      </c>
      <c r="F152">
        <v>779000</v>
      </c>
    </row>
    <row r="153" spans="1:6" x14ac:dyDescent="0.3">
      <c r="A153" t="s">
        <v>200</v>
      </c>
      <c r="B153" t="s">
        <v>25</v>
      </c>
      <c r="C153">
        <v>2012</v>
      </c>
      <c r="D153" t="s">
        <v>9</v>
      </c>
      <c r="E153">
        <v>45</v>
      </c>
      <c r="F153">
        <v>0</v>
      </c>
    </row>
    <row r="154" spans="1:6" x14ac:dyDescent="0.3">
      <c r="A154" t="s">
        <v>201</v>
      </c>
      <c r="B154" t="s">
        <v>25</v>
      </c>
      <c r="C154">
        <v>2012</v>
      </c>
      <c r="D154" t="s">
        <v>9</v>
      </c>
      <c r="E154">
        <v>56</v>
      </c>
      <c r="F154">
        <v>0</v>
      </c>
    </row>
    <row r="155" spans="1:6" x14ac:dyDescent="0.3">
      <c r="A155" t="s">
        <v>202</v>
      </c>
      <c r="B155" t="s">
        <v>25</v>
      </c>
      <c r="C155">
        <v>2014</v>
      </c>
      <c r="D155" t="s">
        <v>14</v>
      </c>
      <c r="E155">
        <v>420</v>
      </c>
      <c r="F155">
        <v>0</v>
      </c>
    </row>
    <row r="156" spans="1:6" x14ac:dyDescent="0.3">
      <c r="A156" t="s">
        <v>203</v>
      </c>
      <c r="B156" t="s">
        <v>25</v>
      </c>
      <c r="C156">
        <v>2015</v>
      </c>
      <c r="D156" t="s">
        <v>9</v>
      </c>
      <c r="E156">
        <v>0</v>
      </c>
      <c r="F156">
        <v>0</v>
      </c>
    </row>
    <row r="157" spans="1:6" x14ac:dyDescent="0.3">
      <c r="A157" t="s">
        <v>204</v>
      </c>
      <c r="B157" t="s">
        <v>25</v>
      </c>
      <c r="C157">
        <v>2015</v>
      </c>
      <c r="D157" t="s">
        <v>9</v>
      </c>
      <c r="E157">
        <v>35000</v>
      </c>
      <c r="F157">
        <v>0</v>
      </c>
    </row>
    <row r="158" spans="1:6" x14ac:dyDescent="0.3">
      <c r="A158" t="s">
        <v>205</v>
      </c>
      <c r="B158" t="s">
        <v>25</v>
      </c>
      <c r="C158">
        <v>2018</v>
      </c>
      <c r="D158" t="s">
        <v>9</v>
      </c>
      <c r="E158">
        <v>200</v>
      </c>
      <c r="F158">
        <v>0</v>
      </c>
    </row>
    <row r="159" spans="1:6" x14ac:dyDescent="0.3">
      <c r="A159" t="s">
        <v>206</v>
      </c>
      <c r="B159" t="s">
        <v>25</v>
      </c>
      <c r="C159">
        <v>2020</v>
      </c>
      <c r="D159" t="s">
        <v>14</v>
      </c>
      <c r="E159">
        <v>15000</v>
      </c>
      <c r="F159">
        <v>0</v>
      </c>
    </row>
    <row r="160" spans="1:6" x14ac:dyDescent="0.3">
      <c r="A160" t="s">
        <v>207</v>
      </c>
      <c r="B160" t="s">
        <v>25</v>
      </c>
      <c r="C160">
        <v>2021</v>
      </c>
      <c r="D160" t="s">
        <v>9</v>
      </c>
      <c r="E160">
        <v>2500</v>
      </c>
      <c r="F160">
        <v>0</v>
      </c>
    </row>
    <row r="161" spans="1:6" x14ac:dyDescent="0.3">
      <c r="A161" t="s">
        <v>208</v>
      </c>
      <c r="B161" t="s">
        <v>25</v>
      </c>
      <c r="C161">
        <v>2021</v>
      </c>
      <c r="D161" t="s">
        <v>9</v>
      </c>
      <c r="E161">
        <v>420</v>
      </c>
      <c r="F161">
        <v>0</v>
      </c>
    </row>
    <row r="162" spans="1:6" x14ac:dyDescent="0.3">
      <c r="A162" t="s">
        <v>209</v>
      </c>
      <c r="B162" t="s">
        <v>25</v>
      </c>
      <c r="C162">
        <v>2023</v>
      </c>
      <c r="D162" t="s">
        <v>9</v>
      </c>
      <c r="E162">
        <v>1668</v>
      </c>
      <c r="F162">
        <v>0</v>
      </c>
    </row>
    <row r="163" spans="1:6" x14ac:dyDescent="0.3">
      <c r="A163" t="s">
        <v>210</v>
      </c>
      <c r="B163" t="s">
        <v>25</v>
      </c>
      <c r="C163">
        <v>2024</v>
      </c>
      <c r="D163" t="s">
        <v>9</v>
      </c>
      <c r="E163">
        <v>1000</v>
      </c>
      <c r="F163">
        <v>0</v>
      </c>
    </row>
    <row r="164" spans="1:6" x14ac:dyDescent="0.3">
      <c r="A164" t="s">
        <v>211</v>
      </c>
      <c r="B164" t="s">
        <v>25</v>
      </c>
      <c r="C164">
        <v>2024</v>
      </c>
      <c r="D164" t="s">
        <v>9</v>
      </c>
      <c r="E164">
        <v>11000</v>
      </c>
      <c r="F164">
        <v>0</v>
      </c>
    </row>
    <row r="165" spans="1:6" x14ac:dyDescent="0.3">
      <c r="A165" t="s">
        <v>212</v>
      </c>
      <c r="B165" t="s">
        <v>12</v>
      </c>
      <c r="C165">
        <v>2001</v>
      </c>
      <c r="D165" t="s">
        <v>7</v>
      </c>
      <c r="E165">
        <v>0</v>
      </c>
      <c r="F165">
        <v>0</v>
      </c>
    </row>
    <row r="166" spans="1:6" x14ac:dyDescent="0.3">
      <c r="A166" t="s">
        <v>213</v>
      </c>
      <c r="B166" t="s">
        <v>12</v>
      </c>
      <c r="C166">
        <v>2001</v>
      </c>
      <c r="D166" t="s">
        <v>9</v>
      </c>
      <c r="E166">
        <v>39928</v>
      </c>
      <c r="F166">
        <v>0</v>
      </c>
    </row>
    <row r="167" spans="1:6" x14ac:dyDescent="0.3">
      <c r="A167" t="s">
        <v>214</v>
      </c>
      <c r="B167" t="s">
        <v>12</v>
      </c>
      <c r="C167">
        <v>2003</v>
      </c>
      <c r="D167" t="s">
        <v>9</v>
      </c>
      <c r="E167">
        <v>600</v>
      </c>
      <c r="F167">
        <v>0</v>
      </c>
    </row>
    <row r="168" spans="1:6" x14ac:dyDescent="0.3">
      <c r="A168" t="s">
        <v>215</v>
      </c>
      <c r="B168" t="s">
        <v>12</v>
      </c>
      <c r="C168">
        <v>2003</v>
      </c>
      <c r="D168" t="s">
        <v>9</v>
      </c>
      <c r="E168">
        <v>225</v>
      </c>
      <c r="F168">
        <v>0</v>
      </c>
    </row>
    <row r="169" spans="1:6" x14ac:dyDescent="0.3">
      <c r="A169" t="s">
        <v>216</v>
      </c>
      <c r="B169" t="s">
        <v>12</v>
      </c>
      <c r="C169">
        <v>2004</v>
      </c>
      <c r="D169" t="s">
        <v>7</v>
      </c>
      <c r="E169">
        <v>25000</v>
      </c>
      <c r="F169">
        <v>0</v>
      </c>
    </row>
    <row r="170" spans="1:6" x14ac:dyDescent="0.3">
      <c r="A170" t="s">
        <v>217</v>
      </c>
      <c r="B170" t="s">
        <v>12</v>
      </c>
      <c r="C170">
        <v>2004</v>
      </c>
      <c r="D170" t="s">
        <v>9</v>
      </c>
      <c r="E170">
        <v>331700</v>
      </c>
      <c r="F170">
        <v>0</v>
      </c>
    </row>
    <row r="171" spans="1:6" x14ac:dyDescent="0.3">
      <c r="A171" t="s">
        <v>218</v>
      </c>
      <c r="B171" t="s">
        <v>12</v>
      </c>
      <c r="C171">
        <v>2004</v>
      </c>
      <c r="D171" t="s">
        <v>9</v>
      </c>
      <c r="E171">
        <v>0</v>
      </c>
      <c r="F171">
        <v>0</v>
      </c>
    </row>
    <row r="172" spans="1:6" x14ac:dyDescent="0.3">
      <c r="A172" t="s">
        <v>219</v>
      </c>
      <c r="B172" t="s">
        <v>12</v>
      </c>
      <c r="C172">
        <v>2004</v>
      </c>
      <c r="D172" t="s">
        <v>9</v>
      </c>
      <c r="E172">
        <v>2000</v>
      </c>
      <c r="F172">
        <v>0</v>
      </c>
    </row>
    <row r="173" spans="1:6" x14ac:dyDescent="0.3">
      <c r="A173" t="s">
        <v>220</v>
      </c>
      <c r="B173" t="s">
        <v>12</v>
      </c>
      <c r="C173">
        <v>2005</v>
      </c>
      <c r="D173" t="s">
        <v>9</v>
      </c>
      <c r="E173">
        <v>10000</v>
      </c>
      <c r="F173">
        <v>0</v>
      </c>
    </row>
    <row r="174" spans="1:6" x14ac:dyDescent="0.3">
      <c r="A174" t="s">
        <v>221</v>
      </c>
      <c r="B174" t="s">
        <v>12</v>
      </c>
      <c r="C174">
        <v>2006</v>
      </c>
      <c r="D174" t="s">
        <v>9</v>
      </c>
      <c r="E174">
        <v>225</v>
      </c>
      <c r="F174">
        <v>0</v>
      </c>
    </row>
    <row r="175" spans="1:6" x14ac:dyDescent="0.3">
      <c r="A175" t="s">
        <v>222</v>
      </c>
      <c r="B175" t="s">
        <v>12</v>
      </c>
      <c r="C175">
        <v>2007</v>
      </c>
      <c r="D175" t="s">
        <v>9</v>
      </c>
      <c r="E175">
        <v>6000</v>
      </c>
      <c r="F175">
        <v>0</v>
      </c>
    </row>
    <row r="176" spans="1:6" x14ac:dyDescent="0.3">
      <c r="A176" t="s">
        <v>223</v>
      </c>
      <c r="B176" t="s">
        <v>12</v>
      </c>
      <c r="C176">
        <v>2007</v>
      </c>
      <c r="D176" t="s">
        <v>9</v>
      </c>
      <c r="E176">
        <v>40000</v>
      </c>
      <c r="F176">
        <v>0</v>
      </c>
    </row>
    <row r="177" spans="1:6" x14ac:dyDescent="0.3">
      <c r="A177" t="s">
        <v>224</v>
      </c>
      <c r="B177" t="s">
        <v>12</v>
      </c>
      <c r="C177">
        <v>2008</v>
      </c>
      <c r="D177" t="s">
        <v>9</v>
      </c>
      <c r="E177">
        <v>81400</v>
      </c>
      <c r="F177">
        <v>0</v>
      </c>
    </row>
    <row r="178" spans="1:6" x14ac:dyDescent="0.3">
      <c r="A178" t="s">
        <v>225</v>
      </c>
      <c r="B178" t="s">
        <v>12</v>
      </c>
      <c r="C178">
        <v>2009</v>
      </c>
      <c r="D178" t="s">
        <v>9</v>
      </c>
      <c r="E178">
        <v>415</v>
      </c>
      <c r="F178">
        <v>0</v>
      </c>
    </row>
    <row r="179" spans="1:6" x14ac:dyDescent="0.3">
      <c r="A179" t="s">
        <v>226</v>
      </c>
      <c r="B179" t="s">
        <v>12</v>
      </c>
      <c r="C179">
        <v>2009</v>
      </c>
      <c r="D179" t="s">
        <v>9</v>
      </c>
      <c r="E179">
        <v>220000</v>
      </c>
      <c r="F179">
        <v>0</v>
      </c>
    </row>
    <row r="180" spans="1:6" x14ac:dyDescent="0.3">
      <c r="A180" t="s">
        <v>227</v>
      </c>
      <c r="B180" t="s">
        <v>12</v>
      </c>
      <c r="C180">
        <v>2009</v>
      </c>
      <c r="D180" t="s">
        <v>9</v>
      </c>
      <c r="E180">
        <v>4650</v>
      </c>
      <c r="F180">
        <v>0</v>
      </c>
    </row>
    <row r="181" spans="1:6" x14ac:dyDescent="0.3">
      <c r="A181" t="s">
        <v>228</v>
      </c>
      <c r="B181" t="s">
        <v>12</v>
      </c>
      <c r="C181">
        <v>2010</v>
      </c>
      <c r="D181" t="s">
        <v>9</v>
      </c>
      <c r="E181">
        <v>110886</v>
      </c>
      <c r="F181">
        <v>0</v>
      </c>
    </row>
    <row r="182" spans="1:6" x14ac:dyDescent="0.3">
      <c r="A182" t="s">
        <v>229</v>
      </c>
      <c r="B182" t="s">
        <v>12</v>
      </c>
      <c r="C182">
        <v>2010</v>
      </c>
      <c r="D182" t="s">
        <v>9</v>
      </c>
      <c r="E182">
        <v>75000</v>
      </c>
      <c r="F182">
        <v>0</v>
      </c>
    </row>
    <row r="183" spans="1:6" x14ac:dyDescent="0.3">
      <c r="A183" t="s">
        <v>230</v>
      </c>
      <c r="B183" t="s">
        <v>12</v>
      </c>
      <c r="C183">
        <v>2010</v>
      </c>
      <c r="D183" t="s">
        <v>9</v>
      </c>
      <c r="E183">
        <v>3895</v>
      </c>
      <c r="F183">
        <v>0</v>
      </c>
    </row>
    <row r="184" spans="1:6" x14ac:dyDescent="0.3">
      <c r="A184" t="s">
        <v>231</v>
      </c>
      <c r="B184" t="s">
        <v>12</v>
      </c>
      <c r="C184">
        <v>2011</v>
      </c>
      <c r="D184" t="s">
        <v>9</v>
      </c>
      <c r="E184">
        <v>0</v>
      </c>
      <c r="F184">
        <v>0</v>
      </c>
    </row>
    <row r="185" spans="1:6" x14ac:dyDescent="0.3">
      <c r="A185" t="s">
        <v>232</v>
      </c>
      <c r="B185" t="s">
        <v>12</v>
      </c>
      <c r="C185">
        <v>2011</v>
      </c>
      <c r="D185" t="s">
        <v>9</v>
      </c>
      <c r="E185">
        <v>65084</v>
      </c>
      <c r="F185">
        <v>0</v>
      </c>
    </row>
    <row r="186" spans="1:6" x14ac:dyDescent="0.3">
      <c r="A186" t="s">
        <v>233</v>
      </c>
      <c r="B186" t="s">
        <v>12</v>
      </c>
      <c r="C186">
        <v>2011</v>
      </c>
      <c r="D186" t="s">
        <v>9</v>
      </c>
      <c r="E186">
        <v>5500</v>
      </c>
      <c r="F186">
        <v>0</v>
      </c>
    </row>
    <row r="187" spans="1:6" x14ac:dyDescent="0.3">
      <c r="A187" t="s">
        <v>234</v>
      </c>
      <c r="B187" t="s">
        <v>12</v>
      </c>
      <c r="C187">
        <v>2011</v>
      </c>
      <c r="D187" t="s">
        <v>9</v>
      </c>
      <c r="E187">
        <v>20100</v>
      </c>
      <c r="F187">
        <v>0</v>
      </c>
    </row>
    <row r="188" spans="1:6" x14ac:dyDescent="0.3">
      <c r="A188" t="s">
        <v>235</v>
      </c>
      <c r="B188" t="s">
        <v>12</v>
      </c>
      <c r="C188">
        <v>2012</v>
      </c>
      <c r="D188" t="s">
        <v>7</v>
      </c>
      <c r="E188">
        <v>1833900</v>
      </c>
      <c r="F188">
        <v>0</v>
      </c>
    </row>
    <row r="189" spans="1:6" x14ac:dyDescent="0.3">
      <c r="A189" t="s">
        <v>236</v>
      </c>
      <c r="B189" t="s">
        <v>12</v>
      </c>
      <c r="C189">
        <v>2013</v>
      </c>
      <c r="D189" t="s">
        <v>9</v>
      </c>
      <c r="E189">
        <v>1000</v>
      </c>
      <c r="F189">
        <v>0</v>
      </c>
    </row>
    <row r="190" spans="1:6" x14ac:dyDescent="0.3">
      <c r="A190" t="s">
        <v>237</v>
      </c>
      <c r="B190" t="s">
        <v>12</v>
      </c>
      <c r="C190">
        <v>2015</v>
      </c>
      <c r="D190" t="s">
        <v>9</v>
      </c>
      <c r="E190">
        <v>2000</v>
      </c>
      <c r="F190">
        <v>0</v>
      </c>
    </row>
    <row r="191" spans="1:6" x14ac:dyDescent="0.3">
      <c r="A191" t="s">
        <v>238</v>
      </c>
      <c r="B191" t="s">
        <v>12</v>
      </c>
      <c r="C191">
        <v>2015</v>
      </c>
      <c r="D191" t="s">
        <v>9</v>
      </c>
      <c r="E191">
        <v>2000</v>
      </c>
      <c r="F191">
        <v>0</v>
      </c>
    </row>
    <row r="192" spans="1:6" x14ac:dyDescent="0.3">
      <c r="A192" t="s">
        <v>239</v>
      </c>
      <c r="B192" t="s">
        <v>12</v>
      </c>
      <c r="C192">
        <v>2015</v>
      </c>
      <c r="D192" t="s">
        <v>9</v>
      </c>
      <c r="E192">
        <v>1000</v>
      </c>
      <c r="F192">
        <v>0</v>
      </c>
    </row>
    <row r="193" spans="1:6" x14ac:dyDescent="0.3">
      <c r="A193" t="s">
        <v>240</v>
      </c>
      <c r="B193" t="s">
        <v>12</v>
      </c>
      <c r="C193">
        <v>2016</v>
      </c>
      <c r="D193" t="s">
        <v>9</v>
      </c>
      <c r="E193">
        <v>0</v>
      </c>
      <c r="F193">
        <v>0</v>
      </c>
    </row>
    <row r="194" spans="1:6" x14ac:dyDescent="0.3">
      <c r="A194" t="s">
        <v>241</v>
      </c>
      <c r="B194" t="s">
        <v>12</v>
      </c>
      <c r="C194">
        <v>2016</v>
      </c>
      <c r="D194" t="s">
        <v>9</v>
      </c>
      <c r="E194">
        <v>2755</v>
      </c>
      <c r="F194">
        <v>0</v>
      </c>
    </row>
    <row r="195" spans="1:6" x14ac:dyDescent="0.3">
      <c r="A195" t="s">
        <v>242</v>
      </c>
      <c r="B195" t="s">
        <v>12</v>
      </c>
      <c r="C195">
        <v>2016</v>
      </c>
      <c r="D195" t="s">
        <v>9</v>
      </c>
      <c r="E195">
        <v>5600</v>
      </c>
      <c r="F195">
        <v>0</v>
      </c>
    </row>
    <row r="196" spans="1:6" x14ac:dyDescent="0.3">
      <c r="A196" t="s">
        <v>243</v>
      </c>
      <c r="B196" t="s">
        <v>12</v>
      </c>
      <c r="C196">
        <v>2016</v>
      </c>
      <c r="D196" t="s">
        <v>9</v>
      </c>
      <c r="E196">
        <v>1544</v>
      </c>
      <c r="F196">
        <v>0</v>
      </c>
    </row>
    <row r="197" spans="1:6" x14ac:dyDescent="0.3">
      <c r="A197" t="s">
        <v>244</v>
      </c>
      <c r="B197" t="s">
        <v>12</v>
      </c>
      <c r="C197">
        <v>2017</v>
      </c>
      <c r="D197" t="s">
        <v>7</v>
      </c>
      <c r="E197">
        <v>1420000</v>
      </c>
      <c r="F197">
        <v>0</v>
      </c>
    </row>
    <row r="198" spans="1:6" x14ac:dyDescent="0.3">
      <c r="A198" t="s">
        <v>245</v>
      </c>
      <c r="B198" t="s">
        <v>12</v>
      </c>
      <c r="C198">
        <v>2017</v>
      </c>
      <c r="D198" t="s">
        <v>9</v>
      </c>
      <c r="E198">
        <v>30250</v>
      </c>
      <c r="F198">
        <v>2000</v>
      </c>
    </row>
    <row r="199" spans="1:6" x14ac:dyDescent="0.3">
      <c r="A199" t="s">
        <v>246</v>
      </c>
      <c r="B199" t="s">
        <v>12</v>
      </c>
      <c r="C199">
        <v>2018</v>
      </c>
      <c r="D199" t="s">
        <v>9</v>
      </c>
      <c r="E199">
        <v>3000</v>
      </c>
      <c r="F199">
        <v>0</v>
      </c>
    </row>
    <row r="200" spans="1:6" x14ac:dyDescent="0.3">
      <c r="A200" t="s">
        <v>247</v>
      </c>
      <c r="B200" t="s">
        <v>12</v>
      </c>
      <c r="C200">
        <v>2019</v>
      </c>
      <c r="D200" t="s">
        <v>9</v>
      </c>
      <c r="E200">
        <v>4255</v>
      </c>
      <c r="F200">
        <v>0</v>
      </c>
    </row>
    <row r="201" spans="1:6" x14ac:dyDescent="0.3">
      <c r="A201" t="s">
        <v>248</v>
      </c>
      <c r="B201" t="s">
        <v>12</v>
      </c>
      <c r="C201">
        <v>2019</v>
      </c>
      <c r="D201" t="s">
        <v>9</v>
      </c>
      <c r="E201">
        <v>1075</v>
      </c>
      <c r="F201">
        <v>0</v>
      </c>
    </row>
    <row r="202" spans="1:6" x14ac:dyDescent="0.3">
      <c r="A202" t="s">
        <v>249</v>
      </c>
      <c r="B202" t="s">
        <v>12</v>
      </c>
      <c r="C202">
        <v>2019</v>
      </c>
      <c r="D202" t="s">
        <v>9</v>
      </c>
      <c r="E202">
        <v>11190</v>
      </c>
      <c r="F202">
        <v>0</v>
      </c>
    </row>
    <row r="203" spans="1:6" x14ac:dyDescent="0.3">
      <c r="A203" t="s">
        <v>250</v>
      </c>
      <c r="B203" t="s">
        <v>12</v>
      </c>
      <c r="C203">
        <v>2020</v>
      </c>
      <c r="D203" t="s">
        <v>7</v>
      </c>
      <c r="E203">
        <v>1643316</v>
      </c>
      <c r="F203">
        <v>0</v>
      </c>
    </row>
    <row r="204" spans="1:6" x14ac:dyDescent="0.3">
      <c r="A204" t="s">
        <v>251</v>
      </c>
      <c r="B204" t="s">
        <v>12</v>
      </c>
      <c r="C204">
        <v>2020</v>
      </c>
      <c r="D204" t="s">
        <v>9</v>
      </c>
      <c r="E204">
        <v>10000</v>
      </c>
      <c r="F204">
        <v>0</v>
      </c>
    </row>
    <row r="205" spans="1:6" x14ac:dyDescent="0.3">
      <c r="A205" t="s">
        <v>252</v>
      </c>
      <c r="B205" t="s">
        <v>12</v>
      </c>
      <c r="C205">
        <v>2020</v>
      </c>
      <c r="D205" t="s">
        <v>9</v>
      </c>
      <c r="E205">
        <v>10600</v>
      </c>
      <c r="F205">
        <v>0</v>
      </c>
    </row>
    <row r="206" spans="1:6" x14ac:dyDescent="0.3">
      <c r="A206" t="s">
        <v>253</v>
      </c>
      <c r="B206" t="s">
        <v>12</v>
      </c>
      <c r="C206">
        <v>2021</v>
      </c>
      <c r="D206" t="s">
        <v>9</v>
      </c>
      <c r="E206">
        <v>1770</v>
      </c>
      <c r="F206">
        <v>0</v>
      </c>
    </row>
    <row r="207" spans="1:6" x14ac:dyDescent="0.3">
      <c r="A207" t="s">
        <v>254</v>
      </c>
      <c r="B207" t="s">
        <v>12</v>
      </c>
      <c r="C207">
        <v>2021</v>
      </c>
      <c r="D207" t="s">
        <v>9</v>
      </c>
      <c r="E207">
        <v>8167</v>
      </c>
      <c r="F207">
        <v>0</v>
      </c>
    </row>
    <row r="208" spans="1:6" x14ac:dyDescent="0.3">
      <c r="A208" t="s">
        <v>255</v>
      </c>
      <c r="B208" t="s">
        <v>12</v>
      </c>
      <c r="C208">
        <v>2023</v>
      </c>
      <c r="D208" t="s">
        <v>9</v>
      </c>
      <c r="E208">
        <v>44450</v>
      </c>
      <c r="F208">
        <v>0</v>
      </c>
    </row>
    <row r="209" spans="1:6" x14ac:dyDescent="0.3">
      <c r="A209" t="s">
        <v>256</v>
      </c>
      <c r="B209" t="s">
        <v>12</v>
      </c>
      <c r="C209">
        <v>2023</v>
      </c>
      <c r="D209" t="s">
        <v>9</v>
      </c>
      <c r="E209">
        <v>26460</v>
      </c>
      <c r="F209">
        <v>0</v>
      </c>
    </row>
    <row r="210" spans="1:6" x14ac:dyDescent="0.3">
      <c r="A210" t="s">
        <v>257</v>
      </c>
      <c r="B210" t="s">
        <v>12</v>
      </c>
      <c r="C210">
        <v>2024</v>
      </c>
      <c r="D210" t="s">
        <v>7</v>
      </c>
      <c r="E210">
        <v>2800000</v>
      </c>
      <c r="F210">
        <v>0</v>
      </c>
    </row>
    <row r="211" spans="1:6" x14ac:dyDescent="0.3">
      <c r="A211" t="s">
        <v>258</v>
      </c>
      <c r="B211" t="s">
        <v>13</v>
      </c>
      <c r="C211">
        <v>2003</v>
      </c>
      <c r="D211" t="s">
        <v>9</v>
      </c>
      <c r="E211">
        <v>31500</v>
      </c>
      <c r="F211">
        <v>55000</v>
      </c>
    </row>
    <row r="212" spans="1:6" x14ac:dyDescent="0.3">
      <c r="A212" t="s">
        <v>259</v>
      </c>
      <c r="B212" t="s">
        <v>13</v>
      </c>
      <c r="C212">
        <v>2009</v>
      </c>
      <c r="D212" t="s">
        <v>9</v>
      </c>
      <c r="E212">
        <v>5000</v>
      </c>
      <c r="F212">
        <v>0</v>
      </c>
    </row>
    <row r="213" spans="1:6" x14ac:dyDescent="0.3">
      <c r="A213" t="s">
        <v>260</v>
      </c>
      <c r="B213" t="s">
        <v>13</v>
      </c>
      <c r="C213">
        <v>2010</v>
      </c>
      <c r="D213" t="s">
        <v>9</v>
      </c>
      <c r="E213">
        <v>70000</v>
      </c>
      <c r="F213">
        <v>0</v>
      </c>
    </row>
    <row r="214" spans="1:6" x14ac:dyDescent="0.3">
      <c r="A214" t="s">
        <v>261</v>
      </c>
      <c r="B214" t="s">
        <v>13</v>
      </c>
      <c r="C214">
        <v>2012</v>
      </c>
      <c r="D214" t="s">
        <v>14</v>
      </c>
      <c r="E214">
        <v>15550</v>
      </c>
      <c r="F214">
        <v>0</v>
      </c>
    </row>
    <row r="215" spans="1:6" x14ac:dyDescent="0.3">
      <c r="A215" t="s">
        <v>262</v>
      </c>
      <c r="B215" t="s">
        <v>13</v>
      </c>
      <c r="C215">
        <v>2012</v>
      </c>
      <c r="D215" t="s">
        <v>14</v>
      </c>
      <c r="E215">
        <v>6949</v>
      </c>
      <c r="F215">
        <v>0</v>
      </c>
    </row>
    <row r="216" spans="1:6" x14ac:dyDescent="0.3">
      <c r="A216" t="s">
        <v>263</v>
      </c>
      <c r="B216" t="s">
        <v>8</v>
      </c>
      <c r="C216">
        <v>2001</v>
      </c>
      <c r="D216" t="s">
        <v>9</v>
      </c>
      <c r="E216">
        <v>500000</v>
      </c>
      <c r="F216">
        <v>0</v>
      </c>
    </row>
    <row r="217" spans="1:6" x14ac:dyDescent="0.3">
      <c r="A217" t="s">
        <v>264</v>
      </c>
      <c r="B217" t="s">
        <v>8</v>
      </c>
      <c r="C217">
        <v>2001</v>
      </c>
      <c r="D217" t="s">
        <v>9</v>
      </c>
      <c r="E217">
        <v>200000</v>
      </c>
      <c r="F217">
        <v>0</v>
      </c>
    </row>
    <row r="218" spans="1:6" x14ac:dyDescent="0.3">
      <c r="A218" t="s">
        <v>265</v>
      </c>
      <c r="B218" t="s">
        <v>8</v>
      </c>
      <c r="C218">
        <v>2001</v>
      </c>
      <c r="D218" t="s">
        <v>2689</v>
      </c>
      <c r="E218">
        <v>200</v>
      </c>
      <c r="F218">
        <v>0</v>
      </c>
    </row>
    <row r="219" spans="1:6" x14ac:dyDescent="0.3">
      <c r="A219" t="s">
        <v>266</v>
      </c>
      <c r="B219" t="s">
        <v>8</v>
      </c>
      <c r="C219">
        <v>2001</v>
      </c>
      <c r="D219" t="s">
        <v>2689</v>
      </c>
      <c r="E219">
        <v>2500</v>
      </c>
      <c r="F219">
        <v>0</v>
      </c>
    </row>
    <row r="220" spans="1:6" x14ac:dyDescent="0.3">
      <c r="A220" t="s">
        <v>267</v>
      </c>
      <c r="B220" t="s">
        <v>8</v>
      </c>
      <c r="C220">
        <v>2001</v>
      </c>
      <c r="D220" t="s">
        <v>2689</v>
      </c>
      <c r="E220">
        <v>600</v>
      </c>
      <c r="F220">
        <v>0</v>
      </c>
    </row>
    <row r="221" spans="1:6" x14ac:dyDescent="0.3">
      <c r="A221" t="s">
        <v>268</v>
      </c>
      <c r="B221" t="s">
        <v>8</v>
      </c>
      <c r="C221">
        <v>2001</v>
      </c>
      <c r="D221" t="s">
        <v>2689</v>
      </c>
      <c r="E221">
        <v>25450</v>
      </c>
      <c r="F221">
        <v>0</v>
      </c>
    </row>
    <row r="222" spans="1:6" x14ac:dyDescent="0.3">
      <c r="A222" t="s">
        <v>269</v>
      </c>
      <c r="B222" t="s">
        <v>8</v>
      </c>
      <c r="C222">
        <v>2002</v>
      </c>
      <c r="D222" t="s">
        <v>9</v>
      </c>
      <c r="E222">
        <v>1500000</v>
      </c>
      <c r="F222">
        <v>0</v>
      </c>
    </row>
    <row r="223" spans="1:6" x14ac:dyDescent="0.3">
      <c r="A223" t="s">
        <v>270</v>
      </c>
      <c r="B223" t="s">
        <v>8</v>
      </c>
      <c r="C223">
        <v>2002</v>
      </c>
      <c r="D223" t="s">
        <v>2689</v>
      </c>
      <c r="E223">
        <v>1000</v>
      </c>
      <c r="F223">
        <v>0</v>
      </c>
    </row>
    <row r="224" spans="1:6" x14ac:dyDescent="0.3">
      <c r="A224" t="s">
        <v>271</v>
      </c>
      <c r="B224" t="s">
        <v>8</v>
      </c>
      <c r="C224">
        <v>2002</v>
      </c>
      <c r="D224" t="s">
        <v>2689</v>
      </c>
      <c r="E224">
        <v>100400</v>
      </c>
      <c r="F224">
        <v>0</v>
      </c>
    </row>
    <row r="225" spans="1:6" x14ac:dyDescent="0.3">
      <c r="A225" t="s">
        <v>272</v>
      </c>
      <c r="B225" t="s">
        <v>8</v>
      </c>
      <c r="C225">
        <v>2002</v>
      </c>
      <c r="D225" t="s">
        <v>2689</v>
      </c>
      <c r="E225">
        <v>0</v>
      </c>
      <c r="F225">
        <v>0</v>
      </c>
    </row>
    <row r="226" spans="1:6" x14ac:dyDescent="0.3">
      <c r="A226" t="s">
        <v>273</v>
      </c>
      <c r="B226" t="s">
        <v>8</v>
      </c>
      <c r="C226">
        <v>2002</v>
      </c>
      <c r="D226" t="s">
        <v>2689</v>
      </c>
      <c r="E226">
        <v>0</v>
      </c>
      <c r="F226">
        <v>0</v>
      </c>
    </row>
    <row r="227" spans="1:6" x14ac:dyDescent="0.3">
      <c r="A227" t="s">
        <v>274</v>
      </c>
      <c r="B227" t="s">
        <v>8</v>
      </c>
      <c r="C227">
        <v>2003</v>
      </c>
      <c r="D227" t="s">
        <v>14</v>
      </c>
      <c r="E227">
        <v>2525</v>
      </c>
      <c r="F227">
        <v>0</v>
      </c>
    </row>
    <row r="228" spans="1:6" x14ac:dyDescent="0.3">
      <c r="A228" t="s">
        <v>275</v>
      </c>
      <c r="B228" t="s">
        <v>8</v>
      </c>
      <c r="C228">
        <v>2003</v>
      </c>
      <c r="D228" t="s">
        <v>9</v>
      </c>
      <c r="E228">
        <v>50000</v>
      </c>
      <c r="F228">
        <v>0</v>
      </c>
    </row>
    <row r="229" spans="1:6" x14ac:dyDescent="0.3">
      <c r="A229" t="s">
        <v>276</v>
      </c>
      <c r="B229" t="s">
        <v>8</v>
      </c>
      <c r="C229">
        <v>2003</v>
      </c>
      <c r="D229" t="s">
        <v>9</v>
      </c>
      <c r="E229">
        <v>500000</v>
      </c>
      <c r="F229">
        <v>0</v>
      </c>
    </row>
    <row r="230" spans="1:6" x14ac:dyDescent="0.3">
      <c r="A230" t="s">
        <v>277</v>
      </c>
      <c r="B230" t="s">
        <v>8</v>
      </c>
      <c r="C230">
        <v>2003</v>
      </c>
      <c r="D230" t="s">
        <v>2689</v>
      </c>
      <c r="E230">
        <v>400</v>
      </c>
      <c r="F230">
        <v>0</v>
      </c>
    </row>
    <row r="231" spans="1:6" x14ac:dyDescent="0.3">
      <c r="A231" t="s">
        <v>278</v>
      </c>
      <c r="B231" t="s">
        <v>8</v>
      </c>
      <c r="C231">
        <v>2003</v>
      </c>
      <c r="D231" t="s">
        <v>2689</v>
      </c>
      <c r="E231">
        <v>0</v>
      </c>
      <c r="F231">
        <v>0</v>
      </c>
    </row>
    <row r="232" spans="1:6" x14ac:dyDescent="0.3">
      <c r="A232" t="s">
        <v>279</v>
      </c>
      <c r="B232" t="s">
        <v>8</v>
      </c>
      <c r="C232">
        <v>2004</v>
      </c>
      <c r="D232" t="s">
        <v>14</v>
      </c>
      <c r="E232">
        <v>0</v>
      </c>
      <c r="F232">
        <v>500000</v>
      </c>
    </row>
    <row r="233" spans="1:6" x14ac:dyDescent="0.3">
      <c r="A233" t="s">
        <v>280</v>
      </c>
      <c r="B233" t="s">
        <v>8</v>
      </c>
      <c r="C233">
        <v>2004</v>
      </c>
      <c r="D233" t="s">
        <v>9</v>
      </c>
      <c r="E233">
        <v>36000000</v>
      </c>
      <c r="F233">
        <v>2200000</v>
      </c>
    </row>
    <row r="234" spans="1:6" x14ac:dyDescent="0.3">
      <c r="A234" t="s">
        <v>281</v>
      </c>
      <c r="B234" t="s">
        <v>8</v>
      </c>
      <c r="C234">
        <v>2004</v>
      </c>
      <c r="D234" t="s">
        <v>9</v>
      </c>
      <c r="E234">
        <v>600000</v>
      </c>
      <c r="F234">
        <v>0</v>
      </c>
    </row>
    <row r="235" spans="1:6" x14ac:dyDescent="0.3">
      <c r="A235" t="s">
        <v>282</v>
      </c>
      <c r="B235" t="s">
        <v>8</v>
      </c>
      <c r="C235">
        <v>2004</v>
      </c>
      <c r="D235" t="s">
        <v>9</v>
      </c>
      <c r="E235">
        <v>271700</v>
      </c>
      <c r="F235">
        <v>0</v>
      </c>
    </row>
    <row r="236" spans="1:6" x14ac:dyDescent="0.3">
      <c r="A236" t="s">
        <v>283</v>
      </c>
      <c r="B236" t="s">
        <v>8</v>
      </c>
      <c r="C236">
        <v>2004</v>
      </c>
      <c r="D236" t="s">
        <v>2689</v>
      </c>
      <c r="E236">
        <v>13000</v>
      </c>
      <c r="F236">
        <v>0</v>
      </c>
    </row>
    <row r="237" spans="1:6" x14ac:dyDescent="0.3">
      <c r="A237" t="s">
        <v>284</v>
      </c>
      <c r="B237" t="s">
        <v>8</v>
      </c>
      <c r="C237">
        <v>2004</v>
      </c>
      <c r="D237" t="s">
        <v>2689</v>
      </c>
      <c r="E237">
        <v>50</v>
      </c>
      <c r="F237">
        <v>0</v>
      </c>
    </row>
    <row r="238" spans="1:6" x14ac:dyDescent="0.3">
      <c r="A238" t="s">
        <v>285</v>
      </c>
      <c r="B238" t="s">
        <v>8</v>
      </c>
      <c r="C238">
        <v>2004</v>
      </c>
      <c r="D238" t="s">
        <v>2689</v>
      </c>
      <c r="E238">
        <v>4050</v>
      </c>
      <c r="F238">
        <v>0</v>
      </c>
    </row>
    <row r="239" spans="1:6" x14ac:dyDescent="0.3">
      <c r="A239" t="s">
        <v>286</v>
      </c>
      <c r="B239" t="s">
        <v>8</v>
      </c>
      <c r="C239">
        <v>2004</v>
      </c>
      <c r="D239" t="s">
        <v>2689</v>
      </c>
      <c r="E239">
        <v>1100</v>
      </c>
      <c r="F239">
        <v>0</v>
      </c>
    </row>
    <row r="240" spans="1:6" x14ac:dyDescent="0.3">
      <c r="A240" t="s">
        <v>287</v>
      </c>
      <c r="B240" t="s">
        <v>8</v>
      </c>
      <c r="C240">
        <v>2005</v>
      </c>
      <c r="D240" t="s">
        <v>9</v>
      </c>
      <c r="E240">
        <v>50000</v>
      </c>
      <c r="F240">
        <v>0</v>
      </c>
    </row>
    <row r="241" spans="1:6" x14ac:dyDescent="0.3">
      <c r="A241" t="s">
        <v>288</v>
      </c>
      <c r="B241" t="s">
        <v>8</v>
      </c>
      <c r="C241">
        <v>2005</v>
      </c>
      <c r="D241" t="s">
        <v>9</v>
      </c>
      <c r="E241">
        <v>1000000</v>
      </c>
      <c r="F241">
        <v>0</v>
      </c>
    </row>
    <row r="242" spans="1:6" x14ac:dyDescent="0.3">
      <c r="A242" t="s">
        <v>289</v>
      </c>
      <c r="B242" t="s">
        <v>8</v>
      </c>
      <c r="C242">
        <v>2005</v>
      </c>
      <c r="D242" t="s">
        <v>9</v>
      </c>
      <c r="E242">
        <v>100000</v>
      </c>
      <c r="F242">
        <v>0</v>
      </c>
    </row>
    <row r="243" spans="1:6" x14ac:dyDescent="0.3">
      <c r="A243" t="s">
        <v>290</v>
      </c>
      <c r="B243" t="s">
        <v>8</v>
      </c>
      <c r="C243">
        <v>2005</v>
      </c>
      <c r="D243" t="s">
        <v>2689</v>
      </c>
      <c r="E243">
        <v>11500</v>
      </c>
      <c r="F243">
        <v>0</v>
      </c>
    </row>
    <row r="244" spans="1:6" x14ac:dyDescent="0.3">
      <c r="A244" t="s">
        <v>291</v>
      </c>
      <c r="B244" t="s">
        <v>8</v>
      </c>
      <c r="C244">
        <v>2005</v>
      </c>
      <c r="D244" t="s">
        <v>2689</v>
      </c>
      <c r="E244">
        <v>10500</v>
      </c>
      <c r="F244">
        <v>0</v>
      </c>
    </row>
    <row r="245" spans="1:6" x14ac:dyDescent="0.3">
      <c r="A245" t="s">
        <v>292</v>
      </c>
      <c r="B245" t="s">
        <v>8</v>
      </c>
      <c r="C245">
        <v>2005</v>
      </c>
      <c r="D245" t="s">
        <v>2689</v>
      </c>
      <c r="E245">
        <v>6</v>
      </c>
      <c r="F245">
        <v>0</v>
      </c>
    </row>
    <row r="246" spans="1:6" x14ac:dyDescent="0.3">
      <c r="A246" t="s">
        <v>293</v>
      </c>
      <c r="B246" t="s">
        <v>8</v>
      </c>
      <c r="C246">
        <v>2005</v>
      </c>
      <c r="D246" t="s">
        <v>2689</v>
      </c>
      <c r="E246">
        <v>100</v>
      </c>
      <c r="F246">
        <v>0</v>
      </c>
    </row>
    <row r="247" spans="1:6" x14ac:dyDescent="0.3">
      <c r="A247" t="s">
        <v>294</v>
      </c>
      <c r="B247" t="s">
        <v>8</v>
      </c>
      <c r="C247">
        <v>2005</v>
      </c>
      <c r="D247" t="s">
        <v>2689</v>
      </c>
      <c r="E247">
        <v>1500</v>
      </c>
      <c r="F247">
        <v>0</v>
      </c>
    </row>
    <row r="248" spans="1:6" x14ac:dyDescent="0.3">
      <c r="A248" t="s">
        <v>295</v>
      </c>
      <c r="B248" t="s">
        <v>8</v>
      </c>
      <c r="C248">
        <v>2005</v>
      </c>
      <c r="D248" t="s">
        <v>2689</v>
      </c>
      <c r="E248">
        <v>0</v>
      </c>
      <c r="F248">
        <v>0</v>
      </c>
    </row>
    <row r="249" spans="1:6" x14ac:dyDescent="0.3">
      <c r="A249" t="s">
        <v>296</v>
      </c>
      <c r="B249" t="s">
        <v>8</v>
      </c>
      <c r="C249">
        <v>2005</v>
      </c>
      <c r="D249" t="s">
        <v>2689</v>
      </c>
      <c r="E249">
        <v>12000</v>
      </c>
      <c r="F249">
        <v>0</v>
      </c>
    </row>
    <row r="250" spans="1:6" x14ac:dyDescent="0.3">
      <c r="A250" t="s">
        <v>297</v>
      </c>
      <c r="B250" t="s">
        <v>8</v>
      </c>
      <c r="C250">
        <v>2006</v>
      </c>
      <c r="D250" t="s">
        <v>9</v>
      </c>
      <c r="E250">
        <v>76000</v>
      </c>
      <c r="F250">
        <v>0</v>
      </c>
    </row>
    <row r="251" spans="1:6" x14ac:dyDescent="0.3">
      <c r="A251" t="s">
        <v>298</v>
      </c>
      <c r="B251" t="s">
        <v>8</v>
      </c>
      <c r="C251">
        <v>2006</v>
      </c>
      <c r="D251" t="s">
        <v>9</v>
      </c>
      <c r="E251">
        <v>135775</v>
      </c>
      <c r="F251">
        <v>0</v>
      </c>
    </row>
    <row r="252" spans="1:6" x14ac:dyDescent="0.3">
      <c r="A252" t="s">
        <v>299</v>
      </c>
      <c r="B252" t="s">
        <v>8</v>
      </c>
      <c r="C252">
        <v>2006</v>
      </c>
      <c r="D252" t="s">
        <v>2689</v>
      </c>
      <c r="E252">
        <v>5899</v>
      </c>
      <c r="F252">
        <v>0</v>
      </c>
    </row>
    <row r="253" spans="1:6" x14ac:dyDescent="0.3">
      <c r="A253" t="s">
        <v>300</v>
      </c>
      <c r="B253" t="s">
        <v>8</v>
      </c>
      <c r="C253">
        <v>2006</v>
      </c>
      <c r="D253" t="s">
        <v>2689</v>
      </c>
      <c r="E253">
        <v>9135</v>
      </c>
      <c r="F253">
        <v>0</v>
      </c>
    </row>
    <row r="254" spans="1:6" x14ac:dyDescent="0.3">
      <c r="A254" t="s">
        <v>301</v>
      </c>
      <c r="B254" t="s">
        <v>8</v>
      </c>
      <c r="C254">
        <v>2006</v>
      </c>
      <c r="D254" t="s">
        <v>2689</v>
      </c>
      <c r="E254">
        <v>1465</v>
      </c>
      <c r="F254">
        <v>0</v>
      </c>
    </row>
    <row r="255" spans="1:6" x14ac:dyDescent="0.3">
      <c r="A255" t="s">
        <v>302</v>
      </c>
      <c r="B255" t="s">
        <v>8</v>
      </c>
      <c r="C255">
        <v>2006</v>
      </c>
      <c r="D255" t="s">
        <v>2689</v>
      </c>
      <c r="E255">
        <v>1500</v>
      </c>
      <c r="F255">
        <v>0</v>
      </c>
    </row>
    <row r="256" spans="1:6" x14ac:dyDescent="0.3">
      <c r="A256" t="s">
        <v>303</v>
      </c>
      <c r="B256" t="s">
        <v>8</v>
      </c>
      <c r="C256">
        <v>2006</v>
      </c>
      <c r="D256" t="s">
        <v>2689</v>
      </c>
      <c r="E256">
        <v>150</v>
      </c>
      <c r="F256">
        <v>0</v>
      </c>
    </row>
    <row r="257" spans="1:6" x14ac:dyDescent="0.3">
      <c r="A257" t="s">
        <v>304</v>
      </c>
      <c r="B257" t="s">
        <v>8</v>
      </c>
      <c r="C257">
        <v>2007</v>
      </c>
      <c r="D257" t="s">
        <v>9</v>
      </c>
      <c r="E257">
        <v>80060</v>
      </c>
      <c r="F257">
        <v>14000</v>
      </c>
    </row>
    <row r="258" spans="1:6" x14ac:dyDescent="0.3">
      <c r="A258" t="s">
        <v>305</v>
      </c>
      <c r="B258" t="s">
        <v>8</v>
      </c>
      <c r="C258">
        <v>2007</v>
      </c>
      <c r="D258" t="s">
        <v>9</v>
      </c>
      <c r="E258">
        <v>13771380</v>
      </c>
      <c r="F258">
        <v>100000</v>
      </c>
    </row>
    <row r="259" spans="1:6" x14ac:dyDescent="0.3">
      <c r="A259" t="s">
        <v>306</v>
      </c>
      <c r="B259" t="s">
        <v>8</v>
      </c>
      <c r="C259">
        <v>2007</v>
      </c>
      <c r="D259" t="s">
        <v>2689</v>
      </c>
      <c r="E259">
        <v>225</v>
      </c>
      <c r="F259">
        <v>0</v>
      </c>
    </row>
    <row r="260" spans="1:6" x14ac:dyDescent="0.3">
      <c r="A260" t="s">
        <v>307</v>
      </c>
      <c r="B260" t="s">
        <v>8</v>
      </c>
      <c r="C260">
        <v>2007</v>
      </c>
      <c r="D260" t="s">
        <v>2689</v>
      </c>
      <c r="E260">
        <v>8978541</v>
      </c>
      <c r="F260">
        <v>2300000</v>
      </c>
    </row>
    <row r="261" spans="1:6" x14ac:dyDescent="0.3">
      <c r="A261" t="s">
        <v>308</v>
      </c>
      <c r="B261" t="s">
        <v>8</v>
      </c>
      <c r="C261">
        <v>2008</v>
      </c>
      <c r="D261" t="s">
        <v>9</v>
      </c>
      <c r="E261">
        <v>20002</v>
      </c>
      <c r="F261">
        <v>0</v>
      </c>
    </row>
    <row r="262" spans="1:6" x14ac:dyDescent="0.3">
      <c r="A262" t="s">
        <v>309</v>
      </c>
      <c r="B262" t="s">
        <v>8</v>
      </c>
      <c r="C262">
        <v>2008</v>
      </c>
      <c r="D262" t="s">
        <v>9</v>
      </c>
      <c r="E262">
        <v>615638</v>
      </c>
      <c r="F262">
        <v>0</v>
      </c>
    </row>
    <row r="263" spans="1:6" x14ac:dyDescent="0.3">
      <c r="A263" t="s">
        <v>310</v>
      </c>
      <c r="B263" t="s">
        <v>8</v>
      </c>
      <c r="C263">
        <v>2008</v>
      </c>
      <c r="D263" t="s">
        <v>2689</v>
      </c>
      <c r="E263">
        <v>200</v>
      </c>
      <c r="F263">
        <v>0</v>
      </c>
    </row>
    <row r="264" spans="1:6" x14ac:dyDescent="0.3">
      <c r="A264" t="s">
        <v>311</v>
      </c>
      <c r="B264" t="s">
        <v>8</v>
      </c>
      <c r="C264">
        <v>2008</v>
      </c>
      <c r="D264" t="s">
        <v>2689</v>
      </c>
      <c r="E264">
        <v>200</v>
      </c>
      <c r="F264">
        <v>0</v>
      </c>
    </row>
    <row r="265" spans="1:6" x14ac:dyDescent="0.3">
      <c r="A265" t="s">
        <v>312</v>
      </c>
      <c r="B265" t="s">
        <v>8</v>
      </c>
      <c r="C265">
        <v>2009</v>
      </c>
      <c r="D265" t="s">
        <v>7</v>
      </c>
      <c r="E265">
        <v>0</v>
      </c>
      <c r="F265">
        <v>0</v>
      </c>
    </row>
    <row r="266" spans="1:6" x14ac:dyDescent="0.3">
      <c r="A266" t="s">
        <v>313</v>
      </c>
      <c r="B266" t="s">
        <v>8</v>
      </c>
      <c r="C266">
        <v>2009</v>
      </c>
      <c r="D266" t="s">
        <v>9</v>
      </c>
      <c r="E266">
        <v>500000</v>
      </c>
      <c r="F266">
        <v>0</v>
      </c>
    </row>
    <row r="267" spans="1:6" x14ac:dyDescent="0.3">
      <c r="A267" t="s">
        <v>314</v>
      </c>
      <c r="B267" t="s">
        <v>8</v>
      </c>
      <c r="C267">
        <v>2009</v>
      </c>
      <c r="D267" t="s">
        <v>9</v>
      </c>
      <c r="E267">
        <v>0</v>
      </c>
      <c r="F267">
        <v>0</v>
      </c>
    </row>
    <row r="268" spans="1:6" x14ac:dyDescent="0.3">
      <c r="A268" t="s">
        <v>315</v>
      </c>
      <c r="B268" t="s">
        <v>8</v>
      </c>
      <c r="C268">
        <v>2009</v>
      </c>
      <c r="D268" t="s">
        <v>2689</v>
      </c>
      <c r="E268">
        <v>19209</v>
      </c>
      <c r="F268">
        <v>0</v>
      </c>
    </row>
    <row r="269" spans="1:6" x14ac:dyDescent="0.3">
      <c r="A269" t="s">
        <v>316</v>
      </c>
      <c r="B269" t="s">
        <v>8</v>
      </c>
      <c r="C269">
        <v>2009</v>
      </c>
      <c r="D269" t="s">
        <v>2689</v>
      </c>
      <c r="E269">
        <v>3935341</v>
      </c>
      <c r="F269">
        <v>270000</v>
      </c>
    </row>
    <row r="270" spans="1:6" x14ac:dyDescent="0.3">
      <c r="A270" t="s">
        <v>317</v>
      </c>
      <c r="B270" t="s">
        <v>8</v>
      </c>
      <c r="C270">
        <v>2010</v>
      </c>
      <c r="D270" t="s">
        <v>9</v>
      </c>
      <c r="E270">
        <v>75000</v>
      </c>
      <c r="F270">
        <v>0</v>
      </c>
    </row>
    <row r="271" spans="1:6" x14ac:dyDescent="0.3">
      <c r="A271" t="s">
        <v>318</v>
      </c>
      <c r="B271" t="s">
        <v>8</v>
      </c>
      <c r="C271">
        <v>2010</v>
      </c>
      <c r="D271" t="s">
        <v>9</v>
      </c>
      <c r="E271">
        <v>500000</v>
      </c>
      <c r="F271">
        <v>0</v>
      </c>
    </row>
    <row r="272" spans="1:6" x14ac:dyDescent="0.3">
      <c r="A272" t="s">
        <v>319</v>
      </c>
      <c r="B272" t="s">
        <v>8</v>
      </c>
      <c r="C272">
        <v>2010</v>
      </c>
      <c r="D272" t="s">
        <v>2689</v>
      </c>
      <c r="E272">
        <v>247110</v>
      </c>
      <c r="F272">
        <v>0</v>
      </c>
    </row>
    <row r="273" spans="1:6" x14ac:dyDescent="0.3">
      <c r="A273" t="s">
        <v>320</v>
      </c>
      <c r="B273" t="s">
        <v>8</v>
      </c>
      <c r="C273">
        <v>2010</v>
      </c>
      <c r="D273" t="s">
        <v>2689</v>
      </c>
      <c r="E273">
        <v>10000</v>
      </c>
      <c r="F273">
        <v>0</v>
      </c>
    </row>
    <row r="274" spans="1:6" x14ac:dyDescent="0.3">
      <c r="A274" t="s">
        <v>321</v>
      </c>
      <c r="B274" t="s">
        <v>8</v>
      </c>
      <c r="C274">
        <v>2010</v>
      </c>
      <c r="D274" t="s">
        <v>2689</v>
      </c>
      <c r="E274">
        <v>50</v>
      </c>
      <c r="F274">
        <v>0</v>
      </c>
    </row>
    <row r="275" spans="1:6" x14ac:dyDescent="0.3">
      <c r="A275" t="s">
        <v>322</v>
      </c>
      <c r="B275" t="s">
        <v>8</v>
      </c>
      <c r="C275">
        <v>2011</v>
      </c>
      <c r="D275" t="s">
        <v>9</v>
      </c>
      <c r="E275">
        <v>1570559</v>
      </c>
      <c r="F275">
        <v>0</v>
      </c>
    </row>
    <row r="276" spans="1:6" x14ac:dyDescent="0.3">
      <c r="A276" t="s">
        <v>323</v>
      </c>
      <c r="B276" t="s">
        <v>8</v>
      </c>
      <c r="C276">
        <v>2011</v>
      </c>
      <c r="D276" t="s">
        <v>2689</v>
      </c>
      <c r="E276">
        <v>121</v>
      </c>
      <c r="F276">
        <v>0</v>
      </c>
    </row>
    <row r="277" spans="1:6" x14ac:dyDescent="0.3">
      <c r="A277" t="s">
        <v>324</v>
      </c>
      <c r="B277" t="s">
        <v>8</v>
      </c>
      <c r="C277">
        <v>2012</v>
      </c>
      <c r="D277" t="s">
        <v>9</v>
      </c>
      <c r="E277">
        <v>5148475</v>
      </c>
      <c r="F277">
        <v>0</v>
      </c>
    </row>
    <row r="278" spans="1:6" x14ac:dyDescent="0.3">
      <c r="A278" t="s">
        <v>325</v>
      </c>
      <c r="B278" t="s">
        <v>8</v>
      </c>
      <c r="C278">
        <v>2012</v>
      </c>
      <c r="D278" t="s">
        <v>9</v>
      </c>
      <c r="E278">
        <v>250000</v>
      </c>
      <c r="F278">
        <v>0</v>
      </c>
    </row>
    <row r="279" spans="1:6" x14ac:dyDescent="0.3">
      <c r="A279" t="s">
        <v>326</v>
      </c>
      <c r="B279" t="s">
        <v>8</v>
      </c>
      <c r="C279">
        <v>2012</v>
      </c>
      <c r="D279" t="s">
        <v>2689</v>
      </c>
      <c r="E279">
        <v>55121</v>
      </c>
      <c r="F279">
        <v>0</v>
      </c>
    </row>
    <row r="280" spans="1:6" x14ac:dyDescent="0.3">
      <c r="A280" t="s">
        <v>327</v>
      </c>
      <c r="B280" t="s">
        <v>8</v>
      </c>
      <c r="C280">
        <v>2012</v>
      </c>
      <c r="D280" t="s">
        <v>2689</v>
      </c>
      <c r="E280">
        <v>129558</v>
      </c>
      <c r="F280">
        <v>0</v>
      </c>
    </row>
    <row r="281" spans="1:6" x14ac:dyDescent="0.3">
      <c r="A281" t="s">
        <v>328</v>
      </c>
      <c r="B281" t="s">
        <v>8</v>
      </c>
      <c r="C281">
        <v>2013</v>
      </c>
      <c r="D281" t="s">
        <v>2689</v>
      </c>
      <c r="E281">
        <v>8543</v>
      </c>
      <c r="F281">
        <v>20000</v>
      </c>
    </row>
    <row r="282" spans="1:6" x14ac:dyDescent="0.3">
      <c r="A282" t="s">
        <v>329</v>
      </c>
      <c r="B282" t="s">
        <v>8</v>
      </c>
      <c r="C282">
        <v>2013</v>
      </c>
      <c r="D282" t="s">
        <v>2689</v>
      </c>
      <c r="E282">
        <v>25020</v>
      </c>
      <c r="F282">
        <v>0</v>
      </c>
    </row>
    <row r="283" spans="1:6" x14ac:dyDescent="0.3">
      <c r="A283" t="s">
        <v>330</v>
      </c>
      <c r="B283" t="s">
        <v>8</v>
      </c>
      <c r="C283">
        <v>2013</v>
      </c>
      <c r="D283" t="s">
        <v>2689</v>
      </c>
      <c r="E283">
        <v>1498644</v>
      </c>
      <c r="F283">
        <v>0</v>
      </c>
    </row>
    <row r="284" spans="1:6" x14ac:dyDescent="0.3">
      <c r="A284" t="s">
        <v>331</v>
      </c>
      <c r="B284" t="s">
        <v>8</v>
      </c>
      <c r="C284">
        <v>2014</v>
      </c>
      <c r="D284" t="s">
        <v>9</v>
      </c>
      <c r="E284">
        <v>2800447</v>
      </c>
      <c r="F284">
        <v>160000</v>
      </c>
    </row>
    <row r="285" spans="1:6" x14ac:dyDescent="0.3">
      <c r="A285" t="s">
        <v>332</v>
      </c>
      <c r="B285" t="s">
        <v>8</v>
      </c>
      <c r="C285">
        <v>2014</v>
      </c>
      <c r="D285" t="s">
        <v>9</v>
      </c>
      <c r="E285">
        <v>400000</v>
      </c>
      <c r="F285">
        <v>0</v>
      </c>
    </row>
    <row r="286" spans="1:6" x14ac:dyDescent="0.3">
      <c r="A286" t="s">
        <v>333</v>
      </c>
      <c r="B286" t="s">
        <v>8</v>
      </c>
      <c r="C286">
        <v>2014</v>
      </c>
      <c r="D286" t="s">
        <v>2689</v>
      </c>
      <c r="E286">
        <v>4012</v>
      </c>
      <c r="F286">
        <v>0</v>
      </c>
    </row>
    <row r="287" spans="1:6" x14ac:dyDescent="0.3">
      <c r="A287" t="s">
        <v>334</v>
      </c>
      <c r="B287" t="s">
        <v>8</v>
      </c>
      <c r="C287">
        <v>2014</v>
      </c>
      <c r="D287" t="s">
        <v>2689</v>
      </c>
      <c r="E287">
        <v>1250</v>
      </c>
      <c r="F287">
        <v>0</v>
      </c>
    </row>
    <row r="288" spans="1:6" x14ac:dyDescent="0.3">
      <c r="A288" t="s">
        <v>335</v>
      </c>
      <c r="B288" t="s">
        <v>8</v>
      </c>
      <c r="C288">
        <v>2015</v>
      </c>
      <c r="D288" t="s">
        <v>14</v>
      </c>
      <c r="E288">
        <v>200</v>
      </c>
      <c r="F288">
        <v>0</v>
      </c>
    </row>
    <row r="289" spans="1:6" x14ac:dyDescent="0.3">
      <c r="A289" t="s">
        <v>336</v>
      </c>
      <c r="B289" t="s">
        <v>8</v>
      </c>
      <c r="C289">
        <v>2015</v>
      </c>
      <c r="D289" t="s">
        <v>9</v>
      </c>
      <c r="E289">
        <v>1401901</v>
      </c>
      <c r="F289">
        <v>40000</v>
      </c>
    </row>
    <row r="290" spans="1:6" x14ac:dyDescent="0.3">
      <c r="A290" t="s">
        <v>337</v>
      </c>
      <c r="B290" t="s">
        <v>8</v>
      </c>
      <c r="C290">
        <v>2015</v>
      </c>
      <c r="D290" t="s">
        <v>9</v>
      </c>
      <c r="E290">
        <v>10000</v>
      </c>
      <c r="F290">
        <v>0</v>
      </c>
    </row>
    <row r="291" spans="1:6" x14ac:dyDescent="0.3">
      <c r="A291" t="s">
        <v>338</v>
      </c>
      <c r="B291" t="s">
        <v>8</v>
      </c>
      <c r="C291">
        <v>2015</v>
      </c>
      <c r="D291" t="s">
        <v>2689</v>
      </c>
      <c r="E291">
        <v>20200</v>
      </c>
      <c r="F291">
        <v>4000</v>
      </c>
    </row>
    <row r="292" spans="1:6" x14ac:dyDescent="0.3">
      <c r="A292" t="s">
        <v>339</v>
      </c>
      <c r="B292" t="s">
        <v>8</v>
      </c>
      <c r="C292">
        <v>2015</v>
      </c>
      <c r="D292" t="s">
        <v>2689</v>
      </c>
      <c r="E292">
        <v>0</v>
      </c>
      <c r="F292">
        <v>0</v>
      </c>
    </row>
    <row r="293" spans="1:6" x14ac:dyDescent="0.3">
      <c r="A293" t="s">
        <v>340</v>
      </c>
      <c r="B293" t="s">
        <v>8</v>
      </c>
      <c r="C293">
        <v>2015</v>
      </c>
      <c r="D293" t="s">
        <v>2689</v>
      </c>
      <c r="E293">
        <v>2600000</v>
      </c>
      <c r="F293">
        <v>40000</v>
      </c>
    </row>
    <row r="294" spans="1:6" x14ac:dyDescent="0.3">
      <c r="A294" t="s">
        <v>341</v>
      </c>
      <c r="B294" t="s">
        <v>8</v>
      </c>
      <c r="C294">
        <v>2015</v>
      </c>
      <c r="D294" t="s">
        <v>2689</v>
      </c>
      <c r="E294">
        <v>40050</v>
      </c>
      <c r="F294">
        <v>0</v>
      </c>
    </row>
    <row r="295" spans="1:6" x14ac:dyDescent="0.3">
      <c r="A295" t="s">
        <v>342</v>
      </c>
      <c r="B295" t="s">
        <v>8</v>
      </c>
      <c r="C295">
        <v>2016</v>
      </c>
      <c r="D295" t="s">
        <v>14</v>
      </c>
      <c r="E295">
        <v>70</v>
      </c>
      <c r="F295">
        <v>0</v>
      </c>
    </row>
    <row r="296" spans="1:6" x14ac:dyDescent="0.3">
      <c r="A296" t="s">
        <v>343</v>
      </c>
      <c r="B296" t="s">
        <v>8</v>
      </c>
      <c r="C296">
        <v>2016</v>
      </c>
      <c r="D296" t="s">
        <v>9</v>
      </c>
      <c r="E296">
        <v>1900000</v>
      </c>
      <c r="F296">
        <v>150000</v>
      </c>
    </row>
    <row r="297" spans="1:6" x14ac:dyDescent="0.3">
      <c r="A297" t="s">
        <v>344</v>
      </c>
      <c r="B297" t="s">
        <v>8</v>
      </c>
      <c r="C297">
        <v>2016</v>
      </c>
      <c r="D297" t="s">
        <v>2689</v>
      </c>
      <c r="E297">
        <v>0</v>
      </c>
      <c r="F297">
        <v>0</v>
      </c>
    </row>
    <row r="298" spans="1:6" x14ac:dyDescent="0.3">
      <c r="A298" t="s">
        <v>345</v>
      </c>
      <c r="B298" t="s">
        <v>8</v>
      </c>
      <c r="C298">
        <v>2016</v>
      </c>
      <c r="D298" t="s">
        <v>2689</v>
      </c>
      <c r="E298">
        <v>1203555</v>
      </c>
      <c r="F298">
        <v>600000</v>
      </c>
    </row>
    <row r="299" spans="1:6" x14ac:dyDescent="0.3">
      <c r="A299" t="s">
        <v>346</v>
      </c>
      <c r="B299" t="s">
        <v>8</v>
      </c>
      <c r="C299">
        <v>2017</v>
      </c>
      <c r="D299" t="s">
        <v>9</v>
      </c>
      <c r="E299">
        <v>86025</v>
      </c>
      <c r="F299">
        <v>128000</v>
      </c>
    </row>
    <row r="300" spans="1:6" x14ac:dyDescent="0.3">
      <c r="A300" t="s">
        <v>347</v>
      </c>
      <c r="B300" t="s">
        <v>8</v>
      </c>
      <c r="C300">
        <v>2017</v>
      </c>
      <c r="D300" t="s">
        <v>9</v>
      </c>
      <c r="E300">
        <v>8000000</v>
      </c>
      <c r="F300">
        <v>500000</v>
      </c>
    </row>
    <row r="301" spans="1:6" x14ac:dyDescent="0.3">
      <c r="A301" t="s">
        <v>348</v>
      </c>
      <c r="B301" t="s">
        <v>8</v>
      </c>
      <c r="C301">
        <v>2017</v>
      </c>
      <c r="D301" t="s">
        <v>2689</v>
      </c>
      <c r="E301">
        <v>0</v>
      </c>
      <c r="F301">
        <v>0</v>
      </c>
    </row>
    <row r="302" spans="1:6" x14ac:dyDescent="0.3">
      <c r="A302" t="s">
        <v>349</v>
      </c>
      <c r="B302" t="s">
        <v>8</v>
      </c>
      <c r="C302">
        <v>2017</v>
      </c>
      <c r="D302" t="s">
        <v>2689</v>
      </c>
      <c r="E302">
        <v>3300012</v>
      </c>
      <c r="F302">
        <v>0</v>
      </c>
    </row>
    <row r="303" spans="1:6" x14ac:dyDescent="0.3">
      <c r="A303" t="s">
        <v>350</v>
      </c>
      <c r="B303" t="s">
        <v>8</v>
      </c>
      <c r="C303">
        <v>2018</v>
      </c>
      <c r="D303" t="s">
        <v>9</v>
      </c>
      <c r="E303">
        <v>14000</v>
      </c>
      <c r="F303">
        <v>0</v>
      </c>
    </row>
    <row r="304" spans="1:6" x14ac:dyDescent="0.3">
      <c r="A304" t="s">
        <v>351</v>
      </c>
      <c r="B304" t="s">
        <v>8</v>
      </c>
      <c r="C304">
        <v>2018</v>
      </c>
      <c r="D304" t="s">
        <v>9</v>
      </c>
      <c r="E304">
        <v>0</v>
      </c>
      <c r="F304">
        <v>0</v>
      </c>
    </row>
    <row r="305" spans="1:6" x14ac:dyDescent="0.3">
      <c r="A305" t="s">
        <v>352</v>
      </c>
      <c r="B305" t="s">
        <v>8</v>
      </c>
      <c r="C305">
        <v>2018</v>
      </c>
      <c r="D305" t="s">
        <v>2689</v>
      </c>
      <c r="E305">
        <v>0</v>
      </c>
      <c r="F305">
        <v>0</v>
      </c>
    </row>
    <row r="306" spans="1:6" x14ac:dyDescent="0.3">
      <c r="A306" t="s">
        <v>353</v>
      </c>
      <c r="B306" t="s">
        <v>8</v>
      </c>
      <c r="C306">
        <v>2019</v>
      </c>
      <c r="D306" t="s">
        <v>9</v>
      </c>
      <c r="E306">
        <v>7600000</v>
      </c>
      <c r="F306">
        <v>75000</v>
      </c>
    </row>
    <row r="307" spans="1:6" x14ac:dyDescent="0.3">
      <c r="A307" t="s">
        <v>354</v>
      </c>
      <c r="B307" t="s">
        <v>8</v>
      </c>
      <c r="C307">
        <v>2019</v>
      </c>
      <c r="D307" t="s">
        <v>2689</v>
      </c>
      <c r="E307">
        <v>0</v>
      </c>
      <c r="F307">
        <v>0</v>
      </c>
    </row>
    <row r="308" spans="1:6" x14ac:dyDescent="0.3">
      <c r="A308" t="s">
        <v>355</v>
      </c>
      <c r="B308" t="s">
        <v>8</v>
      </c>
      <c r="C308">
        <v>2019</v>
      </c>
      <c r="D308" t="s">
        <v>2689</v>
      </c>
      <c r="E308">
        <v>10045</v>
      </c>
      <c r="F308">
        <v>0</v>
      </c>
    </row>
    <row r="309" spans="1:6" x14ac:dyDescent="0.3">
      <c r="A309" t="s">
        <v>356</v>
      </c>
      <c r="B309" t="s">
        <v>8</v>
      </c>
      <c r="C309">
        <v>2019</v>
      </c>
      <c r="D309" t="s">
        <v>2689</v>
      </c>
      <c r="E309">
        <v>251506</v>
      </c>
      <c r="F309">
        <v>5785</v>
      </c>
    </row>
    <row r="310" spans="1:6" x14ac:dyDescent="0.3">
      <c r="A310" t="s">
        <v>357</v>
      </c>
      <c r="B310" t="s">
        <v>8</v>
      </c>
      <c r="C310">
        <v>2020</v>
      </c>
      <c r="D310" t="s">
        <v>9</v>
      </c>
      <c r="E310">
        <v>5448271</v>
      </c>
      <c r="F310">
        <v>500000</v>
      </c>
    </row>
    <row r="311" spans="1:6" x14ac:dyDescent="0.3">
      <c r="A311" t="s">
        <v>358</v>
      </c>
      <c r="B311" t="s">
        <v>8</v>
      </c>
      <c r="C311">
        <v>2020</v>
      </c>
      <c r="D311" t="s">
        <v>2689</v>
      </c>
      <c r="E311">
        <v>2600000</v>
      </c>
      <c r="F311">
        <v>1500000</v>
      </c>
    </row>
    <row r="312" spans="1:6" x14ac:dyDescent="0.3">
      <c r="A312" t="s">
        <v>359</v>
      </c>
      <c r="B312" t="s">
        <v>8</v>
      </c>
      <c r="C312">
        <v>2021</v>
      </c>
      <c r="D312" t="s">
        <v>9</v>
      </c>
      <c r="E312">
        <v>268744</v>
      </c>
      <c r="F312">
        <v>0</v>
      </c>
    </row>
    <row r="313" spans="1:6" x14ac:dyDescent="0.3">
      <c r="A313" t="s">
        <v>360</v>
      </c>
      <c r="B313" t="s">
        <v>8</v>
      </c>
      <c r="C313">
        <v>2021</v>
      </c>
      <c r="D313" t="s">
        <v>2689</v>
      </c>
      <c r="E313">
        <v>1300000</v>
      </c>
      <c r="F313">
        <v>0</v>
      </c>
    </row>
    <row r="314" spans="1:6" x14ac:dyDescent="0.3">
      <c r="A314" t="s">
        <v>361</v>
      </c>
      <c r="B314" t="s">
        <v>8</v>
      </c>
      <c r="C314">
        <v>2022</v>
      </c>
      <c r="D314" t="s">
        <v>9</v>
      </c>
      <c r="E314">
        <v>7200000</v>
      </c>
      <c r="F314">
        <v>462500</v>
      </c>
    </row>
    <row r="315" spans="1:6" x14ac:dyDescent="0.3">
      <c r="A315" t="s">
        <v>362</v>
      </c>
      <c r="B315" t="s">
        <v>8</v>
      </c>
      <c r="C315">
        <v>2022</v>
      </c>
      <c r="D315" t="s">
        <v>2689</v>
      </c>
      <c r="E315">
        <v>1000000</v>
      </c>
      <c r="F315">
        <v>0</v>
      </c>
    </row>
    <row r="316" spans="1:6" x14ac:dyDescent="0.3">
      <c r="A316" t="s">
        <v>363</v>
      </c>
      <c r="B316" t="s">
        <v>8</v>
      </c>
      <c r="C316">
        <v>2023</v>
      </c>
      <c r="D316" t="s">
        <v>9</v>
      </c>
      <c r="E316">
        <v>1000006</v>
      </c>
      <c r="F316">
        <v>0</v>
      </c>
    </row>
    <row r="317" spans="1:6" x14ac:dyDescent="0.3">
      <c r="A317" t="s">
        <v>364</v>
      </c>
      <c r="B317" t="s">
        <v>8</v>
      </c>
      <c r="C317">
        <v>2023</v>
      </c>
      <c r="D317" t="s">
        <v>2689</v>
      </c>
      <c r="E317">
        <v>0</v>
      </c>
      <c r="F317">
        <v>0</v>
      </c>
    </row>
    <row r="318" spans="1:6" x14ac:dyDescent="0.3">
      <c r="A318" t="s">
        <v>365</v>
      </c>
      <c r="B318" t="s">
        <v>8</v>
      </c>
      <c r="C318">
        <v>2023</v>
      </c>
      <c r="D318" t="s">
        <v>2689</v>
      </c>
      <c r="E318">
        <v>750012</v>
      </c>
      <c r="F318">
        <v>1000</v>
      </c>
    </row>
    <row r="319" spans="1:6" x14ac:dyDescent="0.3">
      <c r="A319" t="s">
        <v>366</v>
      </c>
      <c r="B319" t="s">
        <v>8</v>
      </c>
      <c r="C319">
        <v>2023</v>
      </c>
      <c r="D319" t="s">
        <v>2689</v>
      </c>
      <c r="E319">
        <v>1500000</v>
      </c>
      <c r="F319">
        <v>250000</v>
      </c>
    </row>
    <row r="320" spans="1:6" x14ac:dyDescent="0.3">
      <c r="A320" t="s">
        <v>367</v>
      </c>
      <c r="B320" t="s">
        <v>8</v>
      </c>
      <c r="C320">
        <v>2024</v>
      </c>
      <c r="D320" t="s">
        <v>9</v>
      </c>
      <c r="E320">
        <v>5130000</v>
      </c>
      <c r="F320">
        <v>34000</v>
      </c>
    </row>
    <row r="321" spans="1:6" x14ac:dyDescent="0.3">
      <c r="A321" t="s">
        <v>368</v>
      </c>
      <c r="B321" t="s">
        <v>8</v>
      </c>
      <c r="C321">
        <v>2024</v>
      </c>
      <c r="D321" t="s">
        <v>9</v>
      </c>
      <c r="E321">
        <v>5820000</v>
      </c>
      <c r="F321">
        <v>155600</v>
      </c>
    </row>
    <row r="322" spans="1:6" x14ac:dyDescent="0.3">
      <c r="A322" t="s">
        <v>369</v>
      </c>
      <c r="B322" t="s">
        <v>8</v>
      </c>
      <c r="C322">
        <v>2024</v>
      </c>
      <c r="D322" t="s">
        <v>9</v>
      </c>
      <c r="E322">
        <v>238931</v>
      </c>
      <c r="F322">
        <v>0</v>
      </c>
    </row>
    <row r="323" spans="1:6" x14ac:dyDescent="0.3">
      <c r="A323" t="s">
        <v>370</v>
      </c>
      <c r="B323" t="s">
        <v>8</v>
      </c>
      <c r="C323">
        <v>2024</v>
      </c>
      <c r="D323" t="s">
        <v>2689</v>
      </c>
      <c r="E323">
        <v>4590013</v>
      </c>
      <c r="F323">
        <v>90700</v>
      </c>
    </row>
    <row r="324" spans="1:6" x14ac:dyDescent="0.3">
      <c r="A324" t="s">
        <v>371</v>
      </c>
      <c r="B324" t="s">
        <v>8</v>
      </c>
      <c r="C324">
        <v>2024</v>
      </c>
      <c r="D324" t="s">
        <v>2689</v>
      </c>
      <c r="E324">
        <v>0</v>
      </c>
      <c r="F324">
        <v>0</v>
      </c>
    </row>
    <row r="325" spans="1:6" x14ac:dyDescent="0.3">
      <c r="A325" t="s">
        <v>372</v>
      </c>
      <c r="B325" t="s">
        <v>10</v>
      </c>
      <c r="C325">
        <v>2001</v>
      </c>
      <c r="D325" t="s">
        <v>9</v>
      </c>
      <c r="E325">
        <v>9000</v>
      </c>
      <c r="F325">
        <v>0</v>
      </c>
    </row>
    <row r="326" spans="1:6" x14ac:dyDescent="0.3">
      <c r="A326" t="s">
        <v>373</v>
      </c>
      <c r="B326" t="s">
        <v>10</v>
      </c>
      <c r="C326">
        <v>2003</v>
      </c>
      <c r="D326" t="s">
        <v>7</v>
      </c>
      <c r="E326">
        <v>62575</v>
      </c>
      <c r="F326">
        <v>140000</v>
      </c>
    </row>
    <row r="327" spans="1:6" x14ac:dyDescent="0.3">
      <c r="A327" t="s">
        <v>374</v>
      </c>
      <c r="B327" t="s">
        <v>10</v>
      </c>
      <c r="C327">
        <v>2004</v>
      </c>
      <c r="D327" t="s">
        <v>9</v>
      </c>
      <c r="E327">
        <v>275000</v>
      </c>
      <c r="F327">
        <v>0</v>
      </c>
    </row>
    <row r="328" spans="1:6" x14ac:dyDescent="0.3">
      <c r="A328" t="s">
        <v>375</v>
      </c>
      <c r="B328" t="s">
        <v>10</v>
      </c>
      <c r="C328">
        <v>2004</v>
      </c>
      <c r="D328" t="s">
        <v>9</v>
      </c>
      <c r="E328">
        <v>3000</v>
      </c>
      <c r="F328">
        <v>0</v>
      </c>
    </row>
    <row r="329" spans="1:6" x14ac:dyDescent="0.3">
      <c r="A329" t="s">
        <v>376</v>
      </c>
      <c r="B329" t="s">
        <v>10</v>
      </c>
      <c r="C329">
        <v>2005</v>
      </c>
      <c r="D329" t="s">
        <v>9</v>
      </c>
      <c r="E329">
        <v>3100</v>
      </c>
      <c r="F329">
        <v>0</v>
      </c>
    </row>
    <row r="330" spans="1:6" x14ac:dyDescent="0.3">
      <c r="A330" t="s">
        <v>377</v>
      </c>
      <c r="B330" t="s">
        <v>10</v>
      </c>
      <c r="C330">
        <v>2005</v>
      </c>
      <c r="D330" t="s">
        <v>2689</v>
      </c>
      <c r="E330">
        <v>0</v>
      </c>
      <c r="F330">
        <v>0</v>
      </c>
    </row>
    <row r="331" spans="1:6" x14ac:dyDescent="0.3">
      <c r="A331" t="s">
        <v>378</v>
      </c>
      <c r="B331" t="s">
        <v>10</v>
      </c>
      <c r="C331">
        <v>2009</v>
      </c>
      <c r="D331" t="s">
        <v>9</v>
      </c>
      <c r="E331">
        <v>2630</v>
      </c>
      <c r="F331">
        <v>0</v>
      </c>
    </row>
    <row r="332" spans="1:6" x14ac:dyDescent="0.3">
      <c r="A332" t="s">
        <v>379</v>
      </c>
      <c r="B332" t="s">
        <v>10</v>
      </c>
      <c r="C332">
        <v>2009</v>
      </c>
      <c r="D332" t="s">
        <v>9</v>
      </c>
      <c r="E332">
        <v>1100</v>
      </c>
      <c r="F332">
        <v>0</v>
      </c>
    </row>
    <row r="333" spans="1:6" x14ac:dyDescent="0.3">
      <c r="A333" t="s">
        <v>380</v>
      </c>
      <c r="B333" t="s">
        <v>10</v>
      </c>
      <c r="C333">
        <v>2010</v>
      </c>
      <c r="D333" t="s">
        <v>9</v>
      </c>
      <c r="E333">
        <v>14910</v>
      </c>
      <c r="F333">
        <v>87000</v>
      </c>
    </row>
    <row r="334" spans="1:6" x14ac:dyDescent="0.3">
      <c r="A334" t="s">
        <v>381</v>
      </c>
      <c r="B334" t="s">
        <v>10</v>
      </c>
      <c r="C334">
        <v>2010</v>
      </c>
      <c r="D334" t="s">
        <v>9</v>
      </c>
      <c r="E334">
        <v>20000</v>
      </c>
      <c r="F334">
        <v>0</v>
      </c>
    </row>
    <row r="335" spans="1:6" x14ac:dyDescent="0.3">
      <c r="A335" t="s">
        <v>382</v>
      </c>
      <c r="B335" t="s">
        <v>10</v>
      </c>
      <c r="C335">
        <v>2014</v>
      </c>
      <c r="D335" t="s">
        <v>9</v>
      </c>
      <c r="E335">
        <v>0</v>
      </c>
      <c r="F335">
        <v>0</v>
      </c>
    </row>
    <row r="336" spans="1:6" x14ac:dyDescent="0.3">
      <c r="A336" t="s">
        <v>383</v>
      </c>
      <c r="B336" t="s">
        <v>10</v>
      </c>
      <c r="C336">
        <v>2014</v>
      </c>
      <c r="D336" t="s">
        <v>9</v>
      </c>
      <c r="E336">
        <v>1000000</v>
      </c>
      <c r="F336">
        <v>436580</v>
      </c>
    </row>
    <row r="337" spans="1:6" x14ac:dyDescent="0.3">
      <c r="A337" t="s">
        <v>384</v>
      </c>
      <c r="B337" t="s">
        <v>10</v>
      </c>
      <c r="C337">
        <v>2014</v>
      </c>
      <c r="D337" t="s">
        <v>9</v>
      </c>
      <c r="E337">
        <v>600</v>
      </c>
      <c r="F337">
        <v>0</v>
      </c>
    </row>
    <row r="338" spans="1:6" x14ac:dyDescent="0.3">
      <c r="A338" t="s">
        <v>385</v>
      </c>
      <c r="B338" t="s">
        <v>10</v>
      </c>
      <c r="C338">
        <v>2014</v>
      </c>
      <c r="D338" t="s">
        <v>9</v>
      </c>
      <c r="E338">
        <v>0</v>
      </c>
      <c r="F338">
        <v>0</v>
      </c>
    </row>
    <row r="339" spans="1:6" x14ac:dyDescent="0.3">
      <c r="A339" t="s">
        <v>386</v>
      </c>
      <c r="B339" t="s">
        <v>10</v>
      </c>
      <c r="C339">
        <v>2015</v>
      </c>
      <c r="D339" t="s">
        <v>9</v>
      </c>
      <c r="E339">
        <v>0</v>
      </c>
      <c r="F339">
        <v>0</v>
      </c>
    </row>
    <row r="340" spans="1:6" x14ac:dyDescent="0.3">
      <c r="A340" t="s">
        <v>387</v>
      </c>
      <c r="B340" t="s">
        <v>10</v>
      </c>
      <c r="C340">
        <v>2019</v>
      </c>
      <c r="D340" t="s">
        <v>9</v>
      </c>
      <c r="E340">
        <v>600</v>
      </c>
      <c r="F340">
        <v>0</v>
      </c>
    </row>
    <row r="341" spans="1:6" x14ac:dyDescent="0.3">
      <c r="A341" t="s">
        <v>388</v>
      </c>
      <c r="B341" t="s">
        <v>10</v>
      </c>
      <c r="C341">
        <v>2019</v>
      </c>
      <c r="D341" t="s">
        <v>9</v>
      </c>
      <c r="E341">
        <v>159</v>
      </c>
      <c r="F341">
        <v>0</v>
      </c>
    </row>
    <row r="342" spans="1:6" x14ac:dyDescent="0.3">
      <c r="A342" t="s">
        <v>389</v>
      </c>
      <c r="B342" t="s">
        <v>10</v>
      </c>
      <c r="C342">
        <v>2020</v>
      </c>
      <c r="D342" t="s">
        <v>9</v>
      </c>
      <c r="E342">
        <v>15000</v>
      </c>
      <c r="F342">
        <v>0</v>
      </c>
    </row>
    <row r="343" spans="1:6" x14ac:dyDescent="0.3">
      <c r="A343" t="s">
        <v>390</v>
      </c>
      <c r="B343" t="s">
        <v>10</v>
      </c>
      <c r="C343">
        <v>2021</v>
      </c>
      <c r="D343" t="s">
        <v>9</v>
      </c>
      <c r="E343">
        <v>250000</v>
      </c>
      <c r="F343">
        <v>0</v>
      </c>
    </row>
    <row r="344" spans="1:6" x14ac:dyDescent="0.3">
      <c r="A344" t="s">
        <v>391</v>
      </c>
      <c r="B344" t="s">
        <v>10</v>
      </c>
      <c r="C344">
        <v>2022</v>
      </c>
      <c r="D344" t="s">
        <v>14</v>
      </c>
      <c r="E344">
        <v>1052</v>
      </c>
      <c r="F344">
        <v>26000</v>
      </c>
    </row>
    <row r="345" spans="1:6" x14ac:dyDescent="0.3">
      <c r="A345" t="s">
        <v>392</v>
      </c>
      <c r="B345" t="s">
        <v>10</v>
      </c>
      <c r="C345">
        <v>2022</v>
      </c>
      <c r="D345" t="s">
        <v>9</v>
      </c>
      <c r="E345">
        <v>3000</v>
      </c>
      <c r="F345">
        <v>0</v>
      </c>
    </row>
    <row r="346" spans="1:6" x14ac:dyDescent="0.3">
      <c r="A346" t="s">
        <v>393</v>
      </c>
      <c r="B346" t="s">
        <v>10</v>
      </c>
      <c r="C346">
        <v>2023</v>
      </c>
      <c r="D346" t="s">
        <v>9</v>
      </c>
      <c r="E346">
        <v>10000</v>
      </c>
      <c r="F346">
        <v>0</v>
      </c>
    </row>
    <row r="347" spans="1:6" x14ac:dyDescent="0.3">
      <c r="A347" t="s">
        <v>394</v>
      </c>
      <c r="B347" t="s">
        <v>10</v>
      </c>
      <c r="C347">
        <v>2023</v>
      </c>
      <c r="D347" t="s">
        <v>2689</v>
      </c>
      <c r="E347">
        <v>20</v>
      </c>
      <c r="F347">
        <v>0</v>
      </c>
    </row>
    <row r="348" spans="1:6" x14ac:dyDescent="0.3">
      <c r="A348" t="s">
        <v>395</v>
      </c>
      <c r="B348" t="s">
        <v>10</v>
      </c>
      <c r="C348">
        <v>2024</v>
      </c>
      <c r="D348" t="s">
        <v>9</v>
      </c>
      <c r="E348">
        <v>5000</v>
      </c>
      <c r="F348">
        <v>10000</v>
      </c>
    </row>
    <row r="349" spans="1:6" x14ac:dyDescent="0.3">
      <c r="A349" t="s">
        <v>396</v>
      </c>
      <c r="B349" t="s">
        <v>15</v>
      </c>
      <c r="C349">
        <v>2001</v>
      </c>
      <c r="D349" t="s">
        <v>2689</v>
      </c>
      <c r="E349">
        <v>0</v>
      </c>
      <c r="F349">
        <v>0</v>
      </c>
    </row>
    <row r="350" spans="1:6" x14ac:dyDescent="0.3">
      <c r="A350" t="s">
        <v>397</v>
      </c>
      <c r="B350" t="s">
        <v>15</v>
      </c>
      <c r="C350">
        <v>2002</v>
      </c>
      <c r="D350" t="s">
        <v>9</v>
      </c>
      <c r="E350">
        <v>0</v>
      </c>
      <c r="F350">
        <v>1000</v>
      </c>
    </row>
    <row r="351" spans="1:6" x14ac:dyDescent="0.3">
      <c r="A351" t="s">
        <v>398</v>
      </c>
      <c r="B351" t="s">
        <v>15</v>
      </c>
      <c r="C351">
        <v>2005</v>
      </c>
      <c r="D351" t="s">
        <v>9</v>
      </c>
      <c r="E351">
        <v>0</v>
      </c>
      <c r="F351">
        <v>10000</v>
      </c>
    </row>
    <row r="352" spans="1:6" x14ac:dyDescent="0.3">
      <c r="A352" t="s">
        <v>399</v>
      </c>
      <c r="B352" t="s">
        <v>15</v>
      </c>
      <c r="C352">
        <v>2005</v>
      </c>
      <c r="D352" t="s">
        <v>9</v>
      </c>
      <c r="E352">
        <v>200</v>
      </c>
      <c r="F352">
        <v>247000</v>
      </c>
    </row>
    <row r="353" spans="1:6" x14ac:dyDescent="0.3">
      <c r="A353" t="s">
        <v>400</v>
      </c>
      <c r="B353" t="s">
        <v>15</v>
      </c>
      <c r="C353">
        <v>2005</v>
      </c>
      <c r="D353" t="s">
        <v>9</v>
      </c>
      <c r="E353">
        <v>0</v>
      </c>
      <c r="F353">
        <v>200000</v>
      </c>
    </row>
    <row r="354" spans="1:6" x14ac:dyDescent="0.3">
      <c r="A354" t="s">
        <v>401</v>
      </c>
      <c r="B354" t="s">
        <v>15</v>
      </c>
      <c r="C354">
        <v>2005</v>
      </c>
      <c r="D354" t="s">
        <v>9</v>
      </c>
      <c r="E354">
        <v>0</v>
      </c>
      <c r="F354">
        <v>0</v>
      </c>
    </row>
    <row r="355" spans="1:6" x14ac:dyDescent="0.3">
      <c r="A355" t="s">
        <v>402</v>
      </c>
      <c r="B355" t="s">
        <v>15</v>
      </c>
      <c r="C355">
        <v>2005</v>
      </c>
      <c r="D355" t="s">
        <v>9</v>
      </c>
      <c r="E355">
        <v>12000</v>
      </c>
      <c r="F355">
        <v>0</v>
      </c>
    </row>
    <row r="356" spans="1:6" x14ac:dyDescent="0.3">
      <c r="A356" t="s">
        <v>403</v>
      </c>
      <c r="B356" t="s">
        <v>15</v>
      </c>
      <c r="C356">
        <v>2005</v>
      </c>
      <c r="D356" t="s">
        <v>2689</v>
      </c>
      <c r="E356">
        <v>0</v>
      </c>
      <c r="F356">
        <v>0</v>
      </c>
    </row>
    <row r="357" spans="1:6" x14ac:dyDescent="0.3">
      <c r="A357" t="s">
        <v>404</v>
      </c>
      <c r="B357" t="s">
        <v>15</v>
      </c>
      <c r="C357">
        <v>2006</v>
      </c>
      <c r="D357" t="s">
        <v>14</v>
      </c>
      <c r="E357">
        <v>527</v>
      </c>
      <c r="F357">
        <v>0</v>
      </c>
    </row>
    <row r="358" spans="1:6" x14ac:dyDescent="0.3">
      <c r="A358" t="s">
        <v>405</v>
      </c>
      <c r="B358" t="s">
        <v>15</v>
      </c>
      <c r="C358">
        <v>2006</v>
      </c>
      <c r="D358" t="s">
        <v>9</v>
      </c>
      <c r="E358">
        <v>0</v>
      </c>
      <c r="F358">
        <v>0</v>
      </c>
    </row>
    <row r="359" spans="1:6" x14ac:dyDescent="0.3">
      <c r="A359" t="s">
        <v>406</v>
      </c>
      <c r="B359" t="s">
        <v>15</v>
      </c>
      <c r="C359">
        <v>2006</v>
      </c>
      <c r="D359" t="s">
        <v>9</v>
      </c>
      <c r="E359">
        <v>0</v>
      </c>
      <c r="F359">
        <v>0</v>
      </c>
    </row>
    <row r="360" spans="1:6" x14ac:dyDescent="0.3">
      <c r="A360" t="s">
        <v>407</v>
      </c>
      <c r="B360" t="s">
        <v>15</v>
      </c>
      <c r="C360">
        <v>2007</v>
      </c>
      <c r="D360" t="s">
        <v>9</v>
      </c>
      <c r="E360">
        <v>1000</v>
      </c>
      <c r="F360">
        <v>0</v>
      </c>
    </row>
    <row r="361" spans="1:6" x14ac:dyDescent="0.3">
      <c r="A361" t="s">
        <v>408</v>
      </c>
      <c r="B361" t="s">
        <v>15</v>
      </c>
      <c r="C361">
        <v>2007</v>
      </c>
      <c r="D361" t="s">
        <v>9</v>
      </c>
      <c r="E361">
        <v>10</v>
      </c>
      <c r="F361">
        <v>0</v>
      </c>
    </row>
    <row r="362" spans="1:6" x14ac:dyDescent="0.3">
      <c r="A362" t="s">
        <v>409</v>
      </c>
      <c r="B362" t="s">
        <v>15</v>
      </c>
      <c r="C362">
        <v>2007</v>
      </c>
      <c r="D362" t="s">
        <v>9</v>
      </c>
      <c r="E362">
        <v>60</v>
      </c>
      <c r="F362">
        <v>0</v>
      </c>
    </row>
    <row r="363" spans="1:6" x14ac:dyDescent="0.3">
      <c r="A363" t="s">
        <v>410</v>
      </c>
      <c r="B363" t="s">
        <v>15</v>
      </c>
      <c r="C363">
        <v>2010</v>
      </c>
      <c r="D363" t="s">
        <v>9</v>
      </c>
      <c r="E363">
        <v>90</v>
      </c>
      <c r="F363">
        <v>0</v>
      </c>
    </row>
    <row r="364" spans="1:6" x14ac:dyDescent="0.3">
      <c r="A364" t="s">
        <v>411</v>
      </c>
      <c r="B364" t="s">
        <v>15</v>
      </c>
      <c r="C364">
        <v>2012</v>
      </c>
      <c r="D364" t="s">
        <v>14</v>
      </c>
      <c r="E364">
        <v>210</v>
      </c>
      <c r="F364">
        <v>0</v>
      </c>
    </row>
    <row r="365" spans="1:6" x14ac:dyDescent="0.3">
      <c r="A365" t="s">
        <v>412</v>
      </c>
      <c r="B365" t="s">
        <v>15</v>
      </c>
      <c r="C365">
        <v>2012</v>
      </c>
      <c r="D365" t="s">
        <v>9</v>
      </c>
      <c r="E365">
        <v>37950</v>
      </c>
      <c r="F365">
        <v>4400</v>
      </c>
    </row>
    <row r="366" spans="1:6" x14ac:dyDescent="0.3">
      <c r="A366" t="s">
        <v>413</v>
      </c>
      <c r="B366" t="s">
        <v>15</v>
      </c>
      <c r="C366">
        <v>2014</v>
      </c>
      <c r="D366" t="s">
        <v>9</v>
      </c>
      <c r="E366">
        <v>0</v>
      </c>
      <c r="F366">
        <v>0</v>
      </c>
    </row>
    <row r="367" spans="1:6" x14ac:dyDescent="0.3">
      <c r="A367" t="s">
        <v>414</v>
      </c>
      <c r="B367" t="s">
        <v>15</v>
      </c>
      <c r="C367">
        <v>2014</v>
      </c>
      <c r="D367" t="s">
        <v>9</v>
      </c>
      <c r="E367">
        <v>1260</v>
      </c>
      <c r="F367">
        <v>377000</v>
      </c>
    </row>
    <row r="368" spans="1:6" x14ac:dyDescent="0.3">
      <c r="A368" t="s">
        <v>415</v>
      </c>
      <c r="B368" t="s">
        <v>15</v>
      </c>
      <c r="C368">
        <v>2014</v>
      </c>
      <c r="D368" t="s">
        <v>9</v>
      </c>
      <c r="E368">
        <v>7247</v>
      </c>
      <c r="F368">
        <v>0</v>
      </c>
    </row>
    <row r="369" spans="1:6" x14ac:dyDescent="0.3">
      <c r="A369" t="s">
        <v>416</v>
      </c>
      <c r="B369" t="s">
        <v>15</v>
      </c>
      <c r="C369">
        <v>2014</v>
      </c>
      <c r="D369" t="s">
        <v>9</v>
      </c>
      <c r="E369">
        <v>0</v>
      </c>
      <c r="F369">
        <v>10000</v>
      </c>
    </row>
    <row r="370" spans="1:6" x14ac:dyDescent="0.3">
      <c r="A370" t="s">
        <v>417</v>
      </c>
      <c r="B370" t="s">
        <v>15</v>
      </c>
      <c r="C370">
        <v>2014</v>
      </c>
      <c r="D370" t="s">
        <v>2689</v>
      </c>
      <c r="E370">
        <v>40</v>
      </c>
      <c r="F370">
        <v>545000</v>
      </c>
    </row>
    <row r="371" spans="1:6" x14ac:dyDescent="0.3">
      <c r="A371" t="s">
        <v>418</v>
      </c>
      <c r="B371" t="s">
        <v>15</v>
      </c>
      <c r="C371">
        <v>2015</v>
      </c>
      <c r="D371" t="s">
        <v>9</v>
      </c>
      <c r="E371">
        <v>0</v>
      </c>
      <c r="F371">
        <v>5800</v>
      </c>
    </row>
    <row r="372" spans="1:6" x14ac:dyDescent="0.3">
      <c r="A372" t="s">
        <v>419</v>
      </c>
      <c r="B372" t="s">
        <v>15</v>
      </c>
      <c r="C372">
        <v>2018</v>
      </c>
      <c r="D372" t="s">
        <v>9</v>
      </c>
      <c r="E372">
        <v>600</v>
      </c>
      <c r="F372">
        <v>0</v>
      </c>
    </row>
    <row r="373" spans="1:6" x14ac:dyDescent="0.3">
      <c r="A373" t="s">
        <v>420</v>
      </c>
      <c r="B373" t="s">
        <v>15</v>
      </c>
      <c r="C373">
        <v>2021</v>
      </c>
      <c r="D373" t="s">
        <v>9</v>
      </c>
      <c r="E373">
        <v>25</v>
      </c>
      <c r="F373">
        <v>0</v>
      </c>
    </row>
    <row r="374" spans="1:6" x14ac:dyDescent="0.3">
      <c r="A374" t="s">
        <v>421</v>
      </c>
      <c r="B374" t="s">
        <v>15</v>
      </c>
      <c r="C374">
        <v>2022</v>
      </c>
      <c r="D374" t="s">
        <v>9</v>
      </c>
      <c r="E374">
        <v>10937</v>
      </c>
      <c r="F374">
        <v>47000</v>
      </c>
    </row>
    <row r="375" spans="1:6" x14ac:dyDescent="0.3">
      <c r="A375" t="s">
        <v>422</v>
      </c>
      <c r="B375" t="s">
        <v>15</v>
      </c>
      <c r="C375">
        <v>2023</v>
      </c>
      <c r="D375" t="s">
        <v>9</v>
      </c>
      <c r="E375">
        <v>4000</v>
      </c>
      <c r="F375">
        <v>0</v>
      </c>
    </row>
    <row r="376" spans="1:6" x14ac:dyDescent="0.3">
      <c r="A376" t="s">
        <v>423</v>
      </c>
      <c r="B376" t="s">
        <v>15</v>
      </c>
      <c r="C376">
        <v>2023</v>
      </c>
      <c r="D376" t="s">
        <v>2689</v>
      </c>
      <c r="E376">
        <v>0</v>
      </c>
      <c r="F376">
        <v>0</v>
      </c>
    </row>
    <row r="377" spans="1:6" x14ac:dyDescent="0.3">
      <c r="A377" t="s">
        <v>424</v>
      </c>
      <c r="B377" t="s">
        <v>15</v>
      </c>
      <c r="C377">
        <v>2023</v>
      </c>
      <c r="D377" t="s">
        <v>2689</v>
      </c>
      <c r="E377">
        <v>36</v>
      </c>
      <c r="F377">
        <v>0</v>
      </c>
    </row>
    <row r="378" spans="1:6" x14ac:dyDescent="0.3">
      <c r="A378" t="s">
        <v>425</v>
      </c>
      <c r="B378" t="s">
        <v>44</v>
      </c>
      <c r="C378">
        <v>2001</v>
      </c>
      <c r="D378" t="s">
        <v>9</v>
      </c>
      <c r="E378">
        <v>1437</v>
      </c>
      <c r="F378">
        <v>0</v>
      </c>
    </row>
    <row r="379" spans="1:6" x14ac:dyDescent="0.3">
      <c r="A379" t="s">
        <v>426</v>
      </c>
      <c r="B379" t="s">
        <v>44</v>
      </c>
      <c r="C379">
        <v>2002</v>
      </c>
      <c r="D379" t="s">
        <v>9</v>
      </c>
      <c r="E379">
        <v>20000</v>
      </c>
      <c r="F379">
        <v>1000</v>
      </c>
    </row>
    <row r="380" spans="1:6" x14ac:dyDescent="0.3">
      <c r="A380" t="s">
        <v>427</v>
      </c>
      <c r="B380" t="s">
        <v>44</v>
      </c>
      <c r="C380">
        <v>2002</v>
      </c>
      <c r="D380" t="s">
        <v>9</v>
      </c>
      <c r="E380">
        <v>75040</v>
      </c>
      <c r="F380">
        <v>0</v>
      </c>
    </row>
    <row r="381" spans="1:6" x14ac:dyDescent="0.3">
      <c r="A381" t="s">
        <v>428</v>
      </c>
      <c r="B381" t="s">
        <v>44</v>
      </c>
      <c r="C381">
        <v>2003</v>
      </c>
      <c r="D381" t="s">
        <v>14</v>
      </c>
      <c r="E381">
        <v>135</v>
      </c>
      <c r="F381">
        <v>0</v>
      </c>
    </row>
    <row r="382" spans="1:6" x14ac:dyDescent="0.3">
      <c r="A382" t="s">
        <v>429</v>
      </c>
      <c r="B382" t="s">
        <v>44</v>
      </c>
      <c r="C382">
        <v>2003</v>
      </c>
      <c r="D382" t="s">
        <v>9</v>
      </c>
      <c r="E382">
        <v>2500</v>
      </c>
      <c r="F382">
        <v>0</v>
      </c>
    </row>
    <row r="383" spans="1:6" x14ac:dyDescent="0.3">
      <c r="A383" t="s">
        <v>430</v>
      </c>
      <c r="B383" t="s">
        <v>44</v>
      </c>
      <c r="C383">
        <v>2004</v>
      </c>
      <c r="D383" t="s">
        <v>14</v>
      </c>
      <c r="E383">
        <v>280</v>
      </c>
      <c r="F383">
        <v>0</v>
      </c>
    </row>
    <row r="384" spans="1:6" x14ac:dyDescent="0.3">
      <c r="A384" t="s">
        <v>431</v>
      </c>
      <c r="B384" t="s">
        <v>44</v>
      </c>
      <c r="C384">
        <v>2004</v>
      </c>
      <c r="D384" t="s">
        <v>9</v>
      </c>
      <c r="E384">
        <v>2056</v>
      </c>
      <c r="F384">
        <v>0</v>
      </c>
    </row>
    <row r="385" spans="1:6" x14ac:dyDescent="0.3">
      <c r="A385" t="s">
        <v>432</v>
      </c>
      <c r="B385" t="s">
        <v>44</v>
      </c>
      <c r="C385">
        <v>2004</v>
      </c>
      <c r="D385" t="s">
        <v>9</v>
      </c>
      <c r="E385">
        <v>1000</v>
      </c>
      <c r="F385">
        <v>0</v>
      </c>
    </row>
    <row r="386" spans="1:6" x14ac:dyDescent="0.3">
      <c r="A386" t="s">
        <v>433</v>
      </c>
      <c r="B386" t="s">
        <v>44</v>
      </c>
      <c r="C386">
        <v>2005</v>
      </c>
      <c r="D386" t="s">
        <v>9</v>
      </c>
      <c r="E386">
        <v>2143</v>
      </c>
      <c r="F386">
        <v>25000</v>
      </c>
    </row>
    <row r="387" spans="1:6" x14ac:dyDescent="0.3">
      <c r="A387" t="s">
        <v>434</v>
      </c>
      <c r="B387" t="s">
        <v>44</v>
      </c>
      <c r="C387">
        <v>2005</v>
      </c>
      <c r="D387" t="s">
        <v>9</v>
      </c>
      <c r="E387">
        <v>855</v>
      </c>
      <c r="F387">
        <v>0</v>
      </c>
    </row>
    <row r="388" spans="1:6" x14ac:dyDescent="0.3">
      <c r="A388" t="s">
        <v>435</v>
      </c>
      <c r="B388" t="s">
        <v>44</v>
      </c>
      <c r="C388">
        <v>2005</v>
      </c>
      <c r="D388" t="s">
        <v>2689</v>
      </c>
      <c r="E388">
        <v>1074</v>
      </c>
      <c r="F388">
        <v>20000</v>
      </c>
    </row>
    <row r="389" spans="1:6" x14ac:dyDescent="0.3">
      <c r="A389" t="s">
        <v>436</v>
      </c>
      <c r="B389" t="s">
        <v>44</v>
      </c>
      <c r="C389">
        <v>2007</v>
      </c>
      <c r="D389" t="s">
        <v>9</v>
      </c>
      <c r="E389">
        <v>12500</v>
      </c>
      <c r="F389">
        <v>0</v>
      </c>
    </row>
    <row r="390" spans="1:6" x14ac:dyDescent="0.3">
      <c r="A390" t="s">
        <v>437</v>
      </c>
      <c r="B390" t="s">
        <v>44</v>
      </c>
      <c r="C390">
        <v>2007</v>
      </c>
      <c r="D390" t="s">
        <v>9</v>
      </c>
      <c r="E390">
        <v>12000</v>
      </c>
      <c r="F390">
        <v>80000</v>
      </c>
    </row>
    <row r="391" spans="1:6" x14ac:dyDescent="0.3">
      <c r="A391" t="s">
        <v>438</v>
      </c>
      <c r="B391" t="s">
        <v>44</v>
      </c>
      <c r="C391">
        <v>2008</v>
      </c>
      <c r="D391" t="s">
        <v>9</v>
      </c>
      <c r="E391">
        <v>9498</v>
      </c>
      <c r="F391">
        <v>0</v>
      </c>
    </row>
    <row r="392" spans="1:6" x14ac:dyDescent="0.3">
      <c r="A392" t="s">
        <v>439</v>
      </c>
      <c r="B392" t="s">
        <v>44</v>
      </c>
      <c r="C392">
        <v>2008</v>
      </c>
      <c r="D392" t="s">
        <v>9</v>
      </c>
      <c r="E392">
        <v>92000</v>
      </c>
      <c r="F392">
        <v>0</v>
      </c>
    </row>
    <row r="393" spans="1:6" x14ac:dyDescent="0.3">
      <c r="A393" t="s">
        <v>440</v>
      </c>
      <c r="B393" t="s">
        <v>44</v>
      </c>
      <c r="C393">
        <v>2008</v>
      </c>
      <c r="D393" t="s">
        <v>9</v>
      </c>
      <c r="E393">
        <v>53000</v>
      </c>
      <c r="F393">
        <v>22000</v>
      </c>
    </row>
    <row r="394" spans="1:6" x14ac:dyDescent="0.3">
      <c r="A394" t="s">
        <v>441</v>
      </c>
      <c r="B394" t="s">
        <v>44</v>
      </c>
      <c r="C394">
        <v>2008</v>
      </c>
      <c r="D394" t="s">
        <v>2689</v>
      </c>
      <c r="E394">
        <v>55000</v>
      </c>
      <c r="F394">
        <v>0</v>
      </c>
    </row>
    <row r="395" spans="1:6" x14ac:dyDescent="0.3">
      <c r="A395" t="s">
        <v>442</v>
      </c>
      <c r="B395" t="s">
        <v>44</v>
      </c>
      <c r="C395">
        <v>2009</v>
      </c>
      <c r="D395" t="s">
        <v>14</v>
      </c>
      <c r="E395">
        <v>128618</v>
      </c>
      <c r="F395">
        <v>200000</v>
      </c>
    </row>
    <row r="396" spans="1:6" x14ac:dyDescent="0.3">
      <c r="A396" t="s">
        <v>443</v>
      </c>
      <c r="B396" t="s">
        <v>44</v>
      </c>
      <c r="C396">
        <v>2010</v>
      </c>
      <c r="D396" t="s">
        <v>9</v>
      </c>
      <c r="E396">
        <v>106</v>
      </c>
      <c r="F396">
        <v>0</v>
      </c>
    </row>
    <row r="397" spans="1:6" x14ac:dyDescent="0.3">
      <c r="A397" t="s">
        <v>444</v>
      </c>
      <c r="B397" t="s">
        <v>44</v>
      </c>
      <c r="C397">
        <v>2010</v>
      </c>
      <c r="D397" t="s">
        <v>9</v>
      </c>
      <c r="E397">
        <v>3000</v>
      </c>
      <c r="F397">
        <v>0</v>
      </c>
    </row>
    <row r="398" spans="1:6" x14ac:dyDescent="0.3">
      <c r="A398" t="s">
        <v>445</v>
      </c>
      <c r="B398" t="s">
        <v>44</v>
      </c>
      <c r="C398">
        <v>2011</v>
      </c>
      <c r="D398" t="s">
        <v>9</v>
      </c>
      <c r="E398">
        <v>46695</v>
      </c>
      <c r="F398">
        <v>0</v>
      </c>
    </row>
    <row r="399" spans="1:6" x14ac:dyDescent="0.3">
      <c r="A399" t="s">
        <v>446</v>
      </c>
      <c r="B399" t="s">
        <v>44</v>
      </c>
      <c r="C399">
        <v>2012</v>
      </c>
      <c r="D399" t="s">
        <v>14</v>
      </c>
      <c r="E399">
        <v>762</v>
      </c>
      <c r="F399">
        <v>45000</v>
      </c>
    </row>
    <row r="400" spans="1:6" x14ac:dyDescent="0.3">
      <c r="A400" t="s">
        <v>447</v>
      </c>
      <c r="B400" t="s">
        <v>44</v>
      </c>
      <c r="C400">
        <v>2012</v>
      </c>
      <c r="D400" t="s">
        <v>9</v>
      </c>
      <c r="E400">
        <v>9523</v>
      </c>
      <c r="F400">
        <v>0</v>
      </c>
    </row>
    <row r="401" spans="1:6" x14ac:dyDescent="0.3">
      <c r="A401" t="s">
        <v>448</v>
      </c>
      <c r="B401" t="s">
        <v>44</v>
      </c>
      <c r="C401">
        <v>2015</v>
      </c>
      <c r="D401" t="s">
        <v>7</v>
      </c>
      <c r="E401">
        <v>0</v>
      </c>
      <c r="F401">
        <v>0</v>
      </c>
    </row>
    <row r="402" spans="1:6" x14ac:dyDescent="0.3">
      <c r="A402" t="s">
        <v>449</v>
      </c>
      <c r="B402" t="s">
        <v>44</v>
      </c>
      <c r="C402">
        <v>2015</v>
      </c>
      <c r="D402" t="s">
        <v>9</v>
      </c>
      <c r="E402">
        <v>9666</v>
      </c>
      <c r="F402">
        <v>0</v>
      </c>
    </row>
    <row r="403" spans="1:6" x14ac:dyDescent="0.3">
      <c r="A403" t="s">
        <v>450</v>
      </c>
      <c r="B403" t="s">
        <v>44</v>
      </c>
      <c r="C403">
        <v>2016</v>
      </c>
      <c r="D403" t="s">
        <v>2689</v>
      </c>
      <c r="E403">
        <v>50000</v>
      </c>
      <c r="F403">
        <v>0</v>
      </c>
    </row>
    <row r="404" spans="1:6" x14ac:dyDescent="0.3">
      <c r="A404" t="s">
        <v>451</v>
      </c>
      <c r="B404" t="s">
        <v>44</v>
      </c>
      <c r="C404">
        <v>2017</v>
      </c>
      <c r="D404" t="s">
        <v>2689</v>
      </c>
      <c r="E404">
        <v>11500</v>
      </c>
      <c r="F404">
        <v>185000</v>
      </c>
    </row>
    <row r="405" spans="1:6" x14ac:dyDescent="0.3">
      <c r="A405" t="s">
        <v>452</v>
      </c>
      <c r="B405" t="s">
        <v>44</v>
      </c>
      <c r="C405">
        <v>2018</v>
      </c>
      <c r="D405" t="s">
        <v>9</v>
      </c>
      <c r="E405">
        <v>125190</v>
      </c>
      <c r="F405">
        <v>0</v>
      </c>
    </row>
    <row r="406" spans="1:6" x14ac:dyDescent="0.3">
      <c r="A406" t="s">
        <v>453</v>
      </c>
      <c r="B406" t="s">
        <v>44</v>
      </c>
      <c r="C406">
        <v>2019</v>
      </c>
      <c r="D406" t="s">
        <v>7</v>
      </c>
      <c r="E406">
        <v>0</v>
      </c>
      <c r="F406">
        <v>0</v>
      </c>
    </row>
    <row r="407" spans="1:6" x14ac:dyDescent="0.3">
      <c r="A407" t="s">
        <v>454</v>
      </c>
      <c r="B407" t="s">
        <v>44</v>
      </c>
      <c r="C407">
        <v>2020</v>
      </c>
      <c r="D407" t="s">
        <v>2689</v>
      </c>
      <c r="E407">
        <v>25000</v>
      </c>
      <c r="F407">
        <v>0</v>
      </c>
    </row>
    <row r="408" spans="1:6" x14ac:dyDescent="0.3">
      <c r="A408" t="s">
        <v>455</v>
      </c>
      <c r="B408" t="s">
        <v>44</v>
      </c>
      <c r="C408">
        <v>2021</v>
      </c>
      <c r="D408" t="s">
        <v>9</v>
      </c>
      <c r="E408">
        <v>200000</v>
      </c>
      <c r="F408">
        <v>0</v>
      </c>
    </row>
    <row r="409" spans="1:6" x14ac:dyDescent="0.3">
      <c r="A409" t="s">
        <v>456</v>
      </c>
      <c r="B409" t="s">
        <v>44</v>
      </c>
      <c r="C409">
        <v>2022</v>
      </c>
      <c r="D409" t="s">
        <v>2689</v>
      </c>
      <c r="E409">
        <v>300000</v>
      </c>
      <c r="F409">
        <v>0</v>
      </c>
    </row>
    <row r="410" spans="1:6" x14ac:dyDescent="0.3">
      <c r="A410" t="s">
        <v>457</v>
      </c>
      <c r="B410" t="s">
        <v>44</v>
      </c>
      <c r="C410">
        <v>2024</v>
      </c>
      <c r="D410" t="s">
        <v>9</v>
      </c>
      <c r="E410">
        <v>1098668</v>
      </c>
      <c r="F410">
        <v>0</v>
      </c>
    </row>
    <row r="411" spans="1:6" x14ac:dyDescent="0.3">
      <c r="A411" t="s">
        <v>458</v>
      </c>
      <c r="B411" t="s">
        <v>44</v>
      </c>
      <c r="C411">
        <v>2024</v>
      </c>
      <c r="D411" t="s">
        <v>2689</v>
      </c>
      <c r="E411">
        <v>0</v>
      </c>
      <c r="F411">
        <v>980</v>
      </c>
    </row>
    <row r="412" spans="1:6" x14ac:dyDescent="0.3">
      <c r="A412" t="s">
        <v>459</v>
      </c>
      <c r="B412" t="s">
        <v>44</v>
      </c>
      <c r="C412">
        <v>2024</v>
      </c>
      <c r="D412" t="s">
        <v>2689</v>
      </c>
      <c r="E412">
        <v>3418</v>
      </c>
      <c r="F412">
        <v>0</v>
      </c>
    </row>
    <row r="413" spans="1:6" x14ac:dyDescent="0.3">
      <c r="A413" t="s">
        <v>460</v>
      </c>
      <c r="B413" t="s">
        <v>47</v>
      </c>
      <c r="C413">
        <v>2001</v>
      </c>
      <c r="D413" t="s">
        <v>7</v>
      </c>
      <c r="E413">
        <v>100000</v>
      </c>
      <c r="F413">
        <v>0</v>
      </c>
    </row>
    <row r="414" spans="1:6" x14ac:dyDescent="0.3">
      <c r="A414" t="s">
        <v>461</v>
      </c>
      <c r="B414" t="s">
        <v>47</v>
      </c>
      <c r="C414">
        <v>2004</v>
      </c>
      <c r="D414" t="s">
        <v>9</v>
      </c>
      <c r="E414">
        <v>100000</v>
      </c>
      <c r="F414">
        <v>0</v>
      </c>
    </row>
    <row r="415" spans="1:6" x14ac:dyDescent="0.3">
      <c r="A415" t="s">
        <v>462</v>
      </c>
      <c r="B415" t="s">
        <v>47</v>
      </c>
      <c r="C415">
        <v>2005</v>
      </c>
      <c r="D415" t="s">
        <v>7</v>
      </c>
      <c r="E415">
        <v>150000</v>
      </c>
      <c r="F415">
        <v>0</v>
      </c>
    </row>
    <row r="416" spans="1:6" x14ac:dyDescent="0.3">
      <c r="A416" t="s">
        <v>463</v>
      </c>
      <c r="B416" t="s">
        <v>47</v>
      </c>
      <c r="C416">
        <v>2007</v>
      </c>
      <c r="D416" t="s">
        <v>7</v>
      </c>
      <c r="E416">
        <v>42750</v>
      </c>
      <c r="F416">
        <v>0</v>
      </c>
    </row>
    <row r="417" spans="1:6" x14ac:dyDescent="0.3">
      <c r="A417" t="s">
        <v>464</v>
      </c>
      <c r="B417" t="s">
        <v>47</v>
      </c>
      <c r="C417">
        <v>2008</v>
      </c>
      <c r="D417" t="s">
        <v>7</v>
      </c>
      <c r="E417">
        <v>340000</v>
      </c>
      <c r="F417">
        <v>0</v>
      </c>
    </row>
    <row r="418" spans="1:6" x14ac:dyDescent="0.3">
      <c r="A418" t="s">
        <v>465</v>
      </c>
      <c r="B418" t="s">
        <v>47</v>
      </c>
      <c r="C418">
        <v>2010</v>
      </c>
      <c r="D418" t="s">
        <v>7</v>
      </c>
      <c r="E418">
        <v>200258</v>
      </c>
      <c r="F418">
        <v>0</v>
      </c>
    </row>
    <row r="419" spans="1:6" x14ac:dyDescent="0.3">
      <c r="A419" t="s">
        <v>466</v>
      </c>
      <c r="B419" t="s">
        <v>47</v>
      </c>
      <c r="C419">
        <v>2018</v>
      </c>
      <c r="D419" t="s">
        <v>2689</v>
      </c>
      <c r="E419">
        <v>25000</v>
      </c>
      <c r="F419">
        <v>0</v>
      </c>
    </row>
    <row r="420" spans="1:6" x14ac:dyDescent="0.3">
      <c r="A420" t="s">
        <v>467</v>
      </c>
      <c r="B420" t="s">
        <v>47</v>
      </c>
      <c r="C420">
        <v>2019</v>
      </c>
      <c r="D420" t="s">
        <v>9</v>
      </c>
      <c r="E420">
        <v>250000</v>
      </c>
      <c r="F420">
        <v>0</v>
      </c>
    </row>
    <row r="421" spans="1:6" x14ac:dyDescent="0.3">
      <c r="A421" t="s">
        <v>468</v>
      </c>
      <c r="B421" t="s">
        <v>47</v>
      </c>
      <c r="C421">
        <v>2020</v>
      </c>
      <c r="D421" t="s">
        <v>9</v>
      </c>
      <c r="E421">
        <v>110000</v>
      </c>
      <c r="F421">
        <v>0</v>
      </c>
    </row>
    <row r="422" spans="1:6" x14ac:dyDescent="0.3">
      <c r="A422" t="s">
        <v>469</v>
      </c>
      <c r="B422" t="s">
        <v>47</v>
      </c>
      <c r="C422">
        <v>2022</v>
      </c>
      <c r="D422" t="s">
        <v>7</v>
      </c>
      <c r="E422">
        <v>192168</v>
      </c>
      <c r="F422">
        <v>0</v>
      </c>
    </row>
    <row r="423" spans="1:6" x14ac:dyDescent="0.3">
      <c r="A423" t="s">
        <v>470</v>
      </c>
      <c r="B423" t="s">
        <v>40</v>
      </c>
      <c r="C423">
        <v>2001</v>
      </c>
      <c r="D423" t="s">
        <v>7</v>
      </c>
      <c r="E423">
        <v>400000</v>
      </c>
      <c r="F423">
        <v>22400</v>
      </c>
    </row>
    <row r="424" spans="1:6" x14ac:dyDescent="0.3">
      <c r="A424" t="s">
        <v>471</v>
      </c>
      <c r="B424" t="s">
        <v>40</v>
      </c>
      <c r="C424">
        <v>2001</v>
      </c>
      <c r="D424" t="s">
        <v>14</v>
      </c>
      <c r="E424">
        <v>1334529</v>
      </c>
      <c r="F424">
        <v>1500000</v>
      </c>
    </row>
    <row r="425" spans="1:6" x14ac:dyDescent="0.3">
      <c r="A425" t="s">
        <v>472</v>
      </c>
      <c r="B425" t="s">
        <v>40</v>
      </c>
      <c r="C425">
        <v>2001</v>
      </c>
      <c r="D425" t="s">
        <v>14</v>
      </c>
      <c r="E425">
        <v>256021</v>
      </c>
      <c r="F425">
        <v>348500</v>
      </c>
    </row>
    <row r="426" spans="1:6" x14ac:dyDescent="0.3">
      <c r="A426" t="s">
        <v>473</v>
      </c>
      <c r="B426" t="s">
        <v>40</v>
      </c>
      <c r="C426">
        <v>2001</v>
      </c>
      <c r="D426" t="s">
        <v>9</v>
      </c>
      <c r="E426">
        <v>1000</v>
      </c>
      <c r="F426">
        <v>0</v>
      </c>
    </row>
    <row r="427" spans="1:6" x14ac:dyDescent="0.3">
      <c r="A427" t="s">
        <v>474</v>
      </c>
      <c r="B427" t="s">
        <v>40</v>
      </c>
      <c r="C427">
        <v>2002</v>
      </c>
      <c r="D427" t="s">
        <v>9</v>
      </c>
      <c r="E427">
        <v>100</v>
      </c>
      <c r="F427">
        <v>0</v>
      </c>
    </row>
    <row r="428" spans="1:6" x14ac:dyDescent="0.3">
      <c r="A428" t="s">
        <v>475</v>
      </c>
      <c r="B428" t="s">
        <v>40</v>
      </c>
      <c r="C428">
        <v>2002</v>
      </c>
      <c r="D428" t="s">
        <v>2689</v>
      </c>
      <c r="E428">
        <v>500</v>
      </c>
      <c r="F428">
        <v>0</v>
      </c>
    </row>
    <row r="429" spans="1:6" x14ac:dyDescent="0.3">
      <c r="A429" t="s">
        <v>476</v>
      </c>
      <c r="B429" t="s">
        <v>40</v>
      </c>
      <c r="C429">
        <v>2005</v>
      </c>
      <c r="D429" t="s">
        <v>14</v>
      </c>
      <c r="E429">
        <v>751</v>
      </c>
      <c r="F429">
        <v>0</v>
      </c>
    </row>
    <row r="430" spans="1:6" x14ac:dyDescent="0.3">
      <c r="A430" t="s">
        <v>477</v>
      </c>
      <c r="B430" t="s">
        <v>40</v>
      </c>
      <c r="C430">
        <v>2005</v>
      </c>
      <c r="D430" t="s">
        <v>9</v>
      </c>
      <c r="E430">
        <v>2332</v>
      </c>
      <c r="F430">
        <v>0</v>
      </c>
    </row>
    <row r="431" spans="1:6" x14ac:dyDescent="0.3">
      <c r="A431" t="s">
        <v>478</v>
      </c>
      <c r="B431" t="s">
        <v>40</v>
      </c>
      <c r="C431">
        <v>2005</v>
      </c>
      <c r="D431" t="s">
        <v>9</v>
      </c>
      <c r="E431">
        <v>0</v>
      </c>
      <c r="F431">
        <v>0</v>
      </c>
    </row>
    <row r="432" spans="1:6" x14ac:dyDescent="0.3">
      <c r="A432" t="s">
        <v>479</v>
      </c>
      <c r="B432" t="s">
        <v>40</v>
      </c>
      <c r="C432">
        <v>2005</v>
      </c>
      <c r="D432" t="s">
        <v>2689</v>
      </c>
      <c r="E432">
        <v>72141</v>
      </c>
      <c r="F432">
        <v>355700</v>
      </c>
    </row>
    <row r="433" spans="1:6" x14ac:dyDescent="0.3">
      <c r="A433" t="s">
        <v>480</v>
      </c>
      <c r="B433" t="s">
        <v>40</v>
      </c>
      <c r="C433">
        <v>2005</v>
      </c>
      <c r="D433" t="s">
        <v>2689</v>
      </c>
      <c r="E433">
        <v>0</v>
      </c>
      <c r="F433">
        <v>0</v>
      </c>
    </row>
    <row r="434" spans="1:6" x14ac:dyDescent="0.3">
      <c r="A434" t="s">
        <v>481</v>
      </c>
      <c r="B434" t="s">
        <v>40</v>
      </c>
      <c r="C434">
        <v>2006</v>
      </c>
      <c r="D434" t="s">
        <v>14</v>
      </c>
      <c r="E434">
        <v>16470</v>
      </c>
      <c r="F434">
        <v>0</v>
      </c>
    </row>
    <row r="435" spans="1:6" x14ac:dyDescent="0.3">
      <c r="A435" t="s">
        <v>482</v>
      </c>
      <c r="B435" t="s">
        <v>40</v>
      </c>
      <c r="C435">
        <v>2007</v>
      </c>
      <c r="D435" t="s">
        <v>9</v>
      </c>
      <c r="E435">
        <v>500</v>
      </c>
      <c r="F435">
        <v>0</v>
      </c>
    </row>
    <row r="436" spans="1:6" x14ac:dyDescent="0.3">
      <c r="A436" t="s">
        <v>483</v>
      </c>
      <c r="B436" t="s">
        <v>40</v>
      </c>
      <c r="C436">
        <v>2007</v>
      </c>
      <c r="D436" t="s">
        <v>2689</v>
      </c>
      <c r="E436">
        <v>2800</v>
      </c>
      <c r="F436">
        <v>0</v>
      </c>
    </row>
    <row r="437" spans="1:6" x14ac:dyDescent="0.3">
      <c r="A437" t="s">
        <v>484</v>
      </c>
      <c r="B437" t="s">
        <v>40</v>
      </c>
      <c r="C437">
        <v>2008</v>
      </c>
      <c r="D437" t="s">
        <v>9</v>
      </c>
      <c r="E437">
        <v>0</v>
      </c>
      <c r="F437">
        <v>0</v>
      </c>
    </row>
    <row r="438" spans="1:6" x14ac:dyDescent="0.3">
      <c r="A438" t="s">
        <v>485</v>
      </c>
      <c r="B438" t="s">
        <v>40</v>
      </c>
      <c r="C438">
        <v>2008</v>
      </c>
      <c r="D438" t="s">
        <v>9</v>
      </c>
      <c r="E438">
        <v>3000</v>
      </c>
      <c r="F438">
        <v>0</v>
      </c>
    </row>
    <row r="439" spans="1:6" x14ac:dyDescent="0.3">
      <c r="A439" t="s">
        <v>486</v>
      </c>
      <c r="B439" t="s">
        <v>40</v>
      </c>
      <c r="C439">
        <v>2009</v>
      </c>
      <c r="D439" t="s">
        <v>7</v>
      </c>
      <c r="E439">
        <v>0</v>
      </c>
      <c r="F439">
        <v>27000</v>
      </c>
    </row>
    <row r="440" spans="1:6" x14ac:dyDescent="0.3">
      <c r="A440" t="s">
        <v>487</v>
      </c>
      <c r="B440" t="s">
        <v>40</v>
      </c>
      <c r="C440">
        <v>2009</v>
      </c>
      <c r="D440" t="s">
        <v>2689</v>
      </c>
      <c r="E440">
        <v>90000</v>
      </c>
      <c r="F440">
        <v>939000</v>
      </c>
    </row>
    <row r="441" spans="1:6" x14ac:dyDescent="0.3">
      <c r="A441" t="s">
        <v>488</v>
      </c>
      <c r="B441" t="s">
        <v>40</v>
      </c>
      <c r="C441">
        <v>2010</v>
      </c>
      <c r="D441" t="s">
        <v>2689</v>
      </c>
      <c r="E441">
        <v>11253</v>
      </c>
      <c r="F441">
        <v>20000</v>
      </c>
    </row>
    <row r="442" spans="1:6" x14ac:dyDescent="0.3">
      <c r="A442" t="s">
        <v>489</v>
      </c>
      <c r="B442" t="s">
        <v>40</v>
      </c>
      <c r="C442">
        <v>2010</v>
      </c>
      <c r="D442" t="s">
        <v>2689</v>
      </c>
      <c r="E442">
        <v>500</v>
      </c>
      <c r="F442">
        <v>0</v>
      </c>
    </row>
    <row r="443" spans="1:6" x14ac:dyDescent="0.3">
      <c r="A443" t="s">
        <v>490</v>
      </c>
      <c r="B443" t="s">
        <v>40</v>
      </c>
      <c r="C443">
        <v>2010</v>
      </c>
      <c r="D443" t="s">
        <v>2689</v>
      </c>
      <c r="E443">
        <v>0</v>
      </c>
      <c r="F443">
        <v>0</v>
      </c>
    </row>
    <row r="444" spans="1:6" x14ac:dyDescent="0.3">
      <c r="A444" t="s">
        <v>491</v>
      </c>
      <c r="B444" t="s">
        <v>40</v>
      </c>
      <c r="C444">
        <v>2011</v>
      </c>
      <c r="D444" t="s">
        <v>9</v>
      </c>
      <c r="E444">
        <v>300000</v>
      </c>
      <c r="F444">
        <v>1000000</v>
      </c>
    </row>
    <row r="445" spans="1:6" x14ac:dyDescent="0.3">
      <c r="A445" t="s">
        <v>492</v>
      </c>
      <c r="B445" t="s">
        <v>40</v>
      </c>
      <c r="C445">
        <v>2015</v>
      </c>
      <c r="D445" t="s">
        <v>7</v>
      </c>
      <c r="E445">
        <v>700000</v>
      </c>
      <c r="F445">
        <v>100000</v>
      </c>
    </row>
    <row r="446" spans="1:6" x14ac:dyDescent="0.3">
      <c r="A446" t="s">
        <v>493</v>
      </c>
      <c r="B446" t="s">
        <v>40</v>
      </c>
      <c r="C446">
        <v>2015</v>
      </c>
      <c r="D446" t="s">
        <v>9</v>
      </c>
      <c r="E446">
        <v>0</v>
      </c>
      <c r="F446">
        <v>0</v>
      </c>
    </row>
    <row r="447" spans="1:6" x14ac:dyDescent="0.3">
      <c r="A447" t="s">
        <v>494</v>
      </c>
      <c r="B447" t="s">
        <v>40</v>
      </c>
      <c r="C447">
        <v>2015</v>
      </c>
      <c r="D447" t="s">
        <v>2689</v>
      </c>
      <c r="E447">
        <v>20000</v>
      </c>
      <c r="F447">
        <v>0</v>
      </c>
    </row>
    <row r="448" spans="1:6" x14ac:dyDescent="0.3">
      <c r="A448" t="s">
        <v>495</v>
      </c>
      <c r="B448" t="s">
        <v>40</v>
      </c>
      <c r="C448">
        <v>2017</v>
      </c>
      <c r="D448" t="s">
        <v>2689</v>
      </c>
      <c r="E448">
        <v>584</v>
      </c>
      <c r="F448">
        <v>0</v>
      </c>
    </row>
    <row r="449" spans="1:6" x14ac:dyDescent="0.3">
      <c r="A449" t="s">
        <v>496</v>
      </c>
      <c r="B449" t="s">
        <v>40</v>
      </c>
      <c r="C449">
        <v>2018</v>
      </c>
      <c r="D449" t="s">
        <v>7</v>
      </c>
      <c r="E449">
        <v>386610</v>
      </c>
      <c r="F449">
        <v>37000</v>
      </c>
    </row>
    <row r="450" spans="1:6" x14ac:dyDescent="0.3">
      <c r="A450" t="s">
        <v>497</v>
      </c>
      <c r="B450" t="s">
        <v>40</v>
      </c>
      <c r="C450">
        <v>2018</v>
      </c>
      <c r="D450" t="s">
        <v>14</v>
      </c>
      <c r="E450">
        <v>2499</v>
      </c>
      <c r="F450">
        <v>0</v>
      </c>
    </row>
    <row r="451" spans="1:6" x14ac:dyDescent="0.3">
      <c r="A451" t="s">
        <v>498</v>
      </c>
      <c r="B451" t="s">
        <v>40</v>
      </c>
      <c r="C451">
        <v>2018</v>
      </c>
      <c r="D451" t="s">
        <v>9</v>
      </c>
      <c r="E451">
        <v>7099</v>
      </c>
      <c r="F451">
        <v>0</v>
      </c>
    </row>
    <row r="452" spans="1:6" x14ac:dyDescent="0.3">
      <c r="A452" t="s">
        <v>499</v>
      </c>
      <c r="B452" t="s">
        <v>40</v>
      </c>
      <c r="C452">
        <v>2019</v>
      </c>
      <c r="D452" t="s">
        <v>14</v>
      </c>
      <c r="E452">
        <v>160</v>
      </c>
      <c r="F452">
        <v>0</v>
      </c>
    </row>
    <row r="453" spans="1:6" x14ac:dyDescent="0.3">
      <c r="A453" t="s">
        <v>500</v>
      </c>
      <c r="B453" t="s">
        <v>40</v>
      </c>
      <c r="C453">
        <v>2020</v>
      </c>
      <c r="D453" t="s">
        <v>2689</v>
      </c>
      <c r="E453">
        <v>149840</v>
      </c>
      <c r="F453">
        <v>220000</v>
      </c>
    </row>
    <row r="454" spans="1:6" x14ac:dyDescent="0.3">
      <c r="A454" t="s">
        <v>501</v>
      </c>
      <c r="B454" t="s">
        <v>40</v>
      </c>
      <c r="C454">
        <v>2020</v>
      </c>
      <c r="D454" t="s">
        <v>2689</v>
      </c>
      <c r="E454">
        <v>0</v>
      </c>
      <c r="F454">
        <v>0</v>
      </c>
    </row>
    <row r="455" spans="1:6" x14ac:dyDescent="0.3">
      <c r="A455" t="s">
        <v>502</v>
      </c>
      <c r="B455" t="s">
        <v>40</v>
      </c>
      <c r="C455">
        <v>2020</v>
      </c>
      <c r="D455" t="s">
        <v>2689</v>
      </c>
      <c r="E455">
        <v>0</v>
      </c>
      <c r="F455">
        <v>0</v>
      </c>
    </row>
    <row r="456" spans="1:6" x14ac:dyDescent="0.3">
      <c r="A456" t="s">
        <v>503</v>
      </c>
      <c r="B456" t="s">
        <v>40</v>
      </c>
      <c r="C456">
        <v>2021</v>
      </c>
      <c r="D456" t="s">
        <v>9</v>
      </c>
      <c r="E456">
        <v>300</v>
      </c>
      <c r="F456">
        <v>0</v>
      </c>
    </row>
    <row r="457" spans="1:6" x14ac:dyDescent="0.3">
      <c r="A457" t="s">
        <v>504</v>
      </c>
      <c r="B457" t="s">
        <v>40</v>
      </c>
      <c r="C457">
        <v>2022</v>
      </c>
      <c r="D457" t="s">
        <v>2689</v>
      </c>
      <c r="E457">
        <v>100</v>
      </c>
      <c r="F457">
        <v>0</v>
      </c>
    </row>
    <row r="458" spans="1:6" x14ac:dyDescent="0.3">
      <c r="A458" t="s">
        <v>505</v>
      </c>
      <c r="B458" t="s">
        <v>40</v>
      </c>
      <c r="C458">
        <v>2022</v>
      </c>
      <c r="D458" t="s">
        <v>2689</v>
      </c>
      <c r="E458">
        <v>9273</v>
      </c>
      <c r="F458">
        <v>17000</v>
      </c>
    </row>
    <row r="459" spans="1:6" x14ac:dyDescent="0.3">
      <c r="A459" t="s">
        <v>506</v>
      </c>
      <c r="B459" t="s">
        <v>40</v>
      </c>
      <c r="C459">
        <v>2023</v>
      </c>
      <c r="D459" t="s">
        <v>2689</v>
      </c>
      <c r="E459">
        <v>500</v>
      </c>
      <c r="F459">
        <v>0</v>
      </c>
    </row>
    <row r="460" spans="1:6" x14ac:dyDescent="0.3">
      <c r="A460" t="s">
        <v>507</v>
      </c>
      <c r="B460" t="s">
        <v>40</v>
      </c>
      <c r="C460">
        <v>2024</v>
      </c>
      <c r="D460" t="s">
        <v>2689</v>
      </c>
      <c r="E460">
        <v>8570</v>
      </c>
      <c r="F460">
        <v>0</v>
      </c>
    </row>
    <row r="461" spans="1:6" x14ac:dyDescent="0.3">
      <c r="A461" t="s">
        <v>508</v>
      </c>
      <c r="B461" t="s">
        <v>40</v>
      </c>
      <c r="C461">
        <v>2024</v>
      </c>
      <c r="D461" t="s">
        <v>2689</v>
      </c>
      <c r="E461">
        <v>480</v>
      </c>
      <c r="F461">
        <v>0</v>
      </c>
    </row>
    <row r="462" spans="1:6" x14ac:dyDescent="0.3">
      <c r="A462" t="s">
        <v>509</v>
      </c>
      <c r="B462" t="s">
        <v>26</v>
      </c>
      <c r="C462">
        <v>2001</v>
      </c>
      <c r="D462" t="s">
        <v>9</v>
      </c>
      <c r="E462">
        <v>31000</v>
      </c>
      <c r="F462">
        <v>0</v>
      </c>
    </row>
    <row r="463" spans="1:6" x14ac:dyDescent="0.3">
      <c r="A463" t="s">
        <v>510</v>
      </c>
      <c r="B463" t="s">
        <v>26</v>
      </c>
      <c r="C463">
        <v>2001</v>
      </c>
      <c r="D463" t="s">
        <v>9</v>
      </c>
      <c r="E463">
        <v>6000</v>
      </c>
      <c r="F463">
        <v>0</v>
      </c>
    </row>
    <row r="464" spans="1:6" x14ac:dyDescent="0.3">
      <c r="A464" t="s">
        <v>511</v>
      </c>
      <c r="B464" t="s">
        <v>26</v>
      </c>
      <c r="C464">
        <v>2001</v>
      </c>
      <c r="D464" t="s">
        <v>9</v>
      </c>
      <c r="E464">
        <v>2500</v>
      </c>
      <c r="F464">
        <v>0</v>
      </c>
    </row>
    <row r="465" spans="1:6" x14ac:dyDescent="0.3">
      <c r="A465" t="s">
        <v>512</v>
      </c>
      <c r="B465" t="s">
        <v>26</v>
      </c>
      <c r="C465">
        <v>2002</v>
      </c>
      <c r="D465" t="s">
        <v>9</v>
      </c>
      <c r="E465">
        <v>4000</v>
      </c>
      <c r="F465">
        <v>0</v>
      </c>
    </row>
    <row r="466" spans="1:6" x14ac:dyDescent="0.3">
      <c r="A466" t="s">
        <v>513</v>
      </c>
      <c r="B466" t="s">
        <v>26</v>
      </c>
      <c r="C466">
        <v>2003</v>
      </c>
      <c r="D466" t="s">
        <v>7</v>
      </c>
      <c r="E466">
        <v>12600000</v>
      </c>
      <c r="F466">
        <v>0</v>
      </c>
    </row>
    <row r="467" spans="1:6" x14ac:dyDescent="0.3">
      <c r="A467" t="s">
        <v>514</v>
      </c>
      <c r="B467" t="s">
        <v>26</v>
      </c>
      <c r="C467">
        <v>2003</v>
      </c>
      <c r="D467" t="s">
        <v>9</v>
      </c>
      <c r="E467">
        <v>110000</v>
      </c>
      <c r="F467">
        <v>0</v>
      </c>
    </row>
    <row r="468" spans="1:6" x14ac:dyDescent="0.3">
      <c r="A468" t="s">
        <v>515</v>
      </c>
      <c r="B468" t="s">
        <v>26</v>
      </c>
      <c r="C468">
        <v>2005</v>
      </c>
      <c r="D468" t="s">
        <v>7</v>
      </c>
      <c r="E468">
        <v>2600000</v>
      </c>
      <c r="F468">
        <v>0</v>
      </c>
    </row>
    <row r="469" spans="1:6" x14ac:dyDescent="0.3">
      <c r="A469" t="s">
        <v>516</v>
      </c>
      <c r="B469" t="s">
        <v>26</v>
      </c>
      <c r="C469">
        <v>2005</v>
      </c>
      <c r="D469" t="s">
        <v>9</v>
      </c>
      <c r="E469">
        <v>235418</v>
      </c>
      <c r="F469">
        <v>5000</v>
      </c>
    </row>
    <row r="470" spans="1:6" x14ac:dyDescent="0.3">
      <c r="A470" t="s">
        <v>517</v>
      </c>
      <c r="B470" t="s">
        <v>26</v>
      </c>
      <c r="C470">
        <v>2005</v>
      </c>
      <c r="D470" t="s">
        <v>9</v>
      </c>
      <c r="E470">
        <v>0</v>
      </c>
      <c r="F470">
        <v>1200</v>
      </c>
    </row>
    <row r="471" spans="1:6" x14ac:dyDescent="0.3">
      <c r="A471" t="s">
        <v>518</v>
      </c>
      <c r="B471" t="s">
        <v>26</v>
      </c>
      <c r="C471">
        <v>2005</v>
      </c>
      <c r="D471" t="s">
        <v>9</v>
      </c>
      <c r="E471">
        <v>7000</v>
      </c>
      <c r="F471">
        <v>0</v>
      </c>
    </row>
    <row r="472" spans="1:6" x14ac:dyDescent="0.3">
      <c r="A472" t="s">
        <v>519</v>
      </c>
      <c r="B472" t="s">
        <v>26</v>
      </c>
      <c r="C472">
        <v>2005</v>
      </c>
      <c r="D472" t="s">
        <v>9</v>
      </c>
      <c r="E472">
        <v>0</v>
      </c>
      <c r="F472">
        <v>0</v>
      </c>
    </row>
    <row r="473" spans="1:6" x14ac:dyDescent="0.3">
      <c r="A473" t="s">
        <v>520</v>
      </c>
      <c r="B473" t="s">
        <v>26</v>
      </c>
      <c r="C473">
        <v>2006</v>
      </c>
      <c r="D473" t="s">
        <v>9</v>
      </c>
      <c r="E473">
        <v>10000</v>
      </c>
      <c r="F473">
        <v>0</v>
      </c>
    </row>
    <row r="474" spans="1:6" x14ac:dyDescent="0.3">
      <c r="A474" t="s">
        <v>521</v>
      </c>
      <c r="B474" t="s">
        <v>26</v>
      </c>
      <c r="C474">
        <v>2006</v>
      </c>
      <c r="D474" t="s">
        <v>9</v>
      </c>
      <c r="E474">
        <v>10096</v>
      </c>
      <c r="F474">
        <v>3200</v>
      </c>
    </row>
    <row r="475" spans="1:6" x14ac:dyDescent="0.3">
      <c r="A475" t="s">
        <v>522</v>
      </c>
      <c r="B475" t="s">
        <v>26</v>
      </c>
      <c r="C475">
        <v>2006</v>
      </c>
      <c r="D475" t="s">
        <v>9</v>
      </c>
      <c r="E475">
        <v>450</v>
      </c>
      <c r="F475">
        <v>0</v>
      </c>
    </row>
    <row r="476" spans="1:6" x14ac:dyDescent="0.3">
      <c r="A476" t="s">
        <v>523</v>
      </c>
      <c r="B476" t="s">
        <v>26</v>
      </c>
      <c r="C476">
        <v>2006</v>
      </c>
      <c r="D476" t="s">
        <v>9</v>
      </c>
      <c r="E476">
        <v>8000</v>
      </c>
      <c r="F476">
        <v>0</v>
      </c>
    </row>
    <row r="477" spans="1:6" x14ac:dyDescent="0.3">
      <c r="A477" t="s">
        <v>524</v>
      </c>
      <c r="B477" t="s">
        <v>26</v>
      </c>
      <c r="C477">
        <v>2006</v>
      </c>
      <c r="D477" t="s">
        <v>9</v>
      </c>
      <c r="E477">
        <v>38000</v>
      </c>
      <c r="F477">
        <v>0</v>
      </c>
    </row>
    <row r="478" spans="1:6" x14ac:dyDescent="0.3">
      <c r="A478" t="s">
        <v>525</v>
      </c>
      <c r="B478" t="s">
        <v>26</v>
      </c>
      <c r="C478">
        <v>2006</v>
      </c>
      <c r="D478" t="s">
        <v>9</v>
      </c>
      <c r="E478">
        <v>6000</v>
      </c>
      <c r="F478">
        <v>0</v>
      </c>
    </row>
    <row r="479" spans="1:6" x14ac:dyDescent="0.3">
      <c r="A479" t="s">
        <v>526</v>
      </c>
      <c r="B479" t="s">
        <v>26</v>
      </c>
      <c r="C479">
        <v>2006</v>
      </c>
      <c r="D479" t="s">
        <v>9</v>
      </c>
      <c r="E479">
        <v>361600</v>
      </c>
      <c r="F479">
        <v>0</v>
      </c>
    </row>
    <row r="480" spans="1:6" x14ac:dyDescent="0.3">
      <c r="A480" t="s">
        <v>527</v>
      </c>
      <c r="B480" t="s">
        <v>26</v>
      </c>
      <c r="C480">
        <v>2007</v>
      </c>
      <c r="D480" t="s">
        <v>9</v>
      </c>
      <c r="E480">
        <v>5800</v>
      </c>
      <c r="F480">
        <v>0</v>
      </c>
    </row>
    <row r="481" spans="1:6" x14ac:dyDescent="0.3">
      <c r="A481" t="s">
        <v>528</v>
      </c>
      <c r="B481" t="s">
        <v>26</v>
      </c>
      <c r="C481">
        <v>2007</v>
      </c>
      <c r="D481" t="s">
        <v>9</v>
      </c>
      <c r="E481">
        <v>239586</v>
      </c>
      <c r="F481">
        <v>0</v>
      </c>
    </row>
    <row r="482" spans="1:6" x14ac:dyDescent="0.3">
      <c r="A482" t="s">
        <v>529</v>
      </c>
      <c r="B482" t="s">
        <v>26</v>
      </c>
      <c r="C482">
        <v>2008</v>
      </c>
      <c r="D482" t="s">
        <v>7</v>
      </c>
      <c r="E482">
        <v>6400000</v>
      </c>
      <c r="F482">
        <v>0</v>
      </c>
    </row>
    <row r="483" spans="1:6" x14ac:dyDescent="0.3">
      <c r="A483" t="s">
        <v>530</v>
      </c>
      <c r="B483" t="s">
        <v>26</v>
      </c>
      <c r="C483">
        <v>2008</v>
      </c>
      <c r="D483" t="s">
        <v>9</v>
      </c>
      <c r="E483">
        <v>845</v>
      </c>
      <c r="F483">
        <v>0</v>
      </c>
    </row>
    <row r="484" spans="1:6" x14ac:dyDescent="0.3">
      <c r="A484" t="s">
        <v>531</v>
      </c>
      <c r="B484" t="s">
        <v>26</v>
      </c>
      <c r="C484">
        <v>2008</v>
      </c>
      <c r="D484" t="s">
        <v>9</v>
      </c>
      <c r="E484">
        <v>91764</v>
      </c>
      <c r="F484">
        <v>0</v>
      </c>
    </row>
    <row r="485" spans="1:6" x14ac:dyDescent="0.3">
      <c r="A485" t="s">
        <v>532</v>
      </c>
      <c r="B485" t="s">
        <v>26</v>
      </c>
      <c r="C485">
        <v>2008</v>
      </c>
      <c r="D485" t="s">
        <v>9</v>
      </c>
      <c r="E485">
        <v>23831</v>
      </c>
      <c r="F485">
        <v>0</v>
      </c>
    </row>
    <row r="486" spans="1:6" x14ac:dyDescent="0.3">
      <c r="A486" t="s">
        <v>533</v>
      </c>
      <c r="B486" t="s">
        <v>26</v>
      </c>
      <c r="C486">
        <v>2009</v>
      </c>
      <c r="D486" t="s">
        <v>7</v>
      </c>
      <c r="E486">
        <v>6200000</v>
      </c>
      <c r="F486">
        <v>0</v>
      </c>
    </row>
    <row r="487" spans="1:6" x14ac:dyDescent="0.3">
      <c r="A487" t="s">
        <v>534</v>
      </c>
      <c r="B487" t="s">
        <v>26</v>
      </c>
      <c r="C487">
        <v>2010</v>
      </c>
      <c r="D487" t="s">
        <v>9</v>
      </c>
      <c r="E487">
        <v>55700</v>
      </c>
      <c r="F487">
        <v>0</v>
      </c>
    </row>
    <row r="488" spans="1:6" x14ac:dyDescent="0.3">
      <c r="A488" t="s">
        <v>535</v>
      </c>
      <c r="B488" t="s">
        <v>26</v>
      </c>
      <c r="C488">
        <v>2010</v>
      </c>
      <c r="D488" t="s">
        <v>9</v>
      </c>
      <c r="E488">
        <v>25000</v>
      </c>
      <c r="F488">
        <v>0</v>
      </c>
    </row>
    <row r="489" spans="1:6" x14ac:dyDescent="0.3">
      <c r="A489" t="s">
        <v>536</v>
      </c>
      <c r="B489" t="s">
        <v>26</v>
      </c>
      <c r="C489">
        <v>2011</v>
      </c>
      <c r="D489" t="s">
        <v>7</v>
      </c>
      <c r="E489">
        <v>4805679</v>
      </c>
      <c r="F489">
        <v>0</v>
      </c>
    </row>
    <row r="490" spans="1:6" x14ac:dyDescent="0.3">
      <c r="A490" t="s">
        <v>537</v>
      </c>
      <c r="B490" t="s">
        <v>26</v>
      </c>
      <c r="C490">
        <v>2011</v>
      </c>
      <c r="D490" t="s">
        <v>9</v>
      </c>
      <c r="E490">
        <v>40200</v>
      </c>
      <c r="F490">
        <v>0</v>
      </c>
    </row>
    <row r="491" spans="1:6" x14ac:dyDescent="0.3">
      <c r="A491" t="s">
        <v>538</v>
      </c>
      <c r="B491" t="s">
        <v>26</v>
      </c>
      <c r="C491">
        <v>2012</v>
      </c>
      <c r="D491" t="s">
        <v>7</v>
      </c>
      <c r="E491">
        <v>1000000</v>
      </c>
      <c r="F491">
        <v>0</v>
      </c>
    </row>
    <row r="492" spans="1:6" x14ac:dyDescent="0.3">
      <c r="A492" t="s">
        <v>539</v>
      </c>
      <c r="B492" t="s">
        <v>26</v>
      </c>
      <c r="C492">
        <v>2013</v>
      </c>
      <c r="D492" t="s">
        <v>9</v>
      </c>
      <c r="E492">
        <v>51500</v>
      </c>
      <c r="F492">
        <v>2200</v>
      </c>
    </row>
    <row r="493" spans="1:6" x14ac:dyDescent="0.3">
      <c r="A493" t="s">
        <v>540</v>
      </c>
      <c r="B493" t="s">
        <v>26</v>
      </c>
      <c r="C493">
        <v>2015</v>
      </c>
      <c r="D493" t="s">
        <v>7</v>
      </c>
      <c r="E493">
        <v>10200000</v>
      </c>
      <c r="F493">
        <v>1400000</v>
      </c>
    </row>
    <row r="494" spans="1:6" x14ac:dyDescent="0.3">
      <c r="A494" t="s">
        <v>541</v>
      </c>
      <c r="B494" t="s">
        <v>26</v>
      </c>
      <c r="C494">
        <v>2015</v>
      </c>
      <c r="D494" t="s">
        <v>9</v>
      </c>
      <c r="E494">
        <v>210600</v>
      </c>
      <c r="F494">
        <v>0</v>
      </c>
    </row>
    <row r="495" spans="1:6" x14ac:dyDescent="0.3">
      <c r="A495" t="s">
        <v>542</v>
      </c>
      <c r="B495" t="s">
        <v>26</v>
      </c>
      <c r="C495">
        <v>2016</v>
      </c>
      <c r="D495" t="s">
        <v>9</v>
      </c>
      <c r="E495">
        <v>3080</v>
      </c>
      <c r="F495">
        <v>0</v>
      </c>
    </row>
    <row r="496" spans="1:6" x14ac:dyDescent="0.3">
      <c r="A496" t="s">
        <v>543</v>
      </c>
      <c r="B496" t="s">
        <v>26</v>
      </c>
      <c r="C496">
        <v>2016</v>
      </c>
      <c r="D496" t="s">
        <v>9</v>
      </c>
      <c r="E496">
        <v>490000</v>
      </c>
      <c r="F496">
        <v>0</v>
      </c>
    </row>
    <row r="497" spans="1:6" x14ac:dyDescent="0.3">
      <c r="A497" t="s">
        <v>544</v>
      </c>
      <c r="B497" t="s">
        <v>26</v>
      </c>
      <c r="C497">
        <v>2019</v>
      </c>
      <c r="D497" t="s">
        <v>9</v>
      </c>
      <c r="E497">
        <v>200000</v>
      </c>
      <c r="F497">
        <v>0</v>
      </c>
    </row>
    <row r="498" spans="1:6" x14ac:dyDescent="0.3">
      <c r="A498" t="s">
        <v>545</v>
      </c>
      <c r="B498" t="s">
        <v>26</v>
      </c>
      <c r="C498">
        <v>2020</v>
      </c>
      <c r="D498" t="s">
        <v>9</v>
      </c>
      <c r="E498">
        <v>219000</v>
      </c>
      <c r="F498">
        <v>0</v>
      </c>
    </row>
    <row r="499" spans="1:6" x14ac:dyDescent="0.3">
      <c r="A499" t="s">
        <v>546</v>
      </c>
      <c r="B499" t="s">
        <v>26</v>
      </c>
      <c r="C499">
        <v>2020</v>
      </c>
      <c r="D499" t="s">
        <v>9</v>
      </c>
      <c r="E499">
        <v>1010854</v>
      </c>
      <c r="F499">
        <v>0</v>
      </c>
    </row>
    <row r="500" spans="1:6" x14ac:dyDescent="0.3">
      <c r="A500" t="s">
        <v>547</v>
      </c>
      <c r="B500" t="s">
        <v>26</v>
      </c>
      <c r="C500">
        <v>2021</v>
      </c>
      <c r="D500" t="s">
        <v>7</v>
      </c>
      <c r="E500">
        <v>6800000</v>
      </c>
      <c r="F500">
        <v>0</v>
      </c>
    </row>
    <row r="501" spans="1:6" x14ac:dyDescent="0.3">
      <c r="A501" t="s">
        <v>548</v>
      </c>
      <c r="B501" t="s">
        <v>26</v>
      </c>
      <c r="C501">
        <v>2021</v>
      </c>
      <c r="D501" t="s">
        <v>9</v>
      </c>
      <c r="E501">
        <v>0</v>
      </c>
      <c r="F501">
        <v>0</v>
      </c>
    </row>
    <row r="502" spans="1:6" x14ac:dyDescent="0.3">
      <c r="A502" t="s">
        <v>549</v>
      </c>
      <c r="B502" t="s">
        <v>26</v>
      </c>
      <c r="C502">
        <v>2022</v>
      </c>
      <c r="D502" t="s">
        <v>7</v>
      </c>
      <c r="E502">
        <v>24100000</v>
      </c>
      <c r="F502">
        <v>640000</v>
      </c>
    </row>
    <row r="503" spans="1:6" x14ac:dyDescent="0.3">
      <c r="A503" t="s">
        <v>550</v>
      </c>
      <c r="B503" t="s">
        <v>26</v>
      </c>
      <c r="C503">
        <v>2022</v>
      </c>
      <c r="D503" t="s">
        <v>9</v>
      </c>
      <c r="E503">
        <v>264831</v>
      </c>
      <c r="F503">
        <v>0</v>
      </c>
    </row>
    <row r="504" spans="1:6" x14ac:dyDescent="0.3">
      <c r="A504" t="s">
        <v>551</v>
      </c>
      <c r="B504" t="s">
        <v>26</v>
      </c>
      <c r="C504">
        <v>2023</v>
      </c>
      <c r="D504" t="s">
        <v>9</v>
      </c>
      <c r="E504">
        <v>240000</v>
      </c>
      <c r="F504">
        <v>0</v>
      </c>
    </row>
    <row r="505" spans="1:6" x14ac:dyDescent="0.3">
      <c r="A505" t="s">
        <v>552</v>
      </c>
      <c r="B505" t="s">
        <v>26</v>
      </c>
      <c r="C505">
        <v>2023</v>
      </c>
      <c r="D505" t="s">
        <v>9</v>
      </c>
      <c r="E505">
        <v>1500000</v>
      </c>
      <c r="F505">
        <v>0</v>
      </c>
    </row>
    <row r="506" spans="1:6" x14ac:dyDescent="0.3">
      <c r="A506" t="s">
        <v>553</v>
      </c>
      <c r="B506" t="s">
        <v>26</v>
      </c>
      <c r="C506">
        <v>2024</v>
      </c>
      <c r="D506" t="s">
        <v>9</v>
      </c>
      <c r="E506">
        <v>181548</v>
      </c>
      <c r="F506">
        <v>0</v>
      </c>
    </row>
    <row r="507" spans="1:6" x14ac:dyDescent="0.3">
      <c r="A507" t="s">
        <v>554</v>
      </c>
      <c r="B507" t="s">
        <v>19</v>
      </c>
      <c r="C507">
        <v>2001</v>
      </c>
      <c r="D507" t="s">
        <v>7</v>
      </c>
      <c r="E507">
        <v>113596</v>
      </c>
      <c r="F507">
        <v>14000</v>
      </c>
    </row>
    <row r="508" spans="1:6" x14ac:dyDescent="0.3">
      <c r="A508" t="s">
        <v>555</v>
      </c>
      <c r="B508" t="s">
        <v>19</v>
      </c>
      <c r="C508">
        <v>2001</v>
      </c>
      <c r="D508" t="s">
        <v>14</v>
      </c>
      <c r="E508">
        <v>152</v>
      </c>
      <c r="F508">
        <v>50</v>
      </c>
    </row>
    <row r="509" spans="1:6" x14ac:dyDescent="0.3">
      <c r="A509" t="s">
        <v>556</v>
      </c>
      <c r="B509" t="s">
        <v>19</v>
      </c>
      <c r="C509">
        <v>2001</v>
      </c>
      <c r="D509" t="s">
        <v>2689</v>
      </c>
      <c r="E509">
        <v>6446</v>
      </c>
      <c r="F509">
        <v>100</v>
      </c>
    </row>
    <row r="510" spans="1:6" x14ac:dyDescent="0.3">
      <c r="A510" t="s">
        <v>557</v>
      </c>
      <c r="B510" t="s">
        <v>19</v>
      </c>
      <c r="C510">
        <v>2002</v>
      </c>
      <c r="D510" t="s">
        <v>9</v>
      </c>
      <c r="E510">
        <v>98740</v>
      </c>
      <c r="F510">
        <v>0</v>
      </c>
    </row>
    <row r="511" spans="1:6" x14ac:dyDescent="0.3">
      <c r="A511" t="s">
        <v>558</v>
      </c>
      <c r="B511" t="s">
        <v>19</v>
      </c>
      <c r="C511">
        <v>2002</v>
      </c>
      <c r="D511" t="s">
        <v>2689</v>
      </c>
      <c r="E511">
        <v>1500</v>
      </c>
      <c r="F511">
        <v>100</v>
      </c>
    </row>
    <row r="512" spans="1:6" x14ac:dyDescent="0.3">
      <c r="A512" t="s">
        <v>559</v>
      </c>
      <c r="B512" t="s">
        <v>19</v>
      </c>
      <c r="C512">
        <v>2005</v>
      </c>
      <c r="D512" t="s">
        <v>9</v>
      </c>
      <c r="E512">
        <v>0</v>
      </c>
      <c r="F512">
        <v>0</v>
      </c>
    </row>
    <row r="513" spans="1:6" x14ac:dyDescent="0.3">
      <c r="A513" t="s">
        <v>560</v>
      </c>
      <c r="B513" t="s">
        <v>19</v>
      </c>
      <c r="C513">
        <v>2005</v>
      </c>
      <c r="D513" t="s">
        <v>2689</v>
      </c>
      <c r="E513">
        <v>475314</v>
      </c>
      <c r="F513">
        <v>988300</v>
      </c>
    </row>
    <row r="514" spans="1:6" x14ac:dyDescent="0.3">
      <c r="A514" t="s">
        <v>561</v>
      </c>
      <c r="B514" t="s">
        <v>19</v>
      </c>
      <c r="C514">
        <v>2007</v>
      </c>
      <c r="D514" t="s">
        <v>9</v>
      </c>
      <c r="E514">
        <v>656</v>
      </c>
      <c r="F514">
        <v>0</v>
      </c>
    </row>
    <row r="515" spans="1:6" x14ac:dyDescent="0.3">
      <c r="A515" t="s">
        <v>562</v>
      </c>
      <c r="B515" t="s">
        <v>19</v>
      </c>
      <c r="C515">
        <v>2007</v>
      </c>
      <c r="D515" t="s">
        <v>9</v>
      </c>
      <c r="E515">
        <v>1440</v>
      </c>
      <c r="F515">
        <v>0</v>
      </c>
    </row>
    <row r="516" spans="1:6" x14ac:dyDescent="0.3">
      <c r="A516" t="s">
        <v>563</v>
      </c>
      <c r="B516" t="s">
        <v>19</v>
      </c>
      <c r="C516">
        <v>2007</v>
      </c>
      <c r="D516" t="s">
        <v>2689</v>
      </c>
      <c r="E516">
        <v>3905</v>
      </c>
      <c r="F516">
        <v>0</v>
      </c>
    </row>
    <row r="517" spans="1:6" x14ac:dyDescent="0.3">
      <c r="A517" t="s">
        <v>564</v>
      </c>
      <c r="B517" t="s">
        <v>19</v>
      </c>
      <c r="C517">
        <v>2008</v>
      </c>
      <c r="D517" t="s">
        <v>9</v>
      </c>
      <c r="E517">
        <v>17300</v>
      </c>
      <c r="F517">
        <v>0</v>
      </c>
    </row>
    <row r="518" spans="1:6" x14ac:dyDescent="0.3">
      <c r="A518" t="s">
        <v>565</v>
      </c>
      <c r="B518" t="s">
        <v>19</v>
      </c>
      <c r="C518">
        <v>2008</v>
      </c>
      <c r="D518" t="s">
        <v>9</v>
      </c>
      <c r="E518">
        <v>180000</v>
      </c>
      <c r="F518">
        <v>0</v>
      </c>
    </row>
    <row r="519" spans="1:6" x14ac:dyDescent="0.3">
      <c r="A519" t="s">
        <v>566</v>
      </c>
      <c r="B519" t="s">
        <v>19</v>
      </c>
      <c r="C519">
        <v>2008</v>
      </c>
      <c r="D519" t="s">
        <v>2689</v>
      </c>
      <c r="E519">
        <v>0</v>
      </c>
      <c r="F519">
        <v>0</v>
      </c>
    </row>
    <row r="520" spans="1:6" x14ac:dyDescent="0.3">
      <c r="A520" t="s">
        <v>567</v>
      </c>
      <c r="B520" t="s">
        <v>19</v>
      </c>
      <c r="C520">
        <v>2009</v>
      </c>
      <c r="D520" t="s">
        <v>7</v>
      </c>
      <c r="E520">
        <v>2500000</v>
      </c>
      <c r="F520">
        <v>0</v>
      </c>
    </row>
    <row r="521" spans="1:6" x14ac:dyDescent="0.3">
      <c r="A521" t="s">
        <v>568</v>
      </c>
      <c r="B521" t="s">
        <v>19</v>
      </c>
      <c r="C521">
        <v>2009</v>
      </c>
      <c r="D521" t="s">
        <v>9</v>
      </c>
      <c r="E521">
        <v>10800</v>
      </c>
      <c r="F521">
        <v>0</v>
      </c>
    </row>
    <row r="522" spans="1:6" x14ac:dyDescent="0.3">
      <c r="A522" t="s">
        <v>569</v>
      </c>
      <c r="B522" t="s">
        <v>19</v>
      </c>
      <c r="C522">
        <v>2010</v>
      </c>
      <c r="D522" t="s">
        <v>9</v>
      </c>
      <c r="E522">
        <v>3270</v>
      </c>
      <c r="F522">
        <v>0</v>
      </c>
    </row>
    <row r="523" spans="1:6" x14ac:dyDescent="0.3">
      <c r="A523" t="s">
        <v>570</v>
      </c>
      <c r="B523" t="s">
        <v>19</v>
      </c>
      <c r="C523">
        <v>2010</v>
      </c>
      <c r="D523" t="s">
        <v>2689</v>
      </c>
      <c r="E523">
        <v>397962</v>
      </c>
      <c r="F523">
        <v>650000</v>
      </c>
    </row>
    <row r="524" spans="1:6" x14ac:dyDescent="0.3">
      <c r="A524" t="s">
        <v>571</v>
      </c>
      <c r="B524" t="s">
        <v>19</v>
      </c>
      <c r="C524">
        <v>2010</v>
      </c>
      <c r="D524" t="s">
        <v>2689</v>
      </c>
      <c r="E524">
        <v>2180</v>
      </c>
      <c r="F524">
        <v>0</v>
      </c>
    </row>
    <row r="525" spans="1:6" x14ac:dyDescent="0.3">
      <c r="A525" t="s">
        <v>572</v>
      </c>
      <c r="B525" t="s">
        <v>19</v>
      </c>
      <c r="C525">
        <v>2010</v>
      </c>
      <c r="D525" t="s">
        <v>2689</v>
      </c>
      <c r="E525">
        <v>0</v>
      </c>
      <c r="F525">
        <v>0</v>
      </c>
    </row>
    <row r="526" spans="1:6" x14ac:dyDescent="0.3">
      <c r="A526" t="s">
        <v>573</v>
      </c>
      <c r="B526" t="s">
        <v>19</v>
      </c>
      <c r="C526">
        <v>2011</v>
      </c>
      <c r="D526" t="s">
        <v>14</v>
      </c>
      <c r="E526">
        <v>400</v>
      </c>
      <c r="F526">
        <v>0</v>
      </c>
    </row>
    <row r="527" spans="1:6" x14ac:dyDescent="0.3">
      <c r="A527" t="s">
        <v>574</v>
      </c>
      <c r="B527" t="s">
        <v>19</v>
      </c>
      <c r="C527">
        <v>2011</v>
      </c>
      <c r="D527" t="s">
        <v>9</v>
      </c>
      <c r="E527">
        <v>6075</v>
      </c>
      <c r="F527">
        <v>0</v>
      </c>
    </row>
    <row r="528" spans="1:6" x14ac:dyDescent="0.3">
      <c r="A528" t="s">
        <v>575</v>
      </c>
      <c r="B528" t="s">
        <v>19</v>
      </c>
      <c r="C528">
        <v>2011</v>
      </c>
      <c r="D528" t="s">
        <v>9</v>
      </c>
      <c r="E528">
        <v>528753</v>
      </c>
      <c r="F528">
        <v>61913</v>
      </c>
    </row>
    <row r="529" spans="1:6" x14ac:dyDescent="0.3">
      <c r="A529" t="s">
        <v>576</v>
      </c>
      <c r="B529" t="s">
        <v>19</v>
      </c>
      <c r="C529">
        <v>2011</v>
      </c>
      <c r="D529" t="s">
        <v>9</v>
      </c>
      <c r="E529">
        <v>0</v>
      </c>
      <c r="F529">
        <v>0</v>
      </c>
    </row>
    <row r="530" spans="1:6" x14ac:dyDescent="0.3">
      <c r="A530" t="s">
        <v>577</v>
      </c>
      <c r="B530" t="s">
        <v>19</v>
      </c>
      <c r="C530">
        <v>2011</v>
      </c>
      <c r="D530" t="s">
        <v>2689</v>
      </c>
      <c r="E530">
        <v>0</v>
      </c>
      <c r="F530">
        <v>0</v>
      </c>
    </row>
    <row r="531" spans="1:6" x14ac:dyDescent="0.3">
      <c r="A531" t="s">
        <v>578</v>
      </c>
      <c r="B531" t="s">
        <v>19</v>
      </c>
      <c r="C531">
        <v>2012</v>
      </c>
      <c r="D531" t="s">
        <v>7</v>
      </c>
      <c r="E531">
        <v>266485</v>
      </c>
      <c r="F531">
        <v>0</v>
      </c>
    </row>
    <row r="532" spans="1:6" x14ac:dyDescent="0.3">
      <c r="A532" t="s">
        <v>579</v>
      </c>
      <c r="B532" t="s">
        <v>19</v>
      </c>
      <c r="C532">
        <v>2012</v>
      </c>
      <c r="D532" t="s">
        <v>14</v>
      </c>
      <c r="E532">
        <v>1321742</v>
      </c>
      <c r="F532">
        <v>210000</v>
      </c>
    </row>
    <row r="533" spans="1:6" x14ac:dyDescent="0.3">
      <c r="A533" t="s">
        <v>580</v>
      </c>
      <c r="B533" t="s">
        <v>19</v>
      </c>
      <c r="C533">
        <v>2013</v>
      </c>
      <c r="D533" t="s">
        <v>14</v>
      </c>
      <c r="E533">
        <v>572</v>
      </c>
      <c r="F533">
        <v>2000</v>
      </c>
    </row>
    <row r="534" spans="1:6" x14ac:dyDescent="0.3">
      <c r="A534" t="s">
        <v>581</v>
      </c>
      <c r="B534" t="s">
        <v>19</v>
      </c>
      <c r="C534">
        <v>2014</v>
      </c>
      <c r="D534" t="s">
        <v>7</v>
      </c>
      <c r="E534">
        <v>1300000</v>
      </c>
      <c r="F534">
        <v>58000</v>
      </c>
    </row>
    <row r="535" spans="1:6" x14ac:dyDescent="0.3">
      <c r="A535" t="s">
        <v>582</v>
      </c>
      <c r="B535" t="s">
        <v>19</v>
      </c>
      <c r="C535">
        <v>2014</v>
      </c>
      <c r="D535" t="s">
        <v>14</v>
      </c>
      <c r="E535">
        <v>94783</v>
      </c>
      <c r="F535">
        <v>0</v>
      </c>
    </row>
    <row r="536" spans="1:6" x14ac:dyDescent="0.3">
      <c r="A536" t="s">
        <v>583</v>
      </c>
      <c r="B536" t="s">
        <v>19</v>
      </c>
      <c r="C536">
        <v>2014</v>
      </c>
      <c r="D536" t="s">
        <v>9</v>
      </c>
      <c r="E536">
        <v>87500</v>
      </c>
      <c r="F536">
        <v>0</v>
      </c>
    </row>
    <row r="537" spans="1:6" x14ac:dyDescent="0.3">
      <c r="A537" t="s">
        <v>584</v>
      </c>
      <c r="B537" t="s">
        <v>19</v>
      </c>
      <c r="C537">
        <v>2014</v>
      </c>
      <c r="D537" t="s">
        <v>2689</v>
      </c>
      <c r="E537">
        <v>100000</v>
      </c>
      <c r="F537">
        <v>0</v>
      </c>
    </row>
    <row r="538" spans="1:6" x14ac:dyDescent="0.3">
      <c r="A538" t="s">
        <v>585</v>
      </c>
      <c r="B538" t="s">
        <v>19</v>
      </c>
      <c r="C538">
        <v>2015</v>
      </c>
      <c r="D538" t="s">
        <v>9</v>
      </c>
      <c r="E538">
        <v>8291</v>
      </c>
      <c r="F538">
        <v>0</v>
      </c>
    </row>
    <row r="539" spans="1:6" x14ac:dyDescent="0.3">
      <c r="A539" t="s">
        <v>586</v>
      </c>
      <c r="B539" t="s">
        <v>19</v>
      </c>
      <c r="C539">
        <v>2015</v>
      </c>
      <c r="D539" t="s">
        <v>9</v>
      </c>
      <c r="E539">
        <v>56845</v>
      </c>
      <c r="F539">
        <v>0</v>
      </c>
    </row>
    <row r="540" spans="1:6" x14ac:dyDescent="0.3">
      <c r="A540" t="s">
        <v>587</v>
      </c>
      <c r="B540" t="s">
        <v>19</v>
      </c>
      <c r="C540">
        <v>2016</v>
      </c>
      <c r="D540" t="s">
        <v>2689</v>
      </c>
      <c r="E540">
        <v>55</v>
      </c>
      <c r="F540">
        <v>0</v>
      </c>
    </row>
    <row r="541" spans="1:6" x14ac:dyDescent="0.3">
      <c r="A541" t="s">
        <v>588</v>
      </c>
      <c r="B541" t="s">
        <v>19</v>
      </c>
      <c r="C541">
        <v>2017</v>
      </c>
      <c r="D541" t="s">
        <v>14</v>
      </c>
      <c r="E541">
        <v>3601</v>
      </c>
      <c r="F541">
        <v>0</v>
      </c>
    </row>
    <row r="542" spans="1:6" x14ac:dyDescent="0.3">
      <c r="A542" t="s">
        <v>589</v>
      </c>
      <c r="B542" t="s">
        <v>19</v>
      </c>
      <c r="C542">
        <v>2017</v>
      </c>
      <c r="D542" t="s">
        <v>9</v>
      </c>
      <c r="E542">
        <v>160</v>
      </c>
      <c r="F542">
        <v>0</v>
      </c>
    </row>
    <row r="543" spans="1:6" x14ac:dyDescent="0.3">
      <c r="A543" t="s">
        <v>590</v>
      </c>
      <c r="B543" t="s">
        <v>19</v>
      </c>
      <c r="C543">
        <v>2017</v>
      </c>
      <c r="D543" t="s">
        <v>9</v>
      </c>
      <c r="E543">
        <v>10080</v>
      </c>
      <c r="F543">
        <v>0</v>
      </c>
    </row>
    <row r="544" spans="1:6" x14ac:dyDescent="0.3">
      <c r="A544" t="s">
        <v>591</v>
      </c>
      <c r="B544" t="s">
        <v>19</v>
      </c>
      <c r="C544">
        <v>2017</v>
      </c>
      <c r="D544" t="s">
        <v>9</v>
      </c>
      <c r="E544">
        <v>1000</v>
      </c>
      <c r="F544">
        <v>0</v>
      </c>
    </row>
    <row r="545" spans="1:6" x14ac:dyDescent="0.3">
      <c r="A545" t="s">
        <v>592</v>
      </c>
      <c r="B545" t="s">
        <v>19</v>
      </c>
      <c r="C545">
        <v>2017</v>
      </c>
      <c r="D545" t="s">
        <v>9</v>
      </c>
      <c r="E545">
        <v>31319</v>
      </c>
      <c r="F545">
        <v>0</v>
      </c>
    </row>
    <row r="546" spans="1:6" x14ac:dyDescent="0.3">
      <c r="A546" t="s">
        <v>593</v>
      </c>
      <c r="B546" t="s">
        <v>19</v>
      </c>
      <c r="C546">
        <v>2017</v>
      </c>
      <c r="D546" t="s">
        <v>2689</v>
      </c>
      <c r="E546">
        <v>3175</v>
      </c>
      <c r="F546">
        <v>0</v>
      </c>
    </row>
    <row r="547" spans="1:6" x14ac:dyDescent="0.3">
      <c r="A547" t="s">
        <v>594</v>
      </c>
      <c r="B547" t="s">
        <v>19</v>
      </c>
      <c r="C547">
        <v>2018</v>
      </c>
      <c r="D547" t="s">
        <v>7</v>
      </c>
      <c r="E547">
        <v>1500000</v>
      </c>
      <c r="F547">
        <v>44669</v>
      </c>
    </row>
    <row r="548" spans="1:6" x14ac:dyDescent="0.3">
      <c r="A548" t="s">
        <v>595</v>
      </c>
      <c r="B548" t="s">
        <v>19</v>
      </c>
      <c r="C548">
        <v>2018</v>
      </c>
      <c r="D548" t="s">
        <v>9</v>
      </c>
      <c r="E548">
        <v>76845</v>
      </c>
      <c r="F548">
        <v>0</v>
      </c>
    </row>
    <row r="549" spans="1:6" x14ac:dyDescent="0.3">
      <c r="A549" t="s">
        <v>596</v>
      </c>
      <c r="B549" t="s">
        <v>19</v>
      </c>
      <c r="C549">
        <v>2018</v>
      </c>
      <c r="D549" t="s">
        <v>9</v>
      </c>
      <c r="E549">
        <v>100</v>
      </c>
      <c r="F549">
        <v>0</v>
      </c>
    </row>
    <row r="550" spans="1:6" x14ac:dyDescent="0.3">
      <c r="A550" t="s">
        <v>597</v>
      </c>
      <c r="B550" t="s">
        <v>19</v>
      </c>
      <c r="C550">
        <v>2019</v>
      </c>
      <c r="D550" t="s">
        <v>2689</v>
      </c>
      <c r="E550">
        <v>63453</v>
      </c>
      <c r="F550">
        <v>0</v>
      </c>
    </row>
    <row r="551" spans="1:6" x14ac:dyDescent="0.3">
      <c r="A551" t="s">
        <v>598</v>
      </c>
      <c r="B551" t="s">
        <v>19</v>
      </c>
      <c r="C551">
        <v>2019</v>
      </c>
      <c r="D551" t="s">
        <v>2689</v>
      </c>
      <c r="E551">
        <v>15000</v>
      </c>
      <c r="F551">
        <v>0</v>
      </c>
    </row>
    <row r="552" spans="1:6" x14ac:dyDescent="0.3">
      <c r="A552" t="s">
        <v>599</v>
      </c>
      <c r="B552" t="s">
        <v>19</v>
      </c>
      <c r="C552">
        <v>2020</v>
      </c>
      <c r="D552" t="s">
        <v>9</v>
      </c>
      <c r="E552">
        <v>16000</v>
      </c>
      <c r="F552">
        <v>0</v>
      </c>
    </row>
    <row r="553" spans="1:6" x14ac:dyDescent="0.3">
      <c r="A553" t="s">
        <v>600</v>
      </c>
      <c r="B553" t="s">
        <v>19</v>
      </c>
      <c r="C553">
        <v>2020</v>
      </c>
      <c r="D553" t="s">
        <v>9</v>
      </c>
      <c r="E553">
        <v>4070</v>
      </c>
      <c r="F553">
        <v>0</v>
      </c>
    </row>
    <row r="554" spans="1:6" x14ac:dyDescent="0.3">
      <c r="A554" t="s">
        <v>601</v>
      </c>
      <c r="B554" t="s">
        <v>19</v>
      </c>
      <c r="C554">
        <v>2020</v>
      </c>
      <c r="D554" t="s">
        <v>2689</v>
      </c>
      <c r="E554">
        <v>306886</v>
      </c>
      <c r="F554">
        <v>0</v>
      </c>
    </row>
    <row r="555" spans="1:6" x14ac:dyDescent="0.3">
      <c r="A555" t="s">
        <v>602</v>
      </c>
      <c r="B555" t="s">
        <v>19</v>
      </c>
      <c r="C555">
        <v>2020</v>
      </c>
      <c r="D555" t="s">
        <v>2689</v>
      </c>
      <c r="E555">
        <v>2415888</v>
      </c>
      <c r="F555">
        <v>386000</v>
      </c>
    </row>
    <row r="556" spans="1:6" x14ac:dyDescent="0.3">
      <c r="A556" t="s">
        <v>603</v>
      </c>
      <c r="B556" t="s">
        <v>19</v>
      </c>
      <c r="C556">
        <v>2020</v>
      </c>
      <c r="D556" t="s">
        <v>2689</v>
      </c>
      <c r="E556">
        <v>131298</v>
      </c>
      <c r="F556">
        <v>0</v>
      </c>
    </row>
    <row r="557" spans="1:6" x14ac:dyDescent="0.3">
      <c r="A557" t="s">
        <v>604</v>
      </c>
      <c r="B557" t="s">
        <v>19</v>
      </c>
      <c r="C557">
        <v>2021</v>
      </c>
      <c r="D557" t="s">
        <v>9</v>
      </c>
      <c r="E557">
        <v>2245</v>
      </c>
      <c r="F557">
        <v>0</v>
      </c>
    </row>
    <row r="558" spans="1:6" x14ac:dyDescent="0.3">
      <c r="A558" t="s">
        <v>605</v>
      </c>
      <c r="B558" t="s">
        <v>19</v>
      </c>
      <c r="C558">
        <v>2021</v>
      </c>
      <c r="D558" t="s">
        <v>9</v>
      </c>
      <c r="E558">
        <v>10572</v>
      </c>
      <c r="F558">
        <v>0</v>
      </c>
    </row>
    <row r="559" spans="1:6" x14ac:dyDescent="0.3">
      <c r="A559" t="s">
        <v>606</v>
      </c>
      <c r="B559" t="s">
        <v>19</v>
      </c>
      <c r="C559">
        <v>2021</v>
      </c>
      <c r="D559" t="s">
        <v>9</v>
      </c>
      <c r="E559">
        <v>11799</v>
      </c>
      <c r="F559">
        <v>0</v>
      </c>
    </row>
    <row r="560" spans="1:6" x14ac:dyDescent="0.3">
      <c r="A560" t="s">
        <v>607</v>
      </c>
      <c r="B560" t="s">
        <v>19</v>
      </c>
      <c r="C560">
        <v>2022</v>
      </c>
      <c r="D560" t="s">
        <v>14</v>
      </c>
      <c r="E560">
        <v>31302</v>
      </c>
      <c r="F560">
        <v>0</v>
      </c>
    </row>
    <row r="561" spans="1:6" x14ac:dyDescent="0.3">
      <c r="A561" t="s">
        <v>608</v>
      </c>
      <c r="B561" t="s">
        <v>19</v>
      </c>
      <c r="C561">
        <v>2022</v>
      </c>
      <c r="D561" t="s">
        <v>9</v>
      </c>
      <c r="E561">
        <v>2890023</v>
      </c>
      <c r="F561">
        <v>204000</v>
      </c>
    </row>
    <row r="562" spans="1:6" x14ac:dyDescent="0.3">
      <c r="A562" t="s">
        <v>609</v>
      </c>
      <c r="B562" t="s">
        <v>19</v>
      </c>
      <c r="C562">
        <v>2022</v>
      </c>
      <c r="D562" t="s">
        <v>2689</v>
      </c>
      <c r="E562">
        <v>457311</v>
      </c>
      <c r="F562">
        <v>0</v>
      </c>
    </row>
    <row r="563" spans="1:6" x14ac:dyDescent="0.3">
      <c r="A563" t="s">
        <v>610</v>
      </c>
      <c r="B563" t="s">
        <v>19</v>
      </c>
      <c r="C563">
        <v>2023</v>
      </c>
      <c r="D563" t="s">
        <v>9</v>
      </c>
      <c r="E563">
        <v>4400005</v>
      </c>
      <c r="F563">
        <v>0</v>
      </c>
    </row>
    <row r="564" spans="1:6" x14ac:dyDescent="0.3">
      <c r="A564" t="s">
        <v>611</v>
      </c>
      <c r="B564" t="s">
        <v>19</v>
      </c>
      <c r="C564">
        <v>2024</v>
      </c>
      <c r="D564" t="s">
        <v>9</v>
      </c>
      <c r="E564">
        <v>606115</v>
      </c>
      <c r="F564">
        <v>0</v>
      </c>
    </row>
    <row r="565" spans="1:6" x14ac:dyDescent="0.3">
      <c r="A565" t="s">
        <v>612</v>
      </c>
      <c r="B565" t="s">
        <v>19</v>
      </c>
      <c r="C565">
        <v>2024</v>
      </c>
      <c r="D565" t="s">
        <v>2689</v>
      </c>
      <c r="E565">
        <v>14400</v>
      </c>
      <c r="F565">
        <v>0</v>
      </c>
    </row>
    <row r="566" spans="1:6" x14ac:dyDescent="0.3">
      <c r="A566" t="s">
        <v>613</v>
      </c>
      <c r="B566" t="s">
        <v>19</v>
      </c>
      <c r="C566">
        <v>2024</v>
      </c>
      <c r="D566" t="s">
        <v>2689</v>
      </c>
      <c r="E566">
        <v>50240</v>
      </c>
      <c r="F566">
        <v>0</v>
      </c>
    </row>
    <row r="567" spans="1:6" x14ac:dyDescent="0.3">
      <c r="A567" t="s">
        <v>614</v>
      </c>
      <c r="B567" t="s">
        <v>27</v>
      </c>
      <c r="C567">
        <v>2001</v>
      </c>
      <c r="D567" t="s">
        <v>9</v>
      </c>
      <c r="E567">
        <v>5081</v>
      </c>
      <c r="F567">
        <v>0</v>
      </c>
    </row>
    <row r="568" spans="1:6" x14ac:dyDescent="0.3">
      <c r="A568" t="s">
        <v>615</v>
      </c>
      <c r="B568" t="s">
        <v>27</v>
      </c>
      <c r="C568">
        <v>2001</v>
      </c>
      <c r="D568" t="s">
        <v>2689</v>
      </c>
      <c r="E568">
        <v>0</v>
      </c>
      <c r="F568">
        <v>20</v>
      </c>
    </row>
    <row r="569" spans="1:6" x14ac:dyDescent="0.3">
      <c r="A569" t="s">
        <v>616</v>
      </c>
      <c r="B569" t="s">
        <v>27</v>
      </c>
      <c r="C569">
        <v>2002</v>
      </c>
      <c r="D569" t="s">
        <v>9</v>
      </c>
      <c r="E569">
        <v>38339</v>
      </c>
      <c r="F569">
        <v>1000</v>
      </c>
    </row>
    <row r="570" spans="1:6" x14ac:dyDescent="0.3">
      <c r="A570" t="s">
        <v>617</v>
      </c>
      <c r="B570" t="s">
        <v>27</v>
      </c>
      <c r="C570">
        <v>2002</v>
      </c>
      <c r="D570" t="s">
        <v>2689</v>
      </c>
      <c r="E570">
        <v>250</v>
      </c>
      <c r="F570">
        <v>0</v>
      </c>
    </row>
    <row r="571" spans="1:6" x14ac:dyDescent="0.3">
      <c r="A571" t="s">
        <v>618</v>
      </c>
      <c r="B571" t="s">
        <v>27</v>
      </c>
      <c r="C571">
        <v>2003</v>
      </c>
      <c r="D571" t="s">
        <v>7</v>
      </c>
      <c r="E571">
        <v>35000</v>
      </c>
      <c r="F571">
        <v>0</v>
      </c>
    </row>
    <row r="572" spans="1:6" x14ac:dyDescent="0.3">
      <c r="A572" t="s">
        <v>619</v>
      </c>
      <c r="B572" t="s">
        <v>27</v>
      </c>
      <c r="C572">
        <v>2003</v>
      </c>
      <c r="D572" t="s">
        <v>9</v>
      </c>
      <c r="E572">
        <v>12070</v>
      </c>
      <c r="F572">
        <v>0</v>
      </c>
    </row>
    <row r="573" spans="1:6" x14ac:dyDescent="0.3">
      <c r="A573" t="s">
        <v>620</v>
      </c>
      <c r="B573" t="s">
        <v>27</v>
      </c>
      <c r="C573">
        <v>2003</v>
      </c>
      <c r="D573" t="s">
        <v>9</v>
      </c>
      <c r="E573">
        <v>150000</v>
      </c>
      <c r="F573">
        <v>0</v>
      </c>
    </row>
    <row r="574" spans="1:6" x14ac:dyDescent="0.3">
      <c r="A574" t="s">
        <v>621</v>
      </c>
      <c r="B574" t="s">
        <v>27</v>
      </c>
      <c r="C574">
        <v>2003</v>
      </c>
      <c r="D574" t="s">
        <v>9</v>
      </c>
      <c r="E574">
        <v>320</v>
      </c>
      <c r="F574">
        <v>0</v>
      </c>
    </row>
    <row r="575" spans="1:6" x14ac:dyDescent="0.3">
      <c r="A575" t="s">
        <v>622</v>
      </c>
      <c r="B575" t="s">
        <v>27</v>
      </c>
      <c r="C575">
        <v>2003</v>
      </c>
      <c r="D575" t="s">
        <v>2689</v>
      </c>
      <c r="E575">
        <v>155</v>
      </c>
      <c r="F575">
        <v>0</v>
      </c>
    </row>
    <row r="576" spans="1:6" x14ac:dyDescent="0.3">
      <c r="A576" t="s">
        <v>623</v>
      </c>
      <c r="B576" t="s">
        <v>27</v>
      </c>
      <c r="C576">
        <v>2004</v>
      </c>
      <c r="D576" t="s">
        <v>9</v>
      </c>
      <c r="E576">
        <v>31283</v>
      </c>
      <c r="F576">
        <v>0</v>
      </c>
    </row>
    <row r="577" spans="1:6" x14ac:dyDescent="0.3">
      <c r="A577" t="s">
        <v>624</v>
      </c>
      <c r="B577" t="s">
        <v>27</v>
      </c>
      <c r="C577">
        <v>2004</v>
      </c>
      <c r="D577" t="s">
        <v>2689</v>
      </c>
      <c r="E577">
        <v>6500</v>
      </c>
      <c r="F577">
        <v>1000</v>
      </c>
    </row>
    <row r="578" spans="1:6" x14ac:dyDescent="0.3">
      <c r="A578" t="s">
        <v>625</v>
      </c>
      <c r="B578" t="s">
        <v>27</v>
      </c>
      <c r="C578">
        <v>2004</v>
      </c>
      <c r="D578" t="s">
        <v>2689</v>
      </c>
      <c r="E578">
        <v>315594</v>
      </c>
      <c r="F578">
        <v>50000</v>
      </c>
    </row>
    <row r="579" spans="1:6" x14ac:dyDescent="0.3">
      <c r="A579" t="s">
        <v>626</v>
      </c>
      <c r="B579" t="s">
        <v>27</v>
      </c>
      <c r="C579">
        <v>2005</v>
      </c>
      <c r="D579" t="s">
        <v>9</v>
      </c>
      <c r="E579">
        <v>2500</v>
      </c>
      <c r="F579">
        <v>0</v>
      </c>
    </row>
    <row r="580" spans="1:6" x14ac:dyDescent="0.3">
      <c r="A580" t="s">
        <v>627</v>
      </c>
      <c r="B580" t="s">
        <v>27</v>
      </c>
      <c r="C580">
        <v>2005</v>
      </c>
      <c r="D580" t="s">
        <v>9</v>
      </c>
      <c r="E580">
        <v>11500</v>
      </c>
      <c r="F580">
        <v>0</v>
      </c>
    </row>
    <row r="581" spans="1:6" x14ac:dyDescent="0.3">
      <c r="A581" t="s">
        <v>628</v>
      </c>
      <c r="B581" t="s">
        <v>27</v>
      </c>
      <c r="C581">
        <v>2005</v>
      </c>
      <c r="D581" t="s">
        <v>9</v>
      </c>
      <c r="E581">
        <v>83</v>
      </c>
      <c r="F581">
        <v>0</v>
      </c>
    </row>
    <row r="582" spans="1:6" x14ac:dyDescent="0.3">
      <c r="A582" t="s">
        <v>629</v>
      </c>
      <c r="B582" t="s">
        <v>27</v>
      </c>
      <c r="C582">
        <v>2005</v>
      </c>
      <c r="D582" t="s">
        <v>2689</v>
      </c>
      <c r="E582">
        <v>15036</v>
      </c>
      <c r="F582">
        <v>50000</v>
      </c>
    </row>
    <row r="583" spans="1:6" x14ac:dyDescent="0.3">
      <c r="A583" t="s">
        <v>630</v>
      </c>
      <c r="B583" t="s">
        <v>27</v>
      </c>
      <c r="C583">
        <v>2005</v>
      </c>
      <c r="D583" t="s">
        <v>2689</v>
      </c>
      <c r="E583">
        <v>750</v>
      </c>
      <c r="F583">
        <v>0</v>
      </c>
    </row>
    <row r="584" spans="1:6" x14ac:dyDescent="0.3">
      <c r="A584" t="s">
        <v>631</v>
      </c>
      <c r="B584" t="s">
        <v>27</v>
      </c>
      <c r="C584">
        <v>2005</v>
      </c>
      <c r="D584" t="s">
        <v>2689</v>
      </c>
      <c r="E584">
        <v>10000</v>
      </c>
      <c r="F584">
        <v>0</v>
      </c>
    </row>
    <row r="585" spans="1:6" x14ac:dyDescent="0.3">
      <c r="A585" t="s">
        <v>632</v>
      </c>
      <c r="B585" t="s">
        <v>27</v>
      </c>
      <c r="C585">
        <v>2005</v>
      </c>
      <c r="D585" t="s">
        <v>2689</v>
      </c>
      <c r="E585">
        <v>0</v>
      </c>
      <c r="F585">
        <v>500</v>
      </c>
    </row>
    <row r="586" spans="1:6" x14ac:dyDescent="0.3">
      <c r="A586" t="s">
        <v>633</v>
      </c>
      <c r="B586" t="s">
        <v>27</v>
      </c>
      <c r="C586">
        <v>2005</v>
      </c>
      <c r="D586" t="s">
        <v>2689</v>
      </c>
      <c r="E586">
        <v>2192</v>
      </c>
      <c r="F586">
        <v>0</v>
      </c>
    </row>
    <row r="587" spans="1:6" x14ac:dyDescent="0.3">
      <c r="A587" t="s">
        <v>634</v>
      </c>
      <c r="B587" t="s">
        <v>27</v>
      </c>
      <c r="C587">
        <v>2006</v>
      </c>
      <c r="D587" t="s">
        <v>9</v>
      </c>
      <c r="E587">
        <v>20010</v>
      </c>
      <c r="F587">
        <v>0</v>
      </c>
    </row>
    <row r="588" spans="1:6" x14ac:dyDescent="0.3">
      <c r="A588" t="s">
        <v>635</v>
      </c>
      <c r="B588" t="s">
        <v>27</v>
      </c>
      <c r="C588">
        <v>2006</v>
      </c>
      <c r="D588" t="s">
        <v>9</v>
      </c>
      <c r="E588">
        <v>4690</v>
      </c>
      <c r="F588">
        <v>0</v>
      </c>
    </row>
    <row r="589" spans="1:6" x14ac:dyDescent="0.3">
      <c r="A589" t="s">
        <v>636</v>
      </c>
      <c r="B589" t="s">
        <v>27</v>
      </c>
      <c r="C589">
        <v>2006</v>
      </c>
      <c r="D589" t="s">
        <v>2689</v>
      </c>
      <c r="E589">
        <v>15000</v>
      </c>
      <c r="F589">
        <v>0</v>
      </c>
    </row>
    <row r="590" spans="1:6" x14ac:dyDescent="0.3">
      <c r="A590" t="s">
        <v>637</v>
      </c>
      <c r="B590" t="s">
        <v>27</v>
      </c>
      <c r="C590">
        <v>2007</v>
      </c>
      <c r="D590" t="s">
        <v>9</v>
      </c>
      <c r="E590">
        <v>15014</v>
      </c>
      <c r="F590">
        <v>0</v>
      </c>
    </row>
    <row r="591" spans="1:6" x14ac:dyDescent="0.3">
      <c r="A591" t="s">
        <v>638</v>
      </c>
      <c r="B591" t="s">
        <v>27</v>
      </c>
      <c r="C591">
        <v>2007</v>
      </c>
      <c r="D591" t="s">
        <v>9</v>
      </c>
      <c r="E591">
        <v>12500</v>
      </c>
      <c r="F591">
        <v>0</v>
      </c>
    </row>
    <row r="592" spans="1:6" x14ac:dyDescent="0.3">
      <c r="A592" t="s">
        <v>639</v>
      </c>
      <c r="B592" t="s">
        <v>27</v>
      </c>
      <c r="C592">
        <v>2007</v>
      </c>
      <c r="D592" t="s">
        <v>9</v>
      </c>
      <c r="E592">
        <v>1500</v>
      </c>
      <c r="F592">
        <v>0</v>
      </c>
    </row>
    <row r="593" spans="1:6" x14ac:dyDescent="0.3">
      <c r="A593" t="s">
        <v>640</v>
      </c>
      <c r="B593" t="s">
        <v>27</v>
      </c>
      <c r="C593">
        <v>2007</v>
      </c>
      <c r="D593" t="s">
        <v>9</v>
      </c>
      <c r="E593">
        <v>75947</v>
      </c>
      <c r="F593">
        <v>0</v>
      </c>
    </row>
    <row r="594" spans="1:6" x14ac:dyDescent="0.3">
      <c r="A594" t="s">
        <v>641</v>
      </c>
      <c r="B594" t="s">
        <v>27</v>
      </c>
      <c r="C594">
        <v>2007</v>
      </c>
      <c r="D594" t="s">
        <v>2689</v>
      </c>
      <c r="E594">
        <v>3966</v>
      </c>
      <c r="F594">
        <v>0</v>
      </c>
    </row>
    <row r="595" spans="1:6" x14ac:dyDescent="0.3">
      <c r="A595" t="s">
        <v>642</v>
      </c>
      <c r="B595" t="s">
        <v>27</v>
      </c>
      <c r="C595">
        <v>2007</v>
      </c>
      <c r="D595" t="s">
        <v>2689</v>
      </c>
      <c r="E595">
        <v>108763</v>
      </c>
      <c r="F595">
        <v>0</v>
      </c>
    </row>
    <row r="596" spans="1:6" x14ac:dyDescent="0.3">
      <c r="A596" t="s">
        <v>643</v>
      </c>
      <c r="B596" t="s">
        <v>27</v>
      </c>
      <c r="C596">
        <v>2007</v>
      </c>
      <c r="D596" t="s">
        <v>2689</v>
      </c>
      <c r="E596">
        <v>2352</v>
      </c>
      <c r="F596">
        <v>0</v>
      </c>
    </row>
    <row r="597" spans="1:6" x14ac:dyDescent="0.3">
      <c r="A597" t="s">
        <v>644</v>
      </c>
      <c r="B597" t="s">
        <v>27</v>
      </c>
      <c r="C597">
        <v>2008</v>
      </c>
      <c r="D597" t="s">
        <v>2689</v>
      </c>
      <c r="E597">
        <v>220</v>
      </c>
      <c r="F597">
        <v>0</v>
      </c>
    </row>
    <row r="598" spans="1:6" x14ac:dyDescent="0.3">
      <c r="A598" t="s">
        <v>645</v>
      </c>
      <c r="B598" t="s">
        <v>27</v>
      </c>
      <c r="C598">
        <v>2008</v>
      </c>
      <c r="D598" t="s">
        <v>2689</v>
      </c>
      <c r="E598">
        <v>73006</v>
      </c>
      <c r="F598">
        <v>0</v>
      </c>
    </row>
    <row r="599" spans="1:6" x14ac:dyDescent="0.3">
      <c r="A599" t="s">
        <v>646</v>
      </c>
      <c r="B599" t="s">
        <v>27</v>
      </c>
      <c r="C599">
        <v>2008</v>
      </c>
      <c r="D599" t="s">
        <v>2689</v>
      </c>
      <c r="E599">
        <v>48000</v>
      </c>
      <c r="F599">
        <v>0</v>
      </c>
    </row>
    <row r="600" spans="1:6" x14ac:dyDescent="0.3">
      <c r="A600" t="s">
        <v>647</v>
      </c>
      <c r="B600" t="s">
        <v>27</v>
      </c>
      <c r="C600">
        <v>2008</v>
      </c>
      <c r="D600" t="s">
        <v>2689</v>
      </c>
      <c r="E600">
        <v>125050</v>
      </c>
      <c r="F600">
        <v>0</v>
      </c>
    </row>
    <row r="601" spans="1:6" x14ac:dyDescent="0.3">
      <c r="A601" t="s">
        <v>648</v>
      </c>
      <c r="B601" t="s">
        <v>27</v>
      </c>
      <c r="C601">
        <v>2009</v>
      </c>
      <c r="D601" t="s">
        <v>9</v>
      </c>
      <c r="E601">
        <v>9910</v>
      </c>
      <c r="F601">
        <v>0</v>
      </c>
    </row>
    <row r="602" spans="1:6" x14ac:dyDescent="0.3">
      <c r="A602" t="s">
        <v>649</v>
      </c>
      <c r="B602" t="s">
        <v>27</v>
      </c>
      <c r="C602">
        <v>2009</v>
      </c>
      <c r="D602" t="s">
        <v>9</v>
      </c>
      <c r="E602">
        <v>296</v>
      </c>
      <c r="F602">
        <v>0</v>
      </c>
    </row>
    <row r="603" spans="1:6" x14ac:dyDescent="0.3">
      <c r="A603" t="s">
        <v>650</v>
      </c>
      <c r="B603" t="s">
        <v>27</v>
      </c>
      <c r="C603">
        <v>2009</v>
      </c>
      <c r="D603" t="s">
        <v>9</v>
      </c>
      <c r="E603">
        <v>2500</v>
      </c>
      <c r="F603">
        <v>0</v>
      </c>
    </row>
    <row r="604" spans="1:6" x14ac:dyDescent="0.3">
      <c r="A604" t="s">
        <v>651</v>
      </c>
      <c r="B604" t="s">
        <v>27</v>
      </c>
      <c r="C604">
        <v>2010</v>
      </c>
      <c r="D604" t="s">
        <v>14</v>
      </c>
      <c r="E604">
        <v>3700000</v>
      </c>
      <c r="F604">
        <v>8000000</v>
      </c>
    </row>
    <row r="605" spans="1:6" x14ac:dyDescent="0.3">
      <c r="A605" t="s">
        <v>652</v>
      </c>
      <c r="B605" t="s">
        <v>27</v>
      </c>
      <c r="C605">
        <v>2010</v>
      </c>
      <c r="D605" t="s">
        <v>9</v>
      </c>
      <c r="E605">
        <v>2</v>
      </c>
      <c r="F605">
        <v>0</v>
      </c>
    </row>
    <row r="606" spans="1:6" x14ac:dyDescent="0.3">
      <c r="A606" t="s">
        <v>653</v>
      </c>
      <c r="B606" t="s">
        <v>27</v>
      </c>
      <c r="C606">
        <v>2010</v>
      </c>
      <c r="D606" t="s">
        <v>9</v>
      </c>
      <c r="E606">
        <v>22085</v>
      </c>
      <c r="F606">
        <v>0</v>
      </c>
    </row>
    <row r="607" spans="1:6" x14ac:dyDescent="0.3">
      <c r="A607" t="s">
        <v>654</v>
      </c>
      <c r="B607" t="s">
        <v>27</v>
      </c>
      <c r="C607">
        <v>2010</v>
      </c>
      <c r="D607" t="s">
        <v>9</v>
      </c>
      <c r="E607">
        <v>0</v>
      </c>
      <c r="F607">
        <v>0</v>
      </c>
    </row>
    <row r="608" spans="1:6" x14ac:dyDescent="0.3">
      <c r="A608" t="s">
        <v>655</v>
      </c>
      <c r="B608" t="s">
        <v>27</v>
      </c>
      <c r="C608">
        <v>2010</v>
      </c>
      <c r="D608" t="s">
        <v>2689</v>
      </c>
      <c r="E608">
        <v>73122</v>
      </c>
      <c r="F608">
        <v>0</v>
      </c>
    </row>
    <row r="609" spans="1:6" x14ac:dyDescent="0.3">
      <c r="A609" t="s">
        <v>656</v>
      </c>
      <c r="B609" t="s">
        <v>27</v>
      </c>
      <c r="C609">
        <v>2010</v>
      </c>
      <c r="D609" t="s">
        <v>2689</v>
      </c>
      <c r="E609">
        <v>5020</v>
      </c>
      <c r="F609">
        <v>0</v>
      </c>
    </row>
    <row r="610" spans="1:6" x14ac:dyDescent="0.3">
      <c r="A610" t="s">
        <v>657</v>
      </c>
      <c r="B610" t="s">
        <v>27</v>
      </c>
      <c r="C610">
        <v>2011</v>
      </c>
      <c r="D610" t="s">
        <v>9</v>
      </c>
      <c r="E610">
        <v>2358</v>
      </c>
      <c r="F610">
        <v>0</v>
      </c>
    </row>
    <row r="611" spans="1:6" x14ac:dyDescent="0.3">
      <c r="A611" t="s">
        <v>658</v>
      </c>
      <c r="B611" t="s">
        <v>27</v>
      </c>
      <c r="C611">
        <v>2011</v>
      </c>
      <c r="D611" t="s">
        <v>9</v>
      </c>
      <c r="E611">
        <v>2080</v>
      </c>
      <c r="F611">
        <v>0</v>
      </c>
    </row>
    <row r="612" spans="1:6" x14ac:dyDescent="0.3">
      <c r="A612" t="s">
        <v>659</v>
      </c>
      <c r="B612" t="s">
        <v>27</v>
      </c>
      <c r="C612">
        <v>2011</v>
      </c>
      <c r="D612" t="s">
        <v>2689</v>
      </c>
      <c r="E612">
        <v>1500</v>
      </c>
      <c r="F612">
        <v>0</v>
      </c>
    </row>
    <row r="613" spans="1:6" x14ac:dyDescent="0.3">
      <c r="A613" t="s">
        <v>660</v>
      </c>
      <c r="B613" t="s">
        <v>27</v>
      </c>
      <c r="C613">
        <v>2011</v>
      </c>
      <c r="D613" t="s">
        <v>2689</v>
      </c>
      <c r="E613">
        <v>1544</v>
      </c>
      <c r="F613">
        <v>0</v>
      </c>
    </row>
    <row r="614" spans="1:6" x14ac:dyDescent="0.3">
      <c r="A614" t="s">
        <v>661</v>
      </c>
      <c r="B614" t="s">
        <v>27</v>
      </c>
      <c r="C614">
        <v>2012</v>
      </c>
      <c r="D614" t="s">
        <v>9</v>
      </c>
      <c r="E614">
        <v>11000</v>
      </c>
      <c r="F614">
        <v>0</v>
      </c>
    </row>
    <row r="615" spans="1:6" x14ac:dyDescent="0.3">
      <c r="A615" t="s">
        <v>662</v>
      </c>
      <c r="B615" t="s">
        <v>27</v>
      </c>
      <c r="C615">
        <v>2012</v>
      </c>
      <c r="D615" t="s">
        <v>9</v>
      </c>
      <c r="E615">
        <v>7600</v>
      </c>
      <c r="F615">
        <v>0</v>
      </c>
    </row>
    <row r="616" spans="1:6" x14ac:dyDescent="0.3">
      <c r="A616" t="s">
        <v>663</v>
      </c>
      <c r="B616" t="s">
        <v>27</v>
      </c>
      <c r="C616">
        <v>2012</v>
      </c>
      <c r="D616" t="s">
        <v>9</v>
      </c>
      <c r="E616">
        <v>7865</v>
      </c>
      <c r="F616">
        <v>0</v>
      </c>
    </row>
    <row r="617" spans="1:6" x14ac:dyDescent="0.3">
      <c r="A617" t="s">
        <v>664</v>
      </c>
      <c r="B617" t="s">
        <v>27</v>
      </c>
      <c r="C617">
        <v>2012</v>
      </c>
      <c r="D617" t="s">
        <v>2689</v>
      </c>
      <c r="E617">
        <v>8007</v>
      </c>
      <c r="F617">
        <v>0</v>
      </c>
    </row>
    <row r="618" spans="1:6" x14ac:dyDescent="0.3">
      <c r="A618" t="s">
        <v>665</v>
      </c>
      <c r="B618" t="s">
        <v>27</v>
      </c>
      <c r="C618">
        <v>2012</v>
      </c>
      <c r="D618" t="s">
        <v>2689</v>
      </c>
      <c r="E618">
        <v>201850</v>
      </c>
      <c r="F618">
        <v>254000</v>
      </c>
    </row>
    <row r="619" spans="1:6" x14ac:dyDescent="0.3">
      <c r="A619" t="s">
        <v>666</v>
      </c>
      <c r="B619" t="s">
        <v>27</v>
      </c>
      <c r="C619">
        <v>2013</v>
      </c>
      <c r="D619" t="s">
        <v>9</v>
      </c>
      <c r="E619">
        <v>33265</v>
      </c>
      <c r="F619">
        <v>0</v>
      </c>
    </row>
    <row r="620" spans="1:6" x14ac:dyDescent="0.3">
      <c r="A620" t="s">
        <v>667</v>
      </c>
      <c r="B620" t="s">
        <v>27</v>
      </c>
      <c r="C620">
        <v>2014</v>
      </c>
      <c r="D620" t="s">
        <v>7</v>
      </c>
      <c r="E620">
        <v>1000000</v>
      </c>
      <c r="F620">
        <v>2000</v>
      </c>
    </row>
    <row r="621" spans="1:6" x14ac:dyDescent="0.3">
      <c r="A621" t="s">
        <v>668</v>
      </c>
      <c r="B621" t="s">
        <v>27</v>
      </c>
      <c r="C621">
        <v>2014</v>
      </c>
      <c r="D621" t="s">
        <v>9</v>
      </c>
      <c r="E621">
        <v>30000</v>
      </c>
      <c r="F621">
        <v>0</v>
      </c>
    </row>
    <row r="622" spans="1:6" x14ac:dyDescent="0.3">
      <c r="A622" t="s">
        <v>669</v>
      </c>
      <c r="B622" t="s">
        <v>27</v>
      </c>
      <c r="C622">
        <v>2015</v>
      </c>
      <c r="D622" t="s">
        <v>9</v>
      </c>
      <c r="E622">
        <v>45000</v>
      </c>
      <c r="F622">
        <v>0</v>
      </c>
    </row>
    <row r="623" spans="1:6" x14ac:dyDescent="0.3">
      <c r="A623" t="s">
        <v>670</v>
      </c>
      <c r="B623" t="s">
        <v>27</v>
      </c>
      <c r="C623">
        <v>2015</v>
      </c>
      <c r="D623" t="s">
        <v>2689</v>
      </c>
      <c r="E623">
        <v>1969</v>
      </c>
      <c r="F623">
        <v>0</v>
      </c>
    </row>
    <row r="624" spans="1:6" x14ac:dyDescent="0.3">
      <c r="A624" t="s">
        <v>671</v>
      </c>
      <c r="B624" t="s">
        <v>27</v>
      </c>
      <c r="C624">
        <v>2016</v>
      </c>
      <c r="D624" t="s">
        <v>7</v>
      </c>
      <c r="E624">
        <v>3600000</v>
      </c>
      <c r="F624">
        <v>84000</v>
      </c>
    </row>
    <row r="625" spans="1:6" x14ac:dyDescent="0.3">
      <c r="A625" t="s">
        <v>672</v>
      </c>
      <c r="B625" t="s">
        <v>27</v>
      </c>
      <c r="C625">
        <v>2016</v>
      </c>
      <c r="D625" t="s">
        <v>9</v>
      </c>
      <c r="E625">
        <v>48280</v>
      </c>
      <c r="F625">
        <v>2000</v>
      </c>
    </row>
    <row r="626" spans="1:6" x14ac:dyDescent="0.3">
      <c r="A626" t="s">
        <v>673</v>
      </c>
      <c r="B626" t="s">
        <v>27</v>
      </c>
      <c r="C626">
        <v>2016</v>
      </c>
      <c r="D626" t="s">
        <v>9</v>
      </c>
      <c r="E626">
        <v>22070</v>
      </c>
      <c r="F626">
        <v>0</v>
      </c>
    </row>
    <row r="627" spans="1:6" x14ac:dyDescent="0.3">
      <c r="A627" t="s">
        <v>674</v>
      </c>
      <c r="B627" t="s">
        <v>27</v>
      </c>
      <c r="C627">
        <v>2016</v>
      </c>
      <c r="D627" t="s">
        <v>9</v>
      </c>
      <c r="E627">
        <v>0</v>
      </c>
      <c r="F627">
        <v>0</v>
      </c>
    </row>
    <row r="628" spans="1:6" x14ac:dyDescent="0.3">
      <c r="A628" t="s">
        <v>675</v>
      </c>
      <c r="B628" t="s">
        <v>27</v>
      </c>
      <c r="C628">
        <v>2016</v>
      </c>
      <c r="D628" t="s">
        <v>9</v>
      </c>
      <c r="E628">
        <v>3000</v>
      </c>
      <c r="F628">
        <v>0</v>
      </c>
    </row>
    <row r="629" spans="1:6" x14ac:dyDescent="0.3">
      <c r="A629" t="s">
        <v>676</v>
      </c>
      <c r="B629" t="s">
        <v>27</v>
      </c>
      <c r="C629">
        <v>2016</v>
      </c>
      <c r="D629" t="s">
        <v>9</v>
      </c>
      <c r="E629">
        <v>18373</v>
      </c>
      <c r="F629">
        <v>0</v>
      </c>
    </row>
    <row r="630" spans="1:6" x14ac:dyDescent="0.3">
      <c r="A630" t="s">
        <v>677</v>
      </c>
      <c r="B630" t="s">
        <v>27</v>
      </c>
      <c r="C630">
        <v>2016</v>
      </c>
      <c r="D630" t="s">
        <v>9</v>
      </c>
      <c r="E630">
        <v>2782</v>
      </c>
      <c r="F630">
        <v>0</v>
      </c>
    </row>
    <row r="631" spans="1:6" x14ac:dyDescent="0.3">
      <c r="A631" t="s">
        <v>678</v>
      </c>
      <c r="B631" t="s">
        <v>27</v>
      </c>
      <c r="C631">
        <v>2016</v>
      </c>
      <c r="D631" t="s">
        <v>2689</v>
      </c>
      <c r="E631">
        <v>2100439</v>
      </c>
      <c r="F631">
        <v>2000000</v>
      </c>
    </row>
    <row r="632" spans="1:6" x14ac:dyDescent="0.3">
      <c r="A632" t="s">
        <v>679</v>
      </c>
      <c r="B632" t="s">
        <v>27</v>
      </c>
      <c r="C632">
        <v>2017</v>
      </c>
      <c r="D632" t="s">
        <v>9</v>
      </c>
      <c r="E632">
        <v>342</v>
      </c>
      <c r="F632">
        <v>0</v>
      </c>
    </row>
    <row r="633" spans="1:6" x14ac:dyDescent="0.3">
      <c r="A633" t="s">
        <v>680</v>
      </c>
      <c r="B633" t="s">
        <v>27</v>
      </c>
      <c r="C633">
        <v>2017</v>
      </c>
      <c r="D633" t="s">
        <v>9</v>
      </c>
      <c r="E633">
        <v>50000</v>
      </c>
      <c r="F633">
        <v>0</v>
      </c>
    </row>
    <row r="634" spans="1:6" x14ac:dyDescent="0.3">
      <c r="A634" t="s">
        <v>681</v>
      </c>
      <c r="B634" t="s">
        <v>27</v>
      </c>
      <c r="C634">
        <v>2017</v>
      </c>
      <c r="D634" t="s">
        <v>2689</v>
      </c>
      <c r="E634">
        <v>0</v>
      </c>
      <c r="F634">
        <v>0</v>
      </c>
    </row>
    <row r="635" spans="1:6" x14ac:dyDescent="0.3">
      <c r="A635" t="s">
        <v>682</v>
      </c>
      <c r="B635" t="s">
        <v>27</v>
      </c>
      <c r="C635">
        <v>2017</v>
      </c>
      <c r="D635" t="s">
        <v>2689</v>
      </c>
      <c r="E635">
        <v>40092</v>
      </c>
      <c r="F635">
        <v>0</v>
      </c>
    </row>
    <row r="636" spans="1:6" x14ac:dyDescent="0.3">
      <c r="A636" t="s">
        <v>683</v>
      </c>
      <c r="B636" t="s">
        <v>27</v>
      </c>
      <c r="C636">
        <v>2017</v>
      </c>
      <c r="D636" t="s">
        <v>2689</v>
      </c>
      <c r="E636">
        <v>0</v>
      </c>
      <c r="F636">
        <v>0</v>
      </c>
    </row>
    <row r="637" spans="1:6" x14ac:dyDescent="0.3">
      <c r="A637" t="s">
        <v>684</v>
      </c>
      <c r="B637" t="s">
        <v>27</v>
      </c>
      <c r="C637">
        <v>2018</v>
      </c>
      <c r="D637" t="s">
        <v>14</v>
      </c>
      <c r="E637">
        <v>39336</v>
      </c>
      <c r="F637">
        <v>0</v>
      </c>
    </row>
    <row r="638" spans="1:6" x14ac:dyDescent="0.3">
      <c r="A638" t="s">
        <v>685</v>
      </c>
      <c r="B638" t="s">
        <v>27</v>
      </c>
      <c r="C638">
        <v>2019</v>
      </c>
      <c r="D638" t="s">
        <v>9</v>
      </c>
      <c r="E638">
        <v>3108</v>
      </c>
      <c r="F638">
        <v>0</v>
      </c>
    </row>
    <row r="639" spans="1:6" x14ac:dyDescent="0.3">
      <c r="A639" t="s">
        <v>686</v>
      </c>
      <c r="B639" t="s">
        <v>27</v>
      </c>
      <c r="C639">
        <v>2019</v>
      </c>
      <c r="D639" t="s">
        <v>9</v>
      </c>
      <c r="E639">
        <v>1325</v>
      </c>
      <c r="F639">
        <v>0</v>
      </c>
    </row>
    <row r="640" spans="1:6" x14ac:dyDescent="0.3">
      <c r="A640" t="s">
        <v>687</v>
      </c>
      <c r="B640" t="s">
        <v>27</v>
      </c>
      <c r="C640">
        <v>2020</v>
      </c>
      <c r="D640" t="s">
        <v>2689</v>
      </c>
      <c r="E640">
        <v>44175</v>
      </c>
      <c r="F640">
        <v>0</v>
      </c>
    </row>
    <row r="641" spans="1:6" x14ac:dyDescent="0.3">
      <c r="A641" t="s">
        <v>688</v>
      </c>
      <c r="B641" t="s">
        <v>27</v>
      </c>
      <c r="C641">
        <v>2021</v>
      </c>
      <c r="D641" t="s">
        <v>14</v>
      </c>
      <c r="E641">
        <v>702763</v>
      </c>
      <c r="F641">
        <v>1620071</v>
      </c>
    </row>
    <row r="642" spans="1:6" x14ac:dyDescent="0.3">
      <c r="A642" t="s">
        <v>689</v>
      </c>
      <c r="B642" t="s">
        <v>27</v>
      </c>
      <c r="C642">
        <v>2021</v>
      </c>
      <c r="D642" t="s">
        <v>9</v>
      </c>
      <c r="E642">
        <v>13380</v>
      </c>
      <c r="F642">
        <v>0</v>
      </c>
    </row>
    <row r="643" spans="1:6" x14ac:dyDescent="0.3">
      <c r="A643" t="s">
        <v>690</v>
      </c>
      <c r="B643" t="s">
        <v>27</v>
      </c>
      <c r="C643">
        <v>2021</v>
      </c>
      <c r="D643" t="s">
        <v>2689</v>
      </c>
      <c r="E643">
        <v>3</v>
      </c>
      <c r="F643">
        <v>0</v>
      </c>
    </row>
    <row r="644" spans="1:6" x14ac:dyDescent="0.3">
      <c r="A644" t="s">
        <v>691</v>
      </c>
      <c r="B644" t="s">
        <v>27</v>
      </c>
      <c r="C644">
        <v>2021</v>
      </c>
      <c r="D644" t="s">
        <v>2689</v>
      </c>
      <c r="E644">
        <v>0</v>
      </c>
      <c r="F644">
        <v>0</v>
      </c>
    </row>
    <row r="645" spans="1:6" x14ac:dyDescent="0.3">
      <c r="A645" t="s">
        <v>692</v>
      </c>
      <c r="B645" t="s">
        <v>27</v>
      </c>
      <c r="C645">
        <v>2022</v>
      </c>
      <c r="D645" t="s">
        <v>14</v>
      </c>
      <c r="E645">
        <v>1017</v>
      </c>
      <c r="F645">
        <v>0</v>
      </c>
    </row>
    <row r="646" spans="1:6" x14ac:dyDescent="0.3">
      <c r="A646" t="s">
        <v>693</v>
      </c>
      <c r="B646" t="s">
        <v>27</v>
      </c>
      <c r="C646">
        <v>2022</v>
      </c>
      <c r="D646" t="s">
        <v>9</v>
      </c>
      <c r="E646">
        <v>12500</v>
      </c>
      <c r="F646">
        <v>0</v>
      </c>
    </row>
    <row r="647" spans="1:6" x14ac:dyDescent="0.3">
      <c r="A647" t="s">
        <v>694</v>
      </c>
      <c r="B647" t="s">
        <v>27</v>
      </c>
      <c r="C647">
        <v>2022</v>
      </c>
      <c r="D647" t="s">
        <v>9</v>
      </c>
      <c r="E647">
        <v>500</v>
      </c>
      <c r="F647">
        <v>0</v>
      </c>
    </row>
    <row r="648" spans="1:6" x14ac:dyDescent="0.3">
      <c r="A648" t="s">
        <v>695</v>
      </c>
      <c r="B648" t="s">
        <v>27</v>
      </c>
      <c r="C648">
        <v>2023</v>
      </c>
      <c r="D648" t="s">
        <v>9</v>
      </c>
      <c r="E648">
        <v>225143</v>
      </c>
      <c r="F648">
        <v>420000</v>
      </c>
    </row>
    <row r="649" spans="1:6" x14ac:dyDescent="0.3">
      <c r="A649" t="s">
        <v>696</v>
      </c>
      <c r="B649" t="s">
        <v>27</v>
      </c>
      <c r="C649">
        <v>2023</v>
      </c>
      <c r="D649" t="s">
        <v>9</v>
      </c>
      <c r="E649">
        <v>0</v>
      </c>
      <c r="F649">
        <v>0</v>
      </c>
    </row>
    <row r="650" spans="1:6" x14ac:dyDescent="0.3">
      <c r="A650" t="s">
        <v>697</v>
      </c>
      <c r="B650" t="s">
        <v>27</v>
      </c>
      <c r="C650">
        <v>2024</v>
      </c>
      <c r="D650" t="s">
        <v>9</v>
      </c>
      <c r="E650">
        <v>17790</v>
      </c>
      <c r="F650">
        <v>0</v>
      </c>
    </row>
    <row r="651" spans="1:6" x14ac:dyDescent="0.3">
      <c r="A651" t="s">
        <v>698</v>
      </c>
      <c r="B651" t="s">
        <v>27</v>
      </c>
      <c r="C651">
        <v>2024</v>
      </c>
      <c r="D651" t="s">
        <v>9</v>
      </c>
      <c r="E651">
        <v>155025</v>
      </c>
      <c r="F651">
        <v>0</v>
      </c>
    </row>
    <row r="652" spans="1:6" x14ac:dyDescent="0.3">
      <c r="A652" t="s">
        <v>699</v>
      </c>
      <c r="B652" t="s">
        <v>27</v>
      </c>
      <c r="C652">
        <v>2024</v>
      </c>
      <c r="D652" t="s">
        <v>9</v>
      </c>
      <c r="E652">
        <v>1015</v>
      </c>
      <c r="F652">
        <v>0</v>
      </c>
    </row>
    <row r="653" spans="1:6" x14ac:dyDescent="0.3">
      <c r="A653" t="s">
        <v>700</v>
      </c>
      <c r="B653" t="s">
        <v>27</v>
      </c>
      <c r="C653">
        <v>2024</v>
      </c>
      <c r="D653" t="s">
        <v>2689</v>
      </c>
      <c r="E653">
        <v>0</v>
      </c>
      <c r="F653">
        <v>0</v>
      </c>
    </row>
    <row r="654" spans="1:6" x14ac:dyDescent="0.3">
      <c r="A654" t="s">
        <v>701</v>
      </c>
      <c r="B654" t="s">
        <v>23</v>
      </c>
      <c r="C654">
        <v>2001</v>
      </c>
      <c r="D654" t="s">
        <v>7</v>
      </c>
      <c r="E654">
        <v>195000</v>
      </c>
      <c r="F654">
        <v>0</v>
      </c>
    </row>
    <row r="655" spans="1:6" x14ac:dyDescent="0.3">
      <c r="A655" t="s">
        <v>702</v>
      </c>
      <c r="B655" t="s">
        <v>23</v>
      </c>
      <c r="C655">
        <v>2001</v>
      </c>
      <c r="D655" t="s">
        <v>2689</v>
      </c>
      <c r="E655">
        <v>86321</v>
      </c>
      <c r="F655">
        <v>5000</v>
      </c>
    </row>
    <row r="656" spans="1:6" x14ac:dyDescent="0.3">
      <c r="A656" t="s">
        <v>703</v>
      </c>
      <c r="B656" t="s">
        <v>23</v>
      </c>
      <c r="C656">
        <v>2002</v>
      </c>
      <c r="D656" t="s">
        <v>7</v>
      </c>
      <c r="E656">
        <v>220000</v>
      </c>
      <c r="F656">
        <v>0</v>
      </c>
    </row>
    <row r="657" spans="1:6" x14ac:dyDescent="0.3">
      <c r="A657" t="s">
        <v>704</v>
      </c>
      <c r="B657" t="s">
        <v>23</v>
      </c>
      <c r="C657">
        <v>2002</v>
      </c>
      <c r="D657" t="s">
        <v>9</v>
      </c>
      <c r="E657">
        <v>969</v>
      </c>
      <c r="F657">
        <v>100000</v>
      </c>
    </row>
    <row r="658" spans="1:6" x14ac:dyDescent="0.3">
      <c r="A658" t="s">
        <v>705</v>
      </c>
      <c r="B658" t="s">
        <v>23</v>
      </c>
      <c r="C658">
        <v>2002</v>
      </c>
      <c r="D658" t="s">
        <v>9</v>
      </c>
      <c r="E658">
        <v>1720</v>
      </c>
      <c r="F658">
        <v>0</v>
      </c>
    </row>
    <row r="659" spans="1:6" x14ac:dyDescent="0.3">
      <c r="A659" t="s">
        <v>706</v>
      </c>
      <c r="B659" t="s">
        <v>23</v>
      </c>
      <c r="C659">
        <v>2003</v>
      </c>
      <c r="D659" t="s">
        <v>9</v>
      </c>
      <c r="E659">
        <v>105</v>
      </c>
      <c r="F659">
        <v>0</v>
      </c>
    </row>
    <row r="660" spans="1:6" x14ac:dyDescent="0.3">
      <c r="A660" t="s">
        <v>707</v>
      </c>
      <c r="B660" t="s">
        <v>23</v>
      </c>
      <c r="C660">
        <v>2003</v>
      </c>
      <c r="D660" t="s">
        <v>9</v>
      </c>
      <c r="E660">
        <v>3000</v>
      </c>
      <c r="F660">
        <v>20000</v>
      </c>
    </row>
    <row r="661" spans="1:6" x14ac:dyDescent="0.3">
      <c r="A661" t="s">
        <v>708</v>
      </c>
      <c r="B661" t="s">
        <v>23</v>
      </c>
      <c r="C661">
        <v>2004</v>
      </c>
      <c r="D661" t="s">
        <v>7</v>
      </c>
      <c r="E661">
        <v>137500</v>
      </c>
      <c r="F661">
        <v>0</v>
      </c>
    </row>
    <row r="662" spans="1:6" x14ac:dyDescent="0.3">
      <c r="A662" t="s">
        <v>709</v>
      </c>
      <c r="B662" t="s">
        <v>23</v>
      </c>
      <c r="C662">
        <v>2005</v>
      </c>
      <c r="D662" t="s">
        <v>9</v>
      </c>
      <c r="E662">
        <v>800</v>
      </c>
      <c r="F662">
        <v>0</v>
      </c>
    </row>
    <row r="663" spans="1:6" x14ac:dyDescent="0.3">
      <c r="A663" t="s">
        <v>710</v>
      </c>
      <c r="B663" t="s">
        <v>23</v>
      </c>
      <c r="C663">
        <v>2005</v>
      </c>
      <c r="D663" t="s">
        <v>2689</v>
      </c>
      <c r="E663">
        <v>2869</v>
      </c>
      <c r="F663">
        <v>100000</v>
      </c>
    </row>
    <row r="664" spans="1:6" x14ac:dyDescent="0.3">
      <c r="A664" t="s">
        <v>711</v>
      </c>
      <c r="B664" t="s">
        <v>23</v>
      </c>
      <c r="C664">
        <v>2005</v>
      </c>
      <c r="D664" t="s">
        <v>2689</v>
      </c>
      <c r="E664">
        <v>0</v>
      </c>
      <c r="F664">
        <v>0</v>
      </c>
    </row>
    <row r="665" spans="1:6" x14ac:dyDescent="0.3">
      <c r="A665" t="s">
        <v>712</v>
      </c>
      <c r="B665" t="s">
        <v>23</v>
      </c>
      <c r="C665">
        <v>2005</v>
      </c>
      <c r="D665" t="s">
        <v>2689</v>
      </c>
      <c r="E665">
        <v>11000</v>
      </c>
      <c r="F665">
        <v>0</v>
      </c>
    </row>
    <row r="666" spans="1:6" x14ac:dyDescent="0.3">
      <c r="A666" t="s">
        <v>713</v>
      </c>
      <c r="B666" t="s">
        <v>23</v>
      </c>
      <c r="C666">
        <v>2005</v>
      </c>
      <c r="D666" t="s">
        <v>2689</v>
      </c>
      <c r="E666">
        <v>90000</v>
      </c>
      <c r="F666">
        <v>15500</v>
      </c>
    </row>
    <row r="667" spans="1:6" x14ac:dyDescent="0.3">
      <c r="A667" t="s">
        <v>714</v>
      </c>
      <c r="B667" t="s">
        <v>23</v>
      </c>
      <c r="C667">
        <v>2006</v>
      </c>
      <c r="D667" t="s">
        <v>9</v>
      </c>
      <c r="E667">
        <v>1500</v>
      </c>
      <c r="F667">
        <v>8000</v>
      </c>
    </row>
    <row r="668" spans="1:6" x14ac:dyDescent="0.3">
      <c r="A668" t="s">
        <v>715</v>
      </c>
      <c r="B668" t="s">
        <v>23</v>
      </c>
      <c r="C668">
        <v>2007</v>
      </c>
      <c r="D668" t="s">
        <v>14</v>
      </c>
      <c r="E668">
        <v>1883</v>
      </c>
      <c r="F668">
        <v>0</v>
      </c>
    </row>
    <row r="669" spans="1:6" x14ac:dyDescent="0.3">
      <c r="A669" t="s">
        <v>716</v>
      </c>
      <c r="B669" t="s">
        <v>23</v>
      </c>
      <c r="C669">
        <v>2007</v>
      </c>
      <c r="D669" t="s">
        <v>9</v>
      </c>
      <c r="E669">
        <v>15000</v>
      </c>
      <c r="F669">
        <v>0</v>
      </c>
    </row>
    <row r="670" spans="1:6" x14ac:dyDescent="0.3">
      <c r="A670" t="s">
        <v>717</v>
      </c>
      <c r="B670" t="s">
        <v>23</v>
      </c>
      <c r="C670">
        <v>2007</v>
      </c>
      <c r="D670" t="s">
        <v>9</v>
      </c>
      <c r="E670">
        <v>500</v>
      </c>
      <c r="F670">
        <v>0</v>
      </c>
    </row>
    <row r="671" spans="1:6" x14ac:dyDescent="0.3">
      <c r="A671" t="s">
        <v>718</v>
      </c>
      <c r="B671" t="s">
        <v>23</v>
      </c>
      <c r="C671">
        <v>2007</v>
      </c>
      <c r="D671" t="s">
        <v>2689</v>
      </c>
      <c r="E671">
        <v>19500</v>
      </c>
      <c r="F671">
        <v>6579</v>
      </c>
    </row>
    <row r="672" spans="1:6" x14ac:dyDescent="0.3">
      <c r="A672" t="s">
        <v>719</v>
      </c>
      <c r="B672" t="s">
        <v>23</v>
      </c>
      <c r="C672">
        <v>2008</v>
      </c>
      <c r="D672" t="s">
        <v>9</v>
      </c>
      <c r="E672">
        <v>313357</v>
      </c>
      <c r="F672">
        <v>0</v>
      </c>
    </row>
    <row r="673" spans="1:6" x14ac:dyDescent="0.3">
      <c r="A673" t="s">
        <v>720</v>
      </c>
      <c r="B673" t="s">
        <v>23</v>
      </c>
      <c r="C673">
        <v>2008</v>
      </c>
      <c r="D673" t="s">
        <v>2689</v>
      </c>
      <c r="E673">
        <v>0</v>
      </c>
      <c r="F673">
        <v>0</v>
      </c>
    </row>
    <row r="674" spans="1:6" x14ac:dyDescent="0.3">
      <c r="A674" t="s">
        <v>721</v>
      </c>
      <c r="B674" t="s">
        <v>23</v>
      </c>
      <c r="C674">
        <v>2009</v>
      </c>
      <c r="D674" t="s">
        <v>7</v>
      </c>
      <c r="E674">
        <v>45000</v>
      </c>
      <c r="F674">
        <v>0</v>
      </c>
    </row>
    <row r="675" spans="1:6" x14ac:dyDescent="0.3">
      <c r="A675" t="s">
        <v>722</v>
      </c>
      <c r="B675" t="s">
        <v>23</v>
      </c>
      <c r="C675">
        <v>2009</v>
      </c>
      <c r="D675" t="s">
        <v>14</v>
      </c>
      <c r="E675">
        <v>50136</v>
      </c>
      <c r="F675">
        <v>100000</v>
      </c>
    </row>
    <row r="676" spans="1:6" x14ac:dyDescent="0.3">
      <c r="A676" t="s">
        <v>723</v>
      </c>
      <c r="B676" t="s">
        <v>23</v>
      </c>
      <c r="C676">
        <v>2010</v>
      </c>
      <c r="D676" t="s">
        <v>9</v>
      </c>
      <c r="E676">
        <v>1610</v>
      </c>
      <c r="F676">
        <v>0</v>
      </c>
    </row>
    <row r="677" spans="1:6" x14ac:dyDescent="0.3">
      <c r="A677" t="s">
        <v>724</v>
      </c>
      <c r="B677" t="s">
        <v>23</v>
      </c>
      <c r="C677">
        <v>2010</v>
      </c>
      <c r="D677" t="s">
        <v>9</v>
      </c>
      <c r="E677">
        <v>3400</v>
      </c>
      <c r="F677">
        <v>0</v>
      </c>
    </row>
    <row r="678" spans="1:6" x14ac:dyDescent="0.3">
      <c r="A678" t="s">
        <v>725</v>
      </c>
      <c r="B678" t="s">
        <v>23</v>
      </c>
      <c r="C678">
        <v>2010</v>
      </c>
      <c r="D678" t="s">
        <v>2689</v>
      </c>
      <c r="E678">
        <v>24675</v>
      </c>
      <c r="F678">
        <v>90000</v>
      </c>
    </row>
    <row r="679" spans="1:6" x14ac:dyDescent="0.3">
      <c r="A679" t="s">
        <v>726</v>
      </c>
      <c r="B679" t="s">
        <v>23</v>
      </c>
      <c r="C679">
        <v>2010</v>
      </c>
      <c r="D679" t="s">
        <v>2689</v>
      </c>
      <c r="E679">
        <v>0</v>
      </c>
      <c r="F679">
        <v>0</v>
      </c>
    </row>
    <row r="680" spans="1:6" x14ac:dyDescent="0.3">
      <c r="A680" t="s">
        <v>727</v>
      </c>
      <c r="B680" t="s">
        <v>23</v>
      </c>
      <c r="C680">
        <v>2011</v>
      </c>
      <c r="D680" t="s">
        <v>9</v>
      </c>
      <c r="E680">
        <v>69798</v>
      </c>
      <c r="F680">
        <v>0</v>
      </c>
    </row>
    <row r="681" spans="1:6" x14ac:dyDescent="0.3">
      <c r="A681" t="s">
        <v>728</v>
      </c>
      <c r="B681" t="s">
        <v>23</v>
      </c>
      <c r="C681">
        <v>2012</v>
      </c>
      <c r="D681" t="s">
        <v>7</v>
      </c>
      <c r="E681">
        <v>125000</v>
      </c>
      <c r="F681">
        <v>0</v>
      </c>
    </row>
    <row r="682" spans="1:6" x14ac:dyDescent="0.3">
      <c r="A682" t="s">
        <v>729</v>
      </c>
      <c r="B682" t="s">
        <v>23</v>
      </c>
      <c r="C682">
        <v>2014</v>
      </c>
      <c r="D682" t="s">
        <v>7</v>
      </c>
      <c r="E682">
        <v>2023000</v>
      </c>
      <c r="F682">
        <v>0</v>
      </c>
    </row>
    <row r="683" spans="1:6" x14ac:dyDescent="0.3">
      <c r="A683" t="s">
        <v>730</v>
      </c>
      <c r="B683" t="s">
        <v>23</v>
      </c>
      <c r="C683">
        <v>2014</v>
      </c>
      <c r="D683" t="s">
        <v>9</v>
      </c>
      <c r="E683">
        <v>20000</v>
      </c>
      <c r="F683">
        <v>0</v>
      </c>
    </row>
    <row r="684" spans="1:6" x14ac:dyDescent="0.3">
      <c r="A684" t="s">
        <v>731</v>
      </c>
      <c r="B684" t="s">
        <v>23</v>
      </c>
      <c r="C684">
        <v>2014</v>
      </c>
      <c r="D684" t="s">
        <v>9</v>
      </c>
      <c r="E684">
        <v>3000</v>
      </c>
      <c r="F684">
        <v>1400</v>
      </c>
    </row>
    <row r="685" spans="1:6" x14ac:dyDescent="0.3">
      <c r="A685" t="s">
        <v>732</v>
      </c>
      <c r="B685" t="s">
        <v>23</v>
      </c>
      <c r="C685">
        <v>2016</v>
      </c>
      <c r="D685" t="s">
        <v>9</v>
      </c>
      <c r="E685">
        <v>450000</v>
      </c>
      <c r="F685">
        <v>0</v>
      </c>
    </row>
    <row r="686" spans="1:6" x14ac:dyDescent="0.3">
      <c r="A686" t="s">
        <v>733</v>
      </c>
      <c r="B686" t="s">
        <v>23</v>
      </c>
      <c r="C686">
        <v>2016</v>
      </c>
      <c r="D686" t="s">
        <v>2689</v>
      </c>
      <c r="E686">
        <v>151</v>
      </c>
      <c r="F686">
        <v>0</v>
      </c>
    </row>
    <row r="687" spans="1:6" x14ac:dyDescent="0.3">
      <c r="A687" t="s">
        <v>734</v>
      </c>
      <c r="B687" t="s">
        <v>23</v>
      </c>
      <c r="C687">
        <v>2017</v>
      </c>
      <c r="D687" t="s">
        <v>9</v>
      </c>
      <c r="E687">
        <v>645</v>
      </c>
      <c r="F687">
        <v>0</v>
      </c>
    </row>
    <row r="688" spans="1:6" x14ac:dyDescent="0.3">
      <c r="A688" t="s">
        <v>735</v>
      </c>
      <c r="B688" t="s">
        <v>23</v>
      </c>
      <c r="C688">
        <v>2017</v>
      </c>
      <c r="D688" t="s">
        <v>9</v>
      </c>
      <c r="E688">
        <v>400</v>
      </c>
      <c r="F688">
        <v>0</v>
      </c>
    </row>
    <row r="689" spans="1:6" x14ac:dyDescent="0.3">
      <c r="A689" t="s">
        <v>736</v>
      </c>
      <c r="B689" t="s">
        <v>23</v>
      </c>
      <c r="C689">
        <v>2017</v>
      </c>
      <c r="D689" t="s">
        <v>9</v>
      </c>
      <c r="E689">
        <v>46975</v>
      </c>
      <c r="F689">
        <v>0</v>
      </c>
    </row>
    <row r="690" spans="1:6" x14ac:dyDescent="0.3">
      <c r="A690" t="s">
        <v>737</v>
      </c>
      <c r="B690" t="s">
        <v>23</v>
      </c>
      <c r="C690">
        <v>2017</v>
      </c>
      <c r="D690" t="s">
        <v>2689</v>
      </c>
      <c r="E690">
        <v>120</v>
      </c>
      <c r="F690">
        <v>0</v>
      </c>
    </row>
    <row r="691" spans="1:6" x14ac:dyDescent="0.3">
      <c r="A691" t="s">
        <v>738</v>
      </c>
      <c r="B691" t="s">
        <v>23</v>
      </c>
      <c r="C691">
        <v>2018</v>
      </c>
      <c r="D691" t="s">
        <v>7</v>
      </c>
      <c r="E691">
        <v>360000</v>
      </c>
      <c r="F691">
        <v>0</v>
      </c>
    </row>
    <row r="692" spans="1:6" x14ac:dyDescent="0.3">
      <c r="A692" t="s">
        <v>739</v>
      </c>
      <c r="B692" t="s">
        <v>23</v>
      </c>
      <c r="C692">
        <v>2018</v>
      </c>
      <c r="D692" t="s">
        <v>9</v>
      </c>
      <c r="E692">
        <v>6948</v>
      </c>
      <c r="F692">
        <v>0</v>
      </c>
    </row>
    <row r="693" spans="1:6" x14ac:dyDescent="0.3">
      <c r="A693" t="s">
        <v>740</v>
      </c>
      <c r="B693" t="s">
        <v>23</v>
      </c>
      <c r="C693">
        <v>2020</v>
      </c>
      <c r="D693" t="s">
        <v>9</v>
      </c>
      <c r="E693">
        <v>17700</v>
      </c>
      <c r="F693">
        <v>0</v>
      </c>
    </row>
    <row r="694" spans="1:6" x14ac:dyDescent="0.3">
      <c r="A694" t="s">
        <v>741</v>
      </c>
      <c r="B694" t="s">
        <v>23</v>
      </c>
      <c r="C694">
        <v>2020</v>
      </c>
      <c r="D694" t="s">
        <v>2689</v>
      </c>
      <c r="E694">
        <v>1200</v>
      </c>
      <c r="F694">
        <v>0</v>
      </c>
    </row>
    <row r="695" spans="1:6" x14ac:dyDescent="0.3">
      <c r="A695" t="s">
        <v>742</v>
      </c>
      <c r="B695" t="s">
        <v>23</v>
      </c>
      <c r="C695">
        <v>2020</v>
      </c>
      <c r="D695" t="s">
        <v>2689</v>
      </c>
      <c r="E695">
        <v>4566584</v>
      </c>
      <c r="F695">
        <v>0</v>
      </c>
    </row>
    <row r="696" spans="1:6" x14ac:dyDescent="0.3">
      <c r="A696" t="s">
        <v>743</v>
      </c>
      <c r="B696" t="s">
        <v>23</v>
      </c>
      <c r="C696">
        <v>2020</v>
      </c>
      <c r="D696" t="s">
        <v>2689</v>
      </c>
      <c r="E696">
        <v>578000</v>
      </c>
      <c r="F696">
        <v>0</v>
      </c>
    </row>
    <row r="697" spans="1:6" x14ac:dyDescent="0.3">
      <c r="A697" t="s">
        <v>744</v>
      </c>
      <c r="B697" t="s">
        <v>23</v>
      </c>
      <c r="C697">
        <v>2022</v>
      </c>
      <c r="D697" t="s">
        <v>9</v>
      </c>
      <c r="E697">
        <v>1800</v>
      </c>
      <c r="F697">
        <v>0</v>
      </c>
    </row>
    <row r="698" spans="1:6" x14ac:dyDescent="0.3">
      <c r="A698" t="s">
        <v>745</v>
      </c>
      <c r="B698" t="s">
        <v>23</v>
      </c>
      <c r="C698">
        <v>2022</v>
      </c>
      <c r="D698" t="s">
        <v>9</v>
      </c>
      <c r="E698">
        <v>76657</v>
      </c>
      <c r="F698">
        <v>0</v>
      </c>
    </row>
    <row r="699" spans="1:6" x14ac:dyDescent="0.3">
      <c r="A699" t="s">
        <v>746</v>
      </c>
      <c r="B699" t="s">
        <v>23</v>
      </c>
      <c r="C699">
        <v>2022</v>
      </c>
      <c r="D699" t="s">
        <v>2689</v>
      </c>
      <c r="E699">
        <v>144000</v>
      </c>
      <c r="F699">
        <v>0</v>
      </c>
    </row>
    <row r="700" spans="1:6" x14ac:dyDescent="0.3">
      <c r="A700" t="s">
        <v>747</v>
      </c>
      <c r="B700" t="s">
        <v>23</v>
      </c>
      <c r="C700">
        <v>2023</v>
      </c>
      <c r="D700" t="s">
        <v>7</v>
      </c>
      <c r="E700">
        <v>10300</v>
      </c>
      <c r="F700">
        <v>0</v>
      </c>
    </row>
    <row r="701" spans="1:6" x14ac:dyDescent="0.3">
      <c r="A701" t="s">
        <v>748</v>
      </c>
      <c r="B701" t="s">
        <v>23</v>
      </c>
      <c r="C701">
        <v>2023</v>
      </c>
      <c r="D701" t="s">
        <v>2689</v>
      </c>
      <c r="E701">
        <v>0</v>
      </c>
      <c r="F701">
        <v>0</v>
      </c>
    </row>
    <row r="702" spans="1:6" x14ac:dyDescent="0.3">
      <c r="A702" t="s">
        <v>749</v>
      </c>
      <c r="B702" t="s">
        <v>23</v>
      </c>
      <c r="C702">
        <v>2023</v>
      </c>
      <c r="D702" t="s">
        <v>2689</v>
      </c>
      <c r="E702">
        <v>46658</v>
      </c>
      <c r="F702">
        <v>0</v>
      </c>
    </row>
    <row r="703" spans="1:6" x14ac:dyDescent="0.3">
      <c r="A703" t="s">
        <v>750</v>
      </c>
      <c r="B703" t="s">
        <v>23</v>
      </c>
      <c r="C703">
        <v>2024</v>
      </c>
      <c r="D703" t="s">
        <v>2689</v>
      </c>
      <c r="E703">
        <v>1500</v>
      </c>
      <c r="F703">
        <v>0</v>
      </c>
    </row>
    <row r="704" spans="1:6" x14ac:dyDescent="0.3">
      <c r="A704" t="s">
        <v>751</v>
      </c>
      <c r="B704" t="s">
        <v>23</v>
      </c>
      <c r="C704">
        <v>2024</v>
      </c>
      <c r="D704" t="s">
        <v>2689</v>
      </c>
      <c r="E704">
        <v>127716</v>
      </c>
      <c r="F704">
        <v>0</v>
      </c>
    </row>
    <row r="705" spans="1:6" x14ac:dyDescent="0.3">
      <c r="A705" t="s">
        <v>752</v>
      </c>
      <c r="B705" t="s">
        <v>16</v>
      </c>
      <c r="C705">
        <v>2001</v>
      </c>
      <c r="D705" t="s">
        <v>14</v>
      </c>
      <c r="E705">
        <v>6321812</v>
      </c>
      <c r="F705">
        <v>2623000</v>
      </c>
    </row>
    <row r="706" spans="1:6" x14ac:dyDescent="0.3">
      <c r="A706" t="s">
        <v>753</v>
      </c>
      <c r="B706" t="s">
        <v>16</v>
      </c>
      <c r="C706">
        <v>2001</v>
      </c>
      <c r="D706" t="s">
        <v>9</v>
      </c>
      <c r="E706">
        <v>700000</v>
      </c>
      <c r="F706">
        <v>0</v>
      </c>
    </row>
    <row r="707" spans="1:6" x14ac:dyDescent="0.3">
      <c r="A707" t="s">
        <v>754</v>
      </c>
      <c r="B707" t="s">
        <v>16</v>
      </c>
      <c r="C707">
        <v>2001</v>
      </c>
      <c r="D707" t="s">
        <v>9</v>
      </c>
      <c r="E707">
        <v>9670000</v>
      </c>
      <c r="F707">
        <v>90000</v>
      </c>
    </row>
    <row r="708" spans="1:6" x14ac:dyDescent="0.3">
      <c r="A708" t="s">
        <v>755</v>
      </c>
      <c r="B708" t="s">
        <v>16</v>
      </c>
      <c r="C708">
        <v>2001</v>
      </c>
      <c r="D708" t="s">
        <v>9</v>
      </c>
      <c r="E708">
        <v>4</v>
      </c>
      <c r="F708">
        <v>0</v>
      </c>
    </row>
    <row r="709" spans="1:6" x14ac:dyDescent="0.3">
      <c r="A709" t="s">
        <v>756</v>
      </c>
      <c r="B709" t="s">
        <v>16</v>
      </c>
      <c r="C709">
        <v>2001</v>
      </c>
      <c r="D709" t="s">
        <v>9</v>
      </c>
      <c r="E709">
        <v>40000</v>
      </c>
      <c r="F709">
        <v>116924</v>
      </c>
    </row>
    <row r="710" spans="1:6" x14ac:dyDescent="0.3">
      <c r="A710" t="s">
        <v>757</v>
      </c>
      <c r="B710" t="s">
        <v>16</v>
      </c>
      <c r="C710">
        <v>2001</v>
      </c>
      <c r="D710" t="s">
        <v>9</v>
      </c>
      <c r="E710">
        <v>400000</v>
      </c>
      <c r="F710">
        <v>0</v>
      </c>
    </row>
    <row r="711" spans="1:6" x14ac:dyDescent="0.3">
      <c r="A711" t="s">
        <v>758</v>
      </c>
      <c r="B711" t="s">
        <v>16</v>
      </c>
      <c r="C711">
        <v>2001</v>
      </c>
      <c r="D711" t="s">
        <v>9</v>
      </c>
      <c r="E711">
        <v>36</v>
      </c>
      <c r="F711">
        <v>0</v>
      </c>
    </row>
    <row r="712" spans="1:6" x14ac:dyDescent="0.3">
      <c r="A712" t="s">
        <v>759</v>
      </c>
      <c r="B712" t="s">
        <v>16</v>
      </c>
      <c r="C712">
        <v>2001</v>
      </c>
      <c r="D712" t="s">
        <v>9</v>
      </c>
      <c r="E712">
        <v>7000000</v>
      </c>
      <c r="F712">
        <v>26000</v>
      </c>
    </row>
    <row r="713" spans="1:6" x14ac:dyDescent="0.3">
      <c r="A713" t="s">
        <v>760</v>
      </c>
      <c r="B713" t="s">
        <v>16</v>
      </c>
      <c r="C713">
        <v>2001</v>
      </c>
      <c r="D713" t="s">
        <v>9</v>
      </c>
      <c r="E713">
        <v>2800000</v>
      </c>
      <c r="F713">
        <v>26000</v>
      </c>
    </row>
    <row r="714" spans="1:6" x14ac:dyDescent="0.3">
      <c r="A714" t="s">
        <v>761</v>
      </c>
      <c r="B714" t="s">
        <v>16</v>
      </c>
      <c r="C714">
        <v>2001</v>
      </c>
      <c r="D714" t="s">
        <v>9</v>
      </c>
      <c r="E714">
        <v>0</v>
      </c>
      <c r="F714">
        <v>103000</v>
      </c>
    </row>
    <row r="715" spans="1:6" x14ac:dyDescent="0.3">
      <c r="A715" t="s">
        <v>762</v>
      </c>
      <c r="B715" t="s">
        <v>16</v>
      </c>
      <c r="C715">
        <v>2001</v>
      </c>
      <c r="D715" t="s">
        <v>2689</v>
      </c>
      <c r="E715">
        <v>0</v>
      </c>
      <c r="F715">
        <v>0</v>
      </c>
    </row>
    <row r="716" spans="1:6" x14ac:dyDescent="0.3">
      <c r="A716" t="s">
        <v>763</v>
      </c>
      <c r="B716" t="s">
        <v>16</v>
      </c>
      <c r="C716">
        <v>2001</v>
      </c>
      <c r="D716" t="s">
        <v>2689</v>
      </c>
      <c r="E716">
        <v>27000</v>
      </c>
      <c r="F716">
        <v>0</v>
      </c>
    </row>
    <row r="717" spans="1:6" x14ac:dyDescent="0.3">
      <c r="A717" t="s">
        <v>764</v>
      </c>
      <c r="B717" t="s">
        <v>16</v>
      </c>
      <c r="C717">
        <v>2002</v>
      </c>
      <c r="D717" t="s">
        <v>7</v>
      </c>
      <c r="E717">
        <v>300000000</v>
      </c>
      <c r="F717">
        <v>910722</v>
      </c>
    </row>
    <row r="718" spans="1:6" x14ac:dyDescent="0.3">
      <c r="A718" t="s">
        <v>765</v>
      </c>
      <c r="B718" t="s">
        <v>16</v>
      </c>
      <c r="C718">
        <v>2002</v>
      </c>
      <c r="D718" t="s">
        <v>14</v>
      </c>
      <c r="E718">
        <v>200</v>
      </c>
      <c r="F718">
        <v>0</v>
      </c>
    </row>
    <row r="719" spans="1:6" x14ac:dyDescent="0.3">
      <c r="A719" t="s">
        <v>766</v>
      </c>
      <c r="B719" t="s">
        <v>16</v>
      </c>
      <c r="C719">
        <v>2002</v>
      </c>
      <c r="D719" t="s">
        <v>9</v>
      </c>
      <c r="E719">
        <v>42000000</v>
      </c>
      <c r="F719">
        <v>30772</v>
      </c>
    </row>
    <row r="720" spans="1:6" x14ac:dyDescent="0.3">
      <c r="A720" t="s">
        <v>767</v>
      </c>
      <c r="B720" t="s">
        <v>16</v>
      </c>
      <c r="C720">
        <v>2002</v>
      </c>
      <c r="D720" t="s">
        <v>9</v>
      </c>
      <c r="E720">
        <v>50</v>
      </c>
      <c r="F720">
        <v>20000</v>
      </c>
    </row>
    <row r="721" spans="1:6" x14ac:dyDescent="0.3">
      <c r="A721" t="s">
        <v>768</v>
      </c>
      <c r="B721" t="s">
        <v>16</v>
      </c>
      <c r="C721">
        <v>2002</v>
      </c>
      <c r="D721" t="s">
        <v>9</v>
      </c>
      <c r="E721">
        <v>3000</v>
      </c>
      <c r="F721">
        <v>0</v>
      </c>
    </row>
    <row r="722" spans="1:6" x14ac:dyDescent="0.3">
      <c r="A722" t="s">
        <v>769</v>
      </c>
      <c r="B722" t="s">
        <v>16</v>
      </c>
      <c r="C722">
        <v>2002</v>
      </c>
      <c r="D722" t="s">
        <v>9</v>
      </c>
      <c r="E722">
        <v>5000</v>
      </c>
      <c r="F722">
        <v>0</v>
      </c>
    </row>
    <row r="723" spans="1:6" x14ac:dyDescent="0.3">
      <c r="A723" t="s">
        <v>770</v>
      </c>
      <c r="B723" t="s">
        <v>16</v>
      </c>
      <c r="C723">
        <v>2002</v>
      </c>
      <c r="D723" t="s">
        <v>9</v>
      </c>
      <c r="E723">
        <v>0</v>
      </c>
      <c r="F723">
        <v>0</v>
      </c>
    </row>
    <row r="724" spans="1:6" x14ac:dyDescent="0.3">
      <c r="A724" t="s">
        <v>771</v>
      </c>
      <c r="B724" t="s">
        <v>16</v>
      </c>
      <c r="C724">
        <v>2002</v>
      </c>
      <c r="D724" t="s">
        <v>9</v>
      </c>
      <c r="E724">
        <v>200</v>
      </c>
      <c r="F724">
        <v>0</v>
      </c>
    </row>
    <row r="725" spans="1:6" x14ac:dyDescent="0.3">
      <c r="A725" t="s">
        <v>772</v>
      </c>
      <c r="B725" t="s">
        <v>16</v>
      </c>
      <c r="C725">
        <v>2002</v>
      </c>
      <c r="D725" t="s">
        <v>2689</v>
      </c>
      <c r="E725">
        <v>5050</v>
      </c>
      <c r="F725">
        <v>416</v>
      </c>
    </row>
    <row r="726" spans="1:6" x14ac:dyDescent="0.3">
      <c r="A726" t="s">
        <v>773</v>
      </c>
      <c r="B726" t="s">
        <v>16</v>
      </c>
      <c r="C726">
        <v>2002</v>
      </c>
      <c r="D726" t="s">
        <v>2689</v>
      </c>
      <c r="E726">
        <v>10200</v>
      </c>
      <c r="F726">
        <v>0</v>
      </c>
    </row>
    <row r="727" spans="1:6" x14ac:dyDescent="0.3">
      <c r="A727" t="s">
        <v>774</v>
      </c>
      <c r="B727" t="s">
        <v>16</v>
      </c>
      <c r="C727">
        <v>2002</v>
      </c>
      <c r="D727" t="s">
        <v>2689</v>
      </c>
      <c r="E727">
        <v>0</v>
      </c>
      <c r="F727">
        <v>0</v>
      </c>
    </row>
    <row r="728" spans="1:6" x14ac:dyDescent="0.3">
      <c r="A728" t="s">
        <v>775</v>
      </c>
      <c r="B728" t="s">
        <v>16</v>
      </c>
      <c r="C728">
        <v>2002</v>
      </c>
      <c r="D728" t="s">
        <v>2689</v>
      </c>
      <c r="E728">
        <v>0</v>
      </c>
      <c r="F728">
        <v>0</v>
      </c>
    </row>
    <row r="729" spans="1:6" x14ac:dyDescent="0.3">
      <c r="A729" t="s">
        <v>776</v>
      </c>
      <c r="B729" t="s">
        <v>16</v>
      </c>
      <c r="C729">
        <v>2003</v>
      </c>
      <c r="D729" t="s">
        <v>9</v>
      </c>
      <c r="E729">
        <v>4550000</v>
      </c>
      <c r="F729">
        <v>0</v>
      </c>
    </row>
    <row r="730" spans="1:6" x14ac:dyDescent="0.3">
      <c r="A730" t="s">
        <v>777</v>
      </c>
      <c r="B730" t="s">
        <v>16</v>
      </c>
      <c r="C730">
        <v>2003</v>
      </c>
      <c r="D730" t="s">
        <v>9</v>
      </c>
      <c r="E730">
        <v>14500</v>
      </c>
      <c r="F730">
        <v>0</v>
      </c>
    </row>
    <row r="731" spans="1:6" x14ac:dyDescent="0.3">
      <c r="A731" t="s">
        <v>778</v>
      </c>
      <c r="B731" t="s">
        <v>16</v>
      </c>
      <c r="C731">
        <v>2003</v>
      </c>
      <c r="D731" t="s">
        <v>9</v>
      </c>
      <c r="E731">
        <v>3000000</v>
      </c>
      <c r="F731">
        <v>169000</v>
      </c>
    </row>
    <row r="732" spans="1:6" x14ac:dyDescent="0.3">
      <c r="A732" t="s">
        <v>779</v>
      </c>
      <c r="B732" t="s">
        <v>16</v>
      </c>
      <c r="C732">
        <v>2003</v>
      </c>
      <c r="D732" t="s">
        <v>9</v>
      </c>
      <c r="E732">
        <v>30</v>
      </c>
      <c r="F732">
        <v>0</v>
      </c>
    </row>
    <row r="733" spans="1:6" x14ac:dyDescent="0.3">
      <c r="A733" t="s">
        <v>780</v>
      </c>
      <c r="B733" t="s">
        <v>16</v>
      </c>
      <c r="C733">
        <v>2003</v>
      </c>
      <c r="D733" t="s">
        <v>9</v>
      </c>
      <c r="E733">
        <v>15</v>
      </c>
      <c r="F733">
        <v>0</v>
      </c>
    </row>
    <row r="734" spans="1:6" x14ac:dyDescent="0.3">
      <c r="A734" t="s">
        <v>781</v>
      </c>
      <c r="B734" t="s">
        <v>16</v>
      </c>
      <c r="C734">
        <v>2003</v>
      </c>
      <c r="D734" t="s">
        <v>9</v>
      </c>
      <c r="E734">
        <v>0</v>
      </c>
      <c r="F734">
        <v>0</v>
      </c>
    </row>
    <row r="735" spans="1:6" x14ac:dyDescent="0.3">
      <c r="A735" t="s">
        <v>782</v>
      </c>
      <c r="B735" t="s">
        <v>16</v>
      </c>
      <c r="C735">
        <v>2003</v>
      </c>
      <c r="D735" t="s">
        <v>2689</v>
      </c>
      <c r="E735">
        <v>200</v>
      </c>
      <c r="F735">
        <v>0</v>
      </c>
    </row>
    <row r="736" spans="1:6" x14ac:dyDescent="0.3">
      <c r="A736" t="s">
        <v>783</v>
      </c>
      <c r="B736" t="s">
        <v>16</v>
      </c>
      <c r="C736">
        <v>2003</v>
      </c>
      <c r="D736" t="s">
        <v>2689</v>
      </c>
      <c r="E736">
        <v>4</v>
      </c>
      <c r="F736">
        <v>0</v>
      </c>
    </row>
    <row r="737" spans="1:6" x14ac:dyDescent="0.3">
      <c r="A737" t="s">
        <v>784</v>
      </c>
      <c r="B737" t="s">
        <v>16</v>
      </c>
      <c r="C737">
        <v>2003</v>
      </c>
      <c r="D737" t="s">
        <v>2689</v>
      </c>
      <c r="E737">
        <v>140</v>
      </c>
      <c r="F737">
        <v>0</v>
      </c>
    </row>
    <row r="738" spans="1:6" x14ac:dyDescent="0.3">
      <c r="A738" t="s">
        <v>785</v>
      </c>
      <c r="B738" t="s">
        <v>16</v>
      </c>
      <c r="C738">
        <v>2003</v>
      </c>
      <c r="D738" t="s">
        <v>2689</v>
      </c>
      <c r="E738">
        <v>485910</v>
      </c>
      <c r="F738">
        <v>16000</v>
      </c>
    </row>
    <row r="739" spans="1:6" x14ac:dyDescent="0.3">
      <c r="A739" t="s">
        <v>786</v>
      </c>
      <c r="B739" t="s">
        <v>16</v>
      </c>
      <c r="C739">
        <v>2003</v>
      </c>
      <c r="D739" t="s">
        <v>2689</v>
      </c>
      <c r="E739">
        <v>4600</v>
      </c>
      <c r="F739">
        <v>0</v>
      </c>
    </row>
    <row r="740" spans="1:6" x14ac:dyDescent="0.3">
      <c r="A740" t="s">
        <v>787</v>
      </c>
      <c r="B740" t="s">
        <v>16</v>
      </c>
      <c r="C740">
        <v>2003</v>
      </c>
      <c r="D740" t="s">
        <v>2689</v>
      </c>
      <c r="E740">
        <v>460</v>
      </c>
      <c r="F740">
        <v>0</v>
      </c>
    </row>
    <row r="741" spans="1:6" x14ac:dyDescent="0.3">
      <c r="A741" t="s">
        <v>788</v>
      </c>
      <c r="B741" t="s">
        <v>16</v>
      </c>
      <c r="C741">
        <v>2003</v>
      </c>
      <c r="D741" t="s">
        <v>2689</v>
      </c>
      <c r="E741">
        <v>40000</v>
      </c>
      <c r="F741">
        <v>28000</v>
      </c>
    </row>
    <row r="742" spans="1:6" x14ac:dyDescent="0.3">
      <c r="A742" t="s">
        <v>789</v>
      </c>
      <c r="B742" t="s">
        <v>16</v>
      </c>
      <c r="C742">
        <v>2004</v>
      </c>
      <c r="D742" t="s">
        <v>14</v>
      </c>
      <c r="E742">
        <v>654512</v>
      </c>
      <c r="F742">
        <v>1022800</v>
      </c>
    </row>
    <row r="743" spans="1:6" x14ac:dyDescent="0.3">
      <c r="A743" t="s">
        <v>790</v>
      </c>
      <c r="B743" t="s">
        <v>16</v>
      </c>
      <c r="C743">
        <v>2004</v>
      </c>
      <c r="D743" t="s">
        <v>9</v>
      </c>
      <c r="E743">
        <v>5000</v>
      </c>
      <c r="F743">
        <v>0</v>
      </c>
    </row>
    <row r="744" spans="1:6" x14ac:dyDescent="0.3">
      <c r="A744" t="s">
        <v>791</v>
      </c>
      <c r="B744" t="s">
        <v>16</v>
      </c>
      <c r="C744">
        <v>2004</v>
      </c>
      <c r="D744" t="s">
        <v>9</v>
      </c>
      <c r="E744">
        <v>33000000</v>
      </c>
      <c r="F744">
        <v>2500000</v>
      </c>
    </row>
    <row r="745" spans="1:6" x14ac:dyDescent="0.3">
      <c r="A745" t="s">
        <v>792</v>
      </c>
      <c r="B745" t="s">
        <v>16</v>
      </c>
      <c r="C745">
        <v>2004</v>
      </c>
      <c r="D745" t="s">
        <v>9</v>
      </c>
      <c r="E745">
        <v>1000</v>
      </c>
      <c r="F745">
        <v>0</v>
      </c>
    </row>
    <row r="746" spans="1:6" x14ac:dyDescent="0.3">
      <c r="A746" t="s">
        <v>793</v>
      </c>
      <c r="B746" t="s">
        <v>16</v>
      </c>
      <c r="C746">
        <v>2004</v>
      </c>
      <c r="D746" t="s">
        <v>9</v>
      </c>
      <c r="E746">
        <v>0</v>
      </c>
      <c r="F746">
        <v>0</v>
      </c>
    </row>
    <row r="747" spans="1:6" x14ac:dyDescent="0.3">
      <c r="A747" t="s">
        <v>794</v>
      </c>
      <c r="B747" t="s">
        <v>16</v>
      </c>
      <c r="C747">
        <v>2004</v>
      </c>
      <c r="D747" t="s">
        <v>9</v>
      </c>
      <c r="E747">
        <v>100000</v>
      </c>
      <c r="F747">
        <v>0</v>
      </c>
    </row>
    <row r="748" spans="1:6" x14ac:dyDescent="0.3">
      <c r="A748" t="s">
        <v>795</v>
      </c>
      <c r="B748" t="s">
        <v>16</v>
      </c>
      <c r="C748">
        <v>2004</v>
      </c>
      <c r="D748" t="s">
        <v>9</v>
      </c>
      <c r="E748">
        <v>100000</v>
      </c>
      <c r="F748">
        <v>276000</v>
      </c>
    </row>
    <row r="749" spans="1:6" x14ac:dyDescent="0.3">
      <c r="A749" t="s">
        <v>796</v>
      </c>
      <c r="B749" t="s">
        <v>16</v>
      </c>
      <c r="C749">
        <v>2005</v>
      </c>
      <c r="D749" t="s">
        <v>14</v>
      </c>
      <c r="E749">
        <v>156622</v>
      </c>
      <c r="F749">
        <v>1000000</v>
      </c>
    </row>
    <row r="750" spans="1:6" x14ac:dyDescent="0.3">
      <c r="A750" t="s">
        <v>797</v>
      </c>
      <c r="B750" t="s">
        <v>16</v>
      </c>
      <c r="C750">
        <v>2005</v>
      </c>
      <c r="D750" t="s">
        <v>9</v>
      </c>
      <c r="E750">
        <v>12</v>
      </c>
      <c r="F750">
        <v>0</v>
      </c>
    </row>
    <row r="751" spans="1:6" x14ac:dyDescent="0.3">
      <c r="A751" t="s">
        <v>798</v>
      </c>
      <c r="B751" t="s">
        <v>16</v>
      </c>
      <c r="C751">
        <v>2005</v>
      </c>
      <c r="D751" t="s">
        <v>9</v>
      </c>
      <c r="E751">
        <v>405000</v>
      </c>
      <c r="F751">
        <v>2300000</v>
      </c>
    </row>
    <row r="752" spans="1:6" x14ac:dyDescent="0.3">
      <c r="A752" t="s">
        <v>799</v>
      </c>
      <c r="B752" t="s">
        <v>16</v>
      </c>
      <c r="C752">
        <v>2005</v>
      </c>
      <c r="D752" t="s">
        <v>9</v>
      </c>
      <c r="E752">
        <v>0</v>
      </c>
      <c r="F752">
        <v>0</v>
      </c>
    </row>
    <row r="753" spans="1:6" x14ac:dyDescent="0.3">
      <c r="A753" t="s">
        <v>800</v>
      </c>
      <c r="B753" t="s">
        <v>16</v>
      </c>
      <c r="C753">
        <v>2005</v>
      </c>
      <c r="D753" t="s">
        <v>9</v>
      </c>
      <c r="E753">
        <v>5000</v>
      </c>
      <c r="F753">
        <v>23000</v>
      </c>
    </row>
    <row r="754" spans="1:6" x14ac:dyDescent="0.3">
      <c r="A754" t="s">
        <v>801</v>
      </c>
      <c r="B754" t="s">
        <v>16</v>
      </c>
      <c r="C754">
        <v>2005</v>
      </c>
      <c r="D754" t="s">
        <v>9</v>
      </c>
      <c r="E754">
        <v>1908000</v>
      </c>
      <c r="F754">
        <v>0</v>
      </c>
    </row>
    <row r="755" spans="1:6" x14ac:dyDescent="0.3">
      <c r="A755" t="s">
        <v>802</v>
      </c>
      <c r="B755" t="s">
        <v>16</v>
      </c>
      <c r="C755">
        <v>2005</v>
      </c>
      <c r="D755" t="s">
        <v>9</v>
      </c>
      <c r="E755">
        <v>49000</v>
      </c>
      <c r="F755">
        <v>0</v>
      </c>
    </row>
    <row r="756" spans="1:6" x14ac:dyDescent="0.3">
      <c r="A756" t="s">
        <v>803</v>
      </c>
      <c r="B756" t="s">
        <v>16</v>
      </c>
      <c r="C756">
        <v>2005</v>
      </c>
      <c r="D756" t="s">
        <v>9</v>
      </c>
      <c r="E756">
        <v>10000</v>
      </c>
      <c r="F756">
        <v>0</v>
      </c>
    </row>
    <row r="757" spans="1:6" x14ac:dyDescent="0.3">
      <c r="A757" t="s">
        <v>804</v>
      </c>
      <c r="B757" t="s">
        <v>16</v>
      </c>
      <c r="C757">
        <v>2005</v>
      </c>
      <c r="D757" t="s">
        <v>9</v>
      </c>
      <c r="E757">
        <v>20000055</v>
      </c>
      <c r="F757">
        <v>3330000</v>
      </c>
    </row>
    <row r="758" spans="1:6" x14ac:dyDescent="0.3">
      <c r="A758" t="s">
        <v>805</v>
      </c>
      <c r="B758" t="s">
        <v>16</v>
      </c>
      <c r="C758">
        <v>2005</v>
      </c>
      <c r="D758" t="s">
        <v>9</v>
      </c>
      <c r="E758">
        <v>800000</v>
      </c>
      <c r="F758">
        <v>0</v>
      </c>
    </row>
    <row r="759" spans="1:6" x14ac:dyDescent="0.3">
      <c r="A759" t="s">
        <v>806</v>
      </c>
      <c r="B759" t="s">
        <v>16</v>
      </c>
      <c r="C759">
        <v>2005</v>
      </c>
      <c r="D759" t="s">
        <v>9</v>
      </c>
      <c r="E759">
        <v>100000</v>
      </c>
      <c r="F759">
        <v>0</v>
      </c>
    </row>
    <row r="760" spans="1:6" x14ac:dyDescent="0.3">
      <c r="A760" t="s">
        <v>807</v>
      </c>
      <c r="B760" t="s">
        <v>16</v>
      </c>
      <c r="C760">
        <v>2005</v>
      </c>
      <c r="D760" t="s">
        <v>9</v>
      </c>
      <c r="E760">
        <v>2504</v>
      </c>
      <c r="F760">
        <v>0</v>
      </c>
    </row>
    <row r="761" spans="1:6" x14ac:dyDescent="0.3">
      <c r="A761" t="s">
        <v>808</v>
      </c>
      <c r="B761" t="s">
        <v>16</v>
      </c>
      <c r="C761">
        <v>2005</v>
      </c>
      <c r="D761" t="s">
        <v>9</v>
      </c>
      <c r="E761">
        <v>550000</v>
      </c>
      <c r="F761">
        <v>420000</v>
      </c>
    </row>
    <row r="762" spans="1:6" x14ac:dyDescent="0.3">
      <c r="A762" t="s">
        <v>809</v>
      </c>
      <c r="B762" t="s">
        <v>16</v>
      </c>
      <c r="C762">
        <v>2005</v>
      </c>
      <c r="D762" t="s">
        <v>9</v>
      </c>
      <c r="E762">
        <v>2250000</v>
      </c>
      <c r="F762">
        <v>117000</v>
      </c>
    </row>
    <row r="763" spans="1:6" x14ac:dyDescent="0.3">
      <c r="A763" t="s">
        <v>810</v>
      </c>
      <c r="B763" t="s">
        <v>16</v>
      </c>
      <c r="C763">
        <v>2005</v>
      </c>
      <c r="D763" t="s">
        <v>9</v>
      </c>
      <c r="E763">
        <v>0</v>
      </c>
      <c r="F763">
        <v>0</v>
      </c>
    </row>
    <row r="764" spans="1:6" x14ac:dyDescent="0.3">
      <c r="A764" t="s">
        <v>811</v>
      </c>
      <c r="B764" t="s">
        <v>16</v>
      </c>
      <c r="C764">
        <v>2005</v>
      </c>
      <c r="D764" t="s">
        <v>9</v>
      </c>
      <c r="E764">
        <v>2000000</v>
      </c>
      <c r="F764">
        <v>0</v>
      </c>
    </row>
    <row r="765" spans="1:6" x14ac:dyDescent="0.3">
      <c r="A765" t="s">
        <v>812</v>
      </c>
      <c r="B765" t="s">
        <v>16</v>
      </c>
      <c r="C765">
        <v>2005</v>
      </c>
      <c r="D765" t="s">
        <v>9</v>
      </c>
      <c r="E765">
        <v>200000</v>
      </c>
      <c r="F765">
        <v>0</v>
      </c>
    </row>
    <row r="766" spans="1:6" x14ac:dyDescent="0.3">
      <c r="A766" t="s">
        <v>813</v>
      </c>
      <c r="B766" t="s">
        <v>16</v>
      </c>
      <c r="C766">
        <v>2005</v>
      </c>
      <c r="D766" t="s">
        <v>9</v>
      </c>
      <c r="E766">
        <v>2000</v>
      </c>
      <c r="F766">
        <v>0</v>
      </c>
    </row>
    <row r="767" spans="1:6" x14ac:dyDescent="0.3">
      <c r="A767" t="s">
        <v>814</v>
      </c>
      <c r="B767" t="s">
        <v>16</v>
      </c>
      <c r="C767">
        <v>2005</v>
      </c>
      <c r="D767" t="s">
        <v>2689</v>
      </c>
      <c r="E767">
        <v>7550</v>
      </c>
      <c r="F767">
        <v>0</v>
      </c>
    </row>
    <row r="768" spans="1:6" x14ac:dyDescent="0.3">
      <c r="A768" t="s">
        <v>815</v>
      </c>
      <c r="B768" t="s">
        <v>16</v>
      </c>
      <c r="C768">
        <v>2005</v>
      </c>
      <c r="D768" t="s">
        <v>2689</v>
      </c>
      <c r="E768">
        <v>20</v>
      </c>
      <c r="F768">
        <v>0</v>
      </c>
    </row>
    <row r="769" spans="1:6" x14ac:dyDescent="0.3">
      <c r="A769" t="s">
        <v>816</v>
      </c>
      <c r="B769" t="s">
        <v>16</v>
      </c>
      <c r="C769">
        <v>2005</v>
      </c>
      <c r="D769" t="s">
        <v>2689</v>
      </c>
      <c r="E769">
        <v>20</v>
      </c>
      <c r="F769">
        <v>0</v>
      </c>
    </row>
    <row r="770" spans="1:6" x14ac:dyDescent="0.3">
      <c r="A770" t="s">
        <v>817</v>
      </c>
      <c r="B770" t="s">
        <v>16</v>
      </c>
      <c r="C770">
        <v>2005</v>
      </c>
      <c r="D770" t="s">
        <v>2689</v>
      </c>
      <c r="E770">
        <v>61000</v>
      </c>
      <c r="F770">
        <v>0</v>
      </c>
    </row>
    <row r="771" spans="1:6" x14ac:dyDescent="0.3">
      <c r="A771" t="s">
        <v>818</v>
      </c>
      <c r="B771" t="s">
        <v>16</v>
      </c>
      <c r="C771">
        <v>2006</v>
      </c>
      <c r="D771" t="s">
        <v>9</v>
      </c>
      <c r="E771">
        <v>0</v>
      </c>
      <c r="F771">
        <v>0</v>
      </c>
    </row>
    <row r="772" spans="1:6" x14ac:dyDescent="0.3">
      <c r="A772" t="s">
        <v>819</v>
      </c>
      <c r="B772" t="s">
        <v>16</v>
      </c>
      <c r="C772">
        <v>2006</v>
      </c>
      <c r="D772" t="s">
        <v>9</v>
      </c>
      <c r="E772">
        <v>504000</v>
      </c>
      <c r="F772">
        <v>0</v>
      </c>
    </row>
    <row r="773" spans="1:6" x14ac:dyDescent="0.3">
      <c r="A773" t="s">
        <v>820</v>
      </c>
      <c r="B773" t="s">
        <v>16</v>
      </c>
      <c r="C773">
        <v>2006</v>
      </c>
      <c r="D773" t="s">
        <v>9</v>
      </c>
      <c r="E773">
        <v>10800</v>
      </c>
      <c r="F773">
        <v>0</v>
      </c>
    </row>
    <row r="774" spans="1:6" x14ac:dyDescent="0.3">
      <c r="A774" t="s">
        <v>821</v>
      </c>
      <c r="B774" t="s">
        <v>16</v>
      </c>
      <c r="C774">
        <v>2006</v>
      </c>
      <c r="D774" t="s">
        <v>9</v>
      </c>
      <c r="E774">
        <v>0</v>
      </c>
      <c r="F774">
        <v>0</v>
      </c>
    </row>
    <row r="775" spans="1:6" x14ac:dyDescent="0.3">
      <c r="A775" t="s">
        <v>822</v>
      </c>
      <c r="B775" t="s">
        <v>16</v>
      </c>
      <c r="C775">
        <v>2006</v>
      </c>
      <c r="D775" t="s">
        <v>9</v>
      </c>
      <c r="E775">
        <v>300000</v>
      </c>
      <c r="F775">
        <v>0</v>
      </c>
    </row>
    <row r="776" spans="1:6" x14ac:dyDescent="0.3">
      <c r="A776" t="s">
        <v>823</v>
      </c>
      <c r="B776" t="s">
        <v>16</v>
      </c>
      <c r="C776">
        <v>2006</v>
      </c>
      <c r="D776" t="s">
        <v>9</v>
      </c>
      <c r="E776">
        <v>8400</v>
      </c>
      <c r="F776">
        <v>0</v>
      </c>
    </row>
    <row r="777" spans="1:6" x14ac:dyDescent="0.3">
      <c r="A777" t="s">
        <v>824</v>
      </c>
      <c r="B777" t="s">
        <v>16</v>
      </c>
      <c r="C777">
        <v>2006</v>
      </c>
      <c r="D777" t="s">
        <v>9</v>
      </c>
      <c r="E777">
        <v>0</v>
      </c>
      <c r="F777">
        <v>0</v>
      </c>
    </row>
    <row r="778" spans="1:6" x14ac:dyDescent="0.3">
      <c r="A778" t="s">
        <v>825</v>
      </c>
      <c r="B778" t="s">
        <v>16</v>
      </c>
      <c r="C778">
        <v>2006</v>
      </c>
      <c r="D778" t="s">
        <v>9</v>
      </c>
      <c r="E778">
        <v>800</v>
      </c>
      <c r="F778">
        <v>0</v>
      </c>
    </row>
    <row r="779" spans="1:6" x14ac:dyDescent="0.3">
      <c r="A779" t="s">
        <v>826</v>
      </c>
      <c r="B779" t="s">
        <v>16</v>
      </c>
      <c r="C779">
        <v>2006</v>
      </c>
      <c r="D779" t="s">
        <v>9</v>
      </c>
      <c r="E779">
        <v>4000065</v>
      </c>
      <c r="F779">
        <v>3390000</v>
      </c>
    </row>
    <row r="780" spans="1:6" x14ac:dyDescent="0.3">
      <c r="A780" t="s">
        <v>827</v>
      </c>
      <c r="B780" t="s">
        <v>16</v>
      </c>
      <c r="C780">
        <v>2006</v>
      </c>
      <c r="D780" t="s">
        <v>9</v>
      </c>
      <c r="E780">
        <v>50000</v>
      </c>
      <c r="F780">
        <v>0</v>
      </c>
    </row>
    <row r="781" spans="1:6" x14ac:dyDescent="0.3">
      <c r="A781" t="s">
        <v>828</v>
      </c>
      <c r="B781" t="s">
        <v>16</v>
      </c>
      <c r="C781">
        <v>2006</v>
      </c>
      <c r="D781" t="s">
        <v>9</v>
      </c>
      <c r="E781">
        <v>20000</v>
      </c>
      <c r="F781">
        <v>0</v>
      </c>
    </row>
    <row r="782" spans="1:6" x14ac:dyDescent="0.3">
      <c r="A782" t="s">
        <v>829</v>
      </c>
      <c r="B782" t="s">
        <v>16</v>
      </c>
      <c r="C782">
        <v>2006</v>
      </c>
      <c r="D782" t="s">
        <v>9</v>
      </c>
      <c r="E782">
        <v>15000</v>
      </c>
      <c r="F782">
        <v>0</v>
      </c>
    </row>
    <row r="783" spans="1:6" x14ac:dyDescent="0.3">
      <c r="A783" t="s">
        <v>830</v>
      </c>
      <c r="B783" t="s">
        <v>16</v>
      </c>
      <c r="C783">
        <v>2006</v>
      </c>
      <c r="D783" t="s">
        <v>9</v>
      </c>
      <c r="E783">
        <v>100000</v>
      </c>
      <c r="F783">
        <v>0</v>
      </c>
    </row>
    <row r="784" spans="1:6" x14ac:dyDescent="0.3">
      <c r="A784" t="s">
        <v>831</v>
      </c>
      <c r="B784" t="s">
        <v>16</v>
      </c>
      <c r="C784">
        <v>2006</v>
      </c>
      <c r="D784" t="s">
        <v>9</v>
      </c>
      <c r="E784">
        <v>225000</v>
      </c>
      <c r="F784">
        <v>0</v>
      </c>
    </row>
    <row r="785" spans="1:6" x14ac:dyDescent="0.3">
      <c r="A785" t="s">
        <v>832</v>
      </c>
      <c r="B785" t="s">
        <v>16</v>
      </c>
      <c r="C785">
        <v>2006</v>
      </c>
      <c r="D785" t="s">
        <v>9</v>
      </c>
      <c r="E785">
        <v>2000000</v>
      </c>
      <c r="F785">
        <v>0</v>
      </c>
    </row>
    <row r="786" spans="1:6" x14ac:dyDescent="0.3">
      <c r="A786" t="s">
        <v>833</v>
      </c>
      <c r="B786" t="s">
        <v>16</v>
      </c>
      <c r="C786">
        <v>2006</v>
      </c>
      <c r="D786" t="s">
        <v>9</v>
      </c>
      <c r="E786">
        <v>113</v>
      </c>
      <c r="F786">
        <v>0</v>
      </c>
    </row>
    <row r="787" spans="1:6" x14ac:dyDescent="0.3">
      <c r="A787" t="s">
        <v>834</v>
      </c>
      <c r="B787" t="s">
        <v>16</v>
      </c>
      <c r="C787">
        <v>2006</v>
      </c>
      <c r="D787" t="s">
        <v>9</v>
      </c>
      <c r="E787">
        <v>0</v>
      </c>
      <c r="F787">
        <v>0</v>
      </c>
    </row>
    <row r="788" spans="1:6" x14ac:dyDescent="0.3">
      <c r="A788" t="s">
        <v>835</v>
      </c>
      <c r="B788" t="s">
        <v>16</v>
      </c>
      <c r="C788">
        <v>2006</v>
      </c>
      <c r="D788" t="s">
        <v>2689</v>
      </c>
      <c r="E788">
        <v>150300</v>
      </c>
      <c r="F788">
        <v>0</v>
      </c>
    </row>
    <row r="789" spans="1:6" x14ac:dyDescent="0.3">
      <c r="A789" t="s">
        <v>836</v>
      </c>
      <c r="B789" t="s">
        <v>16</v>
      </c>
      <c r="C789">
        <v>2006</v>
      </c>
      <c r="D789" t="s">
        <v>2689</v>
      </c>
      <c r="E789">
        <v>0</v>
      </c>
      <c r="F789">
        <v>0</v>
      </c>
    </row>
    <row r="790" spans="1:6" x14ac:dyDescent="0.3">
      <c r="A790" t="s">
        <v>837</v>
      </c>
      <c r="B790" t="s">
        <v>16</v>
      </c>
      <c r="C790">
        <v>2007</v>
      </c>
      <c r="D790" t="s">
        <v>9</v>
      </c>
      <c r="E790">
        <v>200000</v>
      </c>
      <c r="F790">
        <v>0</v>
      </c>
    </row>
    <row r="791" spans="1:6" x14ac:dyDescent="0.3">
      <c r="A791" t="s">
        <v>838</v>
      </c>
      <c r="B791" t="s">
        <v>16</v>
      </c>
      <c r="C791">
        <v>2007</v>
      </c>
      <c r="D791" t="s">
        <v>9</v>
      </c>
      <c r="E791">
        <v>63000</v>
      </c>
      <c r="F791">
        <v>0</v>
      </c>
    </row>
    <row r="792" spans="1:6" x14ac:dyDescent="0.3">
      <c r="A792" t="s">
        <v>839</v>
      </c>
      <c r="B792" t="s">
        <v>16</v>
      </c>
      <c r="C792">
        <v>2007</v>
      </c>
      <c r="D792" t="s">
        <v>9</v>
      </c>
      <c r="E792">
        <v>10000</v>
      </c>
      <c r="F792">
        <v>0</v>
      </c>
    </row>
    <row r="793" spans="1:6" x14ac:dyDescent="0.3">
      <c r="A793" t="s">
        <v>840</v>
      </c>
      <c r="B793" t="s">
        <v>16</v>
      </c>
      <c r="C793">
        <v>2007</v>
      </c>
      <c r="D793" t="s">
        <v>9</v>
      </c>
      <c r="E793">
        <v>50000</v>
      </c>
      <c r="F793">
        <v>0</v>
      </c>
    </row>
    <row r="794" spans="1:6" x14ac:dyDescent="0.3">
      <c r="A794" t="s">
        <v>841</v>
      </c>
      <c r="B794" t="s">
        <v>16</v>
      </c>
      <c r="C794">
        <v>2007</v>
      </c>
      <c r="D794" t="s">
        <v>9</v>
      </c>
      <c r="E794">
        <v>200000</v>
      </c>
      <c r="F794">
        <v>0</v>
      </c>
    </row>
    <row r="795" spans="1:6" x14ac:dyDescent="0.3">
      <c r="A795" t="s">
        <v>842</v>
      </c>
      <c r="B795" t="s">
        <v>16</v>
      </c>
      <c r="C795">
        <v>2007</v>
      </c>
      <c r="D795" t="s">
        <v>9</v>
      </c>
      <c r="E795">
        <v>0</v>
      </c>
      <c r="F795">
        <v>0</v>
      </c>
    </row>
    <row r="796" spans="1:6" x14ac:dyDescent="0.3">
      <c r="A796" t="s">
        <v>843</v>
      </c>
      <c r="B796" t="s">
        <v>16</v>
      </c>
      <c r="C796">
        <v>2007</v>
      </c>
      <c r="D796" t="s">
        <v>9</v>
      </c>
      <c r="E796">
        <v>18700000</v>
      </c>
      <c r="F796">
        <v>0</v>
      </c>
    </row>
    <row r="797" spans="1:6" x14ac:dyDescent="0.3">
      <c r="A797" t="s">
        <v>844</v>
      </c>
      <c r="B797" t="s">
        <v>16</v>
      </c>
      <c r="C797">
        <v>2007</v>
      </c>
      <c r="D797" t="s">
        <v>9</v>
      </c>
      <c r="E797">
        <v>15000</v>
      </c>
      <c r="F797">
        <v>0</v>
      </c>
    </row>
    <row r="798" spans="1:6" x14ac:dyDescent="0.3">
      <c r="A798" t="s">
        <v>845</v>
      </c>
      <c r="B798" t="s">
        <v>16</v>
      </c>
      <c r="C798">
        <v>2007</v>
      </c>
      <c r="D798" t="s">
        <v>9</v>
      </c>
      <c r="E798">
        <v>0</v>
      </c>
      <c r="F798">
        <v>0</v>
      </c>
    </row>
    <row r="799" spans="1:6" x14ac:dyDescent="0.3">
      <c r="A799" t="s">
        <v>846</v>
      </c>
      <c r="B799" t="s">
        <v>16</v>
      </c>
      <c r="C799">
        <v>2007</v>
      </c>
      <c r="D799" t="s">
        <v>9</v>
      </c>
      <c r="E799">
        <v>7200000</v>
      </c>
      <c r="F799">
        <v>275000</v>
      </c>
    </row>
    <row r="800" spans="1:6" x14ac:dyDescent="0.3">
      <c r="A800" t="s">
        <v>847</v>
      </c>
      <c r="B800" t="s">
        <v>16</v>
      </c>
      <c r="C800">
        <v>2007</v>
      </c>
      <c r="D800" t="s">
        <v>9</v>
      </c>
      <c r="E800">
        <v>20000</v>
      </c>
      <c r="F800">
        <v>0</v>
      </c>
    </row>
    <row r="801" spans="1:6" x14ac:dyDescent="0.3">
      <c r="A801" t="s">
        <v>848</v>
      </c>
      <c r="B801" t="s">
        <v>16</v>
      </c>
      <c r="C801">
        <v>2007</v>
      </c>
      <c r="D801" t="s">
        <v>9</v>
      </c>
      <c r="E801">
        <v>50000</v>
      </c>
      <c r="F801">
        <v>0</v>
      </c>
    </row>
    <row r="802" spans="1:6" x14ac:dyDescent="0.3">
      <c r="A802" t="s">
        <v>849</v>
      </c>
      <c r="B802" t="s">
        <v>16</v>
      </c>
      <c r="C802">
        <v>2007</v>
      </c>
      <c r="D802" t="s">
        <v>9</v>
      </c>
      <c r="E802">
        <v>500000</v>
      </c>
      <c r="F802">
        <v>0</v>
      </c>
    </row>
    <row r="803" spans="1:6" x14ac:dyDescent="0.3">
      <c r="A803" t="s">
        <v>850</v>
      </c>
      <c r="B803" t="s">
        <v>16</v>
      </c>
      <c r="C803">
        <v>2007</v>
      </c>
      <c r="D803" t="s">
        <v>9</v>
      </c>
      <c r="E803">
        <v>11100000</v>
      </c>
      <c r="F803">
        <v>0</v>
      </c>
    </row>
    <row r="804" spans="1:6" x14ac:dyDescent="0.3">
      <c r="A804" t="s">
        <v>851</v>
      </c>
      <c r="B804" t="s">
        <v>16</v>
      </c>
      <c r="C804">
        <v>2007</v>
      </c>
      <c r="D804" t="s">
        <v>9</v>
      </c>
      <c r="E804">
        <v>35000</v>
      </c>
      <c r="F804">
        <v>101151</v>
      </c>
    </row>
    <row r="805" spans="1:6" x14ac:dyDescent="0.3">
      <c r="A805" t="s">
        <v>852</v>
      </c>
      <c r="B805" t="s">
        <v>16</v>
      </c>
      <c r="C805">
        <v>2007</v>
      </c>
      <c r="D805" t="s">
        <v>9</v>
      </c>
      <c r="E805">
        <v>8</v>
      </c>
      <c r="F805">
        <v>0</v>
      </c>
    </row>
    <row r="806" spans="1:6" x14ac:dyDescent="0.3">
      <c r="A806" t="s">
        <v>853</v>
      </c>
      <c r="B806" t="s">
        <v>16</v>
      </c>
      <c r="C806">
        <v>2007</v>
      </c>
      <c r="D806" t="s">
        <v>2689</v>
      </c>
      <c r="E806">
        <v>0</v>
      </c>
      <c r="F806">
        <v>0</v>
      </c>
    </row>
    <row r="807" spans="1:6" x14ac:dyDescent="0.3">
      <c r="A807" t="s">
        <v>854</v>
      </c>
      <c r="B807" t="s">
        <v>16</v>
      </c>
      <c r="C807">
        <v>2008</v>
      </c>
      <c r="D807" t="s">
        <v>9</v>
      </c>
      <c r="E807">
        <v>10278</v>
      </c>
      <c r="F807">
        <v>2000</v>
      </c>
    </row>
    <row r="808" spans="1:6" x14ac:dyDescent="0.3">
      <c r="A808" t="s">
        <v>855</v>
      </c>
      <c r="B808" t="s">
        <v>16</v>
      </c>
      <c r="C808">
        <v>2008</v>
      </c>
      <c r="D808" t="s">
        <v>9</v>
      </c>
      <c r="E808">
        <v>7900000</v>
      </c>
      <c r="F808">
        <v>123000</v>
      </c>
    </row>
    <row r="809" spans="1:6" x14ac:dyDescent="0.3">
      <c r="A809" t="s">
        <v>856</v>
      </c>
      <c r="B809" t="s">
        <v>16</v>
      </c>
      <c r="C809">
        <v>2008</v>
      </c>
      <c r="D809" t="s">
        <v>9</v>
      </c>
      <c r="E809">
        <v>50000</v>
      </c>
      <c r="F809">
        <v>0</v>
      </c>
    </row>
    <row r="810" spans="1:6" x14ac:dyDescent="0.3">
      <c r="A810" t="s">
        <v>857</v>
      </c>
      <c r="B810" t="s">
        <v>16</v>
      </c>
      <c r="C810">
        <v>2008</v>
      </c>
      <c r="D810" t="s">
        <v>9</v>
      </c>
      <c r="E810">
        <v>0</v>
      </c>
      <c r="F810">
        <v>0</v>
      </c>
    </row>
    <row r="811" spans="1:6" x14ac:dyDescent="0.3">
      <c r="A811" t="s">
        <v>858</v>
      </c>
      <c r="B811" t="s">
        <v>16</v>
      </c>
      <c r="C811">
        <v>2008</v>
      </c>
      <c r="D811" t="s">
        <v>9</v>
      </c>
      <c r="E811">
        <v>2400000</v>
      </c>
      <c r="F811">
        <v>0</v>
      </c>
    </row>
    <row r="812" spans="1:6" x14ac:dyDescent="0.3">
      <c r="A812" t="s">
        <v>859</v>
      </c>
      <c r="B812" t="s">
        <v>16</v>
      </c>
      <c r="C812">
        <v>2008</v>
      </c>
      <c r="D812" t="s">
        <v>9</v>
      </c>
      <c r="E812">
        <v>2600000</v>
      </c>
      <c r="F812">
        <v>20000</v>
      </c>
    </row>
    <row r="813" spans="1:6" x14ac:dyDescent="0.3">
      <c r="A813" t="s">
        <v>860</v>
      </c>
      <c r="B813" t="s">
        <v>16</v>
      </c>
      <c r="C813">
        <v>2008</v>
      </c>
      <c r="D813" t="s">
        <v>9</v>
      </c>
      <c r="E813">
        <v>803740</v>
      </c>
      <c r="F813">
        <v>0</v>
      </c>
    </row>
    <row r="814" spans="1:6" x14ac:dyDescent="0.3">
      <c r="A814" t="s">
        <v>861</v>
      </c>
      <c r="B814" t="s">
        <v>16</v>
      </c>
      <c r="C814">
        <v>2008</v>
      </c>
      <c r="D814" t="s">
        <v>9</v>
      </c>
      <c r="E814">
        <v>225000</v>
      </c>
      <c r="F814">
        <v>0</v>
      </c>
    </row>
    <row r="815" spans="1:6" x14ac:dyDescent="0.3">
      <c r="A815" t="s">
        <v>862</v>
      </c>
      <c r="B815" t="s">
        <v>16</v>
      </c>
      <c r="C815">
        <v>2008</v>
      </c>
      <c r="D815" t="s">
        <v>2689</v>
      </c>
      <c r="E815">
        <v>50</v>
      </c>
      <c r="F815">
        <v>25000</v>
      </c>
    </row>
    <row r="816" spans="1:6" x14ac:dyDescent="0.3">
      <c r="A816" t="s">
        <v>863</v>
      </c>
      <c r="B816" t="s">
        <v>16</v>
      </c>
      <c r="C816">
        <v>2009</v>
      </c>
      <c r="D816" t="s">
        <v>7</v>
      </c>
      <c r="E816">
        <v>0</v>
      </c>
      <c r="F816">
        <v>0</v>
      </c>
    </row>
    <row r="817" spans="1:6" x14ac:dyDescent="0.3">
      <c r="A817" t="s">
        <v>864</v>
      </c>
      <c r="B817" t="s">
        <v>16</v>
      </c>
      <c r="C817">
        <v>2009</v>
      </c>
      <c r="D817" t="s">
        <v>9</v>
      </c>
      <c r="E817">
        <v>0</v>
      </c>
      <c r="F817">
        <v>0</v>
      </c>
    </row>
    <row r="818" spans="1:6" x14ac:dyDescent="0.3">
      <c r="A818" t="s">
        <v>865</v>
      </c>
      <c r="B818" t="s">
        <v>16</v>
      </c>
      <c r="C818">
        <v>2009</v>
      </c>
      <c r="D818" t="s">
        <v>9</v>
      </c>
      <c r="E818">
        <v>1886000</v>
      </c>
      <c r="F818">
        <v>220000</v>
      </c>
    </row>
    <row r="819" spans="1:6" x14ac:dyDescent="0.3">
      <c r="A819" t="s">
        <v>866</v>
      </c>
      <c r="B819" t="s">
        <v>16</v>
      </c>
      <c r="C819">
        <v>2009</v>
      </c>
      <c r="D819" t="s">
        <v>9</v>
      </c>
      <c r="E819">
        <v>4100000</v>
      </c>
      <c r="F819">
        <v>2150000</v>
      </c>
    </row>
    <row r="820" spans="1:6" x14ac:dyDescent="0.3">
      <c r="A820" t="s">
        <v>867</v>
      </c>
      <c r="B820" t="s">
        <v>16</v>
      </c>
      <c r="C820">
        <v>2009</v>
      </c>
      <c r="D820" t="s">
        <v>9</v>
      </c>
      <c r="E820">
        <v>0</v>
      </c>
      <c r="F820">
        <v>0</v>
      </c>
    </row>
    <row r="821" spans="1:6" x14ac:dyDescent="0.3">
      <c r="A821" t="s">
        <v>868</v>
      </c>
      <c r="B821" t="s">
        <v>16</v>
      </c>
      <c r="C821">
        <v>2009</v>
      </c>
      <c r="D821" t="s">
        <v>9</v>
      </c>
      <c r="E821">
        <v>8</v>
      </c>
      <c r="F821">
        <v>64000</v>
      </c>
    </row>
    <row r="822" spans="1:6" x14ac:dyDescent="0.3">
      <c r="A822" t="s">
        <v>869</v>
      </c>
      <c r="B822" t="s">
        <v>16</v>
      </c>
      <c r="C822">
        <v>2009</v>
      </c>
      <c r="D822" t="s">
        <v>9</v>
      </c>
      <c r="E822">
        <v>0</v>
      </c>
      <c r="F822">
        <v>0</v>
      </c>
    </row>
    <row r="823" spans="1:6" x14ac:dyDescent="0.3">
      <c r="A823" t="s">
        <v>870</v>
      </c>
      <c r="B823" t="s">
        <v>16</v>
      </c>
      <c r="C823">
        <v>2009</v>
      </c>
      <c r="D823" t="s">
        <v>2689</v>
      </c>
      <c r="E823">
        <v>9050</v>
      </c>
      <c r="F823">
        <v>0</v>
      </c>
    </row>
    <row r="824" spans="1:6" x14ac:dyDescent="0.3">
      <c r="A824" t="s">
        <v>871</v>
      </c>
      <c r="B824" t="s">
        <v>16</v>
      </c>
      <c r="C824">
        <v>2009</v>
      </c>
      <c r="D824" t="s">
        <v>2689</v>
      </c>
      <c r="E824">
        <v>5100000</v>
      </c>
      <c r="F824">
        <v>0</v>
      </c>
    </row>
    <row r="825" spans="1:6" x14ac:dyDescent="0.3">
      <c r="A825" t="s">
        <v>872</v>
      </c>
      <c r="B825" t="s">
        <v>16</v>
      </c>
      <c r="C825">
        <v>2009</v>
      </c>
      <c r="D825" t="s">
        <v>2689</v>
      </c>
      <c r="E825">
        <v>12</v>
      </c>
      <c r="F825">
        <v>0</v>
      </c>
    </row>
    <row r="826" spans="1:6" x14ac:dyDescent="0.3">
      <c r="A826" t="s">
        <v>873</v>
      </c>
      <c r="B826" t="s">
        <v>16</v>
      </c>
      <c r="C826">
        <v>2009</v>
      </c>
      <c r="D826" t="s">
        <v>2689</v>
      </c>
      <c r="E826">
        <v>0</v>
      </c>
      <c r="F826">
        <v>300000</v>
      </c>
    </row>
    <row r="827" spans="1:6" x14ac:dyDescent="0.3">
      <c r="A827" t="s">
        <v>874</v>
      </c>
      <c r="B827" t="s">
        <v>16</v>
      </c>
      <c r="C827">
        <v>2009</v>
      </c>
      <c r="D827" t="s">
        <v>2689</v>
      </c>
      <c r="E827">
        <v>23</v>
      </c>
      <c r="F827">
        <v>0</v>
      </c>
    </row>
    <row r="828" spans="1:6" x14ac:dyDescent="0.3">
      <c r="A828" t="s">
        <v>875</v>
      </c>
      <c r="B828" t="s">
        <v>16</v>
      </c>
      <c r="C828">
        <v>2009</v>
      </c>
      <c r="D828" t="s">
        <v>2689</v>
      </c>
      <c r="E828">
        <v>0</v>
      </c>
      <c r="F828">
        <v>0</v>
      </c>
    </row>
    <row r="829" spans="1:6" x14ac:dyDescent="0.3">
      <c r="A829" t="s">
        <v>876</v>
      </c>
      <c r="B829" t="s">
        <v>16</v>
      </c>
      <c r="C829">
        <v>2010</v>
      </c>
      <c r="D829" t="s">
        <v>9</v>
      </c>
      <c r="E829">
        <v>400000</v>
      </c>
      <c r="F829">
        <v>447000</v>
      </c>
    </row>
    <row r="830" spans="1:6" x14ac:dyDescent="0.3">
      <c r="A830" t="s">
        <v>877</v>
      </c>
      <c r="B830" t="s">
        <v>16</v>
      </c>
      <c r="C830">
        <v>2010</v>
      </c>
      <c r="D830" t="s">
        <v>9</v>
      </c>
      <c r="E830">
        <v>50000</v>
      </c>
      <c r="F830">
        <v>0</v>
      </c>
    </row>
    <row r="831" spans="1:6" x14ac:dyDescent="0.3">
      <c r="A831" t="s">
        <v>878</v>
      </c>
      <c r="B831" t="s">
        <v>16</v>
      </c>
      <c r="C831">
        <v>2010</v>
      </c>
      <c r="D831" t="s">
        <v>9</v>
      </c>
      <c r="E831">
        <v>0</v>
      </c>
      <c r="F831">
        <v>0</v>
      </c>
    </row>
    <row r="832" spans="1:6" x14ac:dyDescent="0.3">
      <c r="A832" t="s">
        <v>879</v>
      </c>
      <c r="B832" t="s">
        <v>16</v>
      </c>
      <c r="C832">
        <v>2010</v>
      </c>
      <c r="D832" t="s">
        <v>9</v>
      </c>
      <c r="E832">
        <v>12725</v>
      </c>
      <c r="F832">
        <v>0</v>
      </c>
    </row>
    <row r="833" spans="1:6" x14ac:dyDescent="0.3">
      <c r="A833" t="s">
        <v>880</v>
      </c>
      <c r="B833" t="s">
        <v>16</v>
      </c>
      <c r="C833">
        <v>2010</v>
      </c>
      <c r="D833" t="s">
        <v>9</v>
      </c>
      <c r="E833">
        <v>30000</v>
      </c>
      <c r="F833">
        <v>0</v>
      </c>
    </row>
    <row r="834" spans="1:6" x14ac:dyDescent="0.3">
      <c r="A834" t="s">
        <v>881</v>
      </c>
      <c r="B834" t="s">
        <v>16</v>
      </c>
      <c r="C834">
        <v>2010</v>
      </c>
      <c r="D834" t="s">
        <v>9</v>
      </c>
      <c r="E834">
        <v>3267183</v>
      </c>
      <c r="F834">
        <v>1680000</v>
      </c>
    </row>
    <row r="835" spans="1:6" x14ac:dyDescent="0.3">
      <c r="A835" t="s">
        <v>882</v>
      </c>
      <c r="B835" t="s">
        <v>16</v>
      </c>
      <c r="C835">
        <v>2010</v>
      </c>
      <c r="D835" t="s">
        <v>9</v>
      </c>
      <c r="E835">
        <v>12500</v>
      </c>
      <c r="F835">
        <v>0</v>
      </c>
    </row>
    <row r="836" spans="1:6" x14ac:dyDescent="0.3">
      <c r="A836" t="s">
        <v>883</v>
      </c>
      <c r="B836" t="s">
        <v>16</v>
      </c>
      <c r="C836">
        <v>2010</v>
      </c>
      <c r="D836" t="s">
        <v>9</v>
      </c>
      <c r="E836">
        <v>0</v>
      </c>
      <c r="F836">
        <v>22000</v>
      </c>
    </row>
    <row r="837" spans="1:6" x14ac:dyDescent="0.3">
      <c r="A837" t="s">
        <v>884</v>
      </c>
      <c r="B837" t="s">
        <v>16</v>
      </c>
      <c r="C837">
        <v>2010</v>
      </c>
      <c r="D837" t="s">
        <v>2689</v>
      </c>
      <c r="E837">
        <v>500000</v>
      </c>
      <c r="F837">
        <v>0</v>
      </c>
    </row>
    <row r="838" spans="1:6" x14ac:dyDescent="0.3">
      <c r="A838" t="s">
        <v>885</v>
      </c>
      <c r="B838" t="s">
        <v>16</v>
      </c>
      <c r="C838">
        <v>2010</v>
      </c>
      <c r="D838" t="s">
        <v>2689</v>
      </c>
      <c r="E838">
        <v>50</v>
      </c>
      <c r="F838">
        <v>0</v>
      </c>
    </row>
    <row r="839" spans="1:6" x14ac:dyDescent="0.3">
      <c r="A839" t="s">
        <v>886</v>
      </c>
      <c r="B839" t="s">
        <v>16</v>
      </c>
      <c r="C839">
        <v>2010</v>
      </c>
      <c r="D839" t="s">
        <v>2689</v>
      </c>
      <c r="E839">
        <v>0</v>
      </c>
      <c r="F839">
        <v>0</v>
      </c>
    </row>
    <row r="840" spans="1:6" x14ac:dyDescent="0.3">
      <c r="A840" t="s">
        <v>887</v>
      </c>
      <c r="B840" t="s">
        <v>16</v>
      </c>
      <c r="C840">
        <v>2010</v>
      </c>
      <c r="D840" t="s">
        <v>2689</v>
      </c>
      <c r="E840">
        <v>0</v>
      </c>
      <c r="F840">
        <v>0</v>
      </c>
    </row>
    <row r="841" spans="1:6" x14ac:dyDescent="0.3">
      <c r="A841" t="s">
        <v>888</v>
      </c>
      <c r="B841" t="s">
        <v>16</v>
      </c>
      <c r="C841">
        <v>2010</v>
      </c>
      <c r="D841" t="s">
        <v>2689</v>
      </c>
      <c r="E841">
        <v>2030</v>
      </c>
      <c r="F841">
        <v>0</v>
      </c>
    </row>
    <row r="842" spans="1:6" x14ac:dyDescent="0.3">
      <c r="A842" t="s">
        <v>889</v>
      </c>
      <c r="B842" t="s">
        <v>16</v>
      </c>
      <c r="C842">
        <v>2010</v>
      </c>
      <c r="D842" t="s">
        <v>2689</v>
      </c>
      <c r="E842">
        <v>0</v>
      </c>
      <c r="F842">
        <v>0</v>
      </c>
    </row>
    <row r="843" spans="1:6" x14ac:dyDescent="0.3">
      <c r="A843" t="s">
        <v>890</v>
      </c>
      <c r="B843" t="s">
        <v>16</v>
      </c>
      <c r="C843">
        <v>2010</v>
      </c>
      <c r="D843" t="s">
        <v>2689</v>
      </c>
      <c r="E843">
        <v>5000</v>
      </c>
      <c r="F843">
        <v>0</v>
      </c>
    </row>
    <row r="844" spans="1:6" x14ac:dyDescent="0.3">
      <c r="A844" t="s">
        <v>891</v>
      </c>
      <c r="B844" t="s">
        <v>16</v>
      </c>
      <c r="C844">
        <v>2011</v>
      </c>
      <c r="D844" t="s">
        <v>14</v>
      </c>
      <c r="E844">
        <v>575200</v>
      </c>
      <c r="F844">
        <v>0</v>
      </c>
    </row>
    <row r="845" spans="1:6" x14ac:dyDescent="0.3">
      <c r="A845" t="s">
        <v>892</v>
      </c>
      <c r="B845" t="s">
        <v>16</v>
      </c>
      <c r="C845">
        <v>2011</v>
      </c>
      <c r="D845" t="s">
        <v>9</v>
      </c>
      <c r="E845">
        <v>700000</v>
      </c>
      <c r="F845">
        <v>275000</v>
      </c>
    </row>
    <row r="846" spans="1:6" x14ac:dyDescent="0.3">
      <c r="A846" t="s">
        <v>893</v>
      </c>
      <c r="B846" t="s">
        <v>16</v>
      </c>
      <c r="C846">
        <v>2011</v>
      </c>
      <c r="D846" t="s">
        <v>9</v>
      </c>
      <c r="E846">
        <v>3443989</v>
      </c>
      <c r="F846">
        <v>930000</v>
      </c>
    </row>
    <row r="847" spans="1:6" x14ac:dyDescent="0.3">
      <c r="A847" t="s">
        <v>894</v>
      </c>
      <c r="B847" t="s">
        <v>16</v>
      </c>
      <c r="C847">
        <v>2011</v>
      </c>
      <c r="D847" t="s">
        <v>9</v>
      </c>
      <c r="E847">
        <v>11000</v>
      </c>
      <c r="F847">
        <v>0</v>
      </c>
    </row>
    <row r="848" spans="1:6" x14ac:dyDescent="0.3">
      <c r="A848" t="s">
        <v>895</v>
      </c>
      <c r="B848" t="s">
        <v>16</v>
      </c>
      <c r="C848">
        <v>2011</v>
      </c>
      <c r="D848" t="s">
        <v>9</v>
      </c>
      <c r="E848">
        <v>5549080</v>
      </c>
      <c r="F848">
        <v>0</v>
      </c>
    </row>
    <row r="849" spans="1:6" x14ac:dyDescent="0.3">
      <c r="A849" t="s">
        <v>896</v>
      </c>
      <c r="B849" t="s">
        <v>16</v>
      </c>
      <c r="C849">
        <v>2011</v>
      </c>
      <c r="D849" t="s">
        <v>9</v>
      </c>
      <c r="E849">
        <v>200000</v>
      </c>
      <c r="F849">
        <v>0</v>
      </c>
    </row>
    <row r="850" spans="1:6" x14ac:dyDescent="0.3">
      <c r="A850" t="s">
        <v>897</v>
      </c>
      <c r="B850" t="s">
        <v>16</v>
      </c>
      <c r="C850">
        <v>2011</v>
      </c>
      <c r="D850" t="s">
        <v>9</v>
      </c>
      <c r="E850">
        <v>2100000</v>
      </c>
      <c r="F850">
        <v>432000</v>
      </c>
    </row>
    <row r="851" spans="1:6" x14ac:dyDescent="0.3">
      <c r="A851" t="s">
        <v>898</v>
      </c>
      <c r="B851" t="s">
        <v>16</v>
      </c>
      <c r="C851">
        <v>2011</v>
      </c>
      <c r="D851" t="s">
        <v>9</v>
      </c>
      <c r="E851">
        <v>0</v>
      </c>
      <c r="F851">
        <v>20000</v>
      </c>
    </row>
    <row r="852" spans="1:6" x14ac:dyDescent="0.3">
      <c r="A852" t="s">
        <v>899</v>
      </c>
      <c r="B852" t="s">
        <v>16</v>
      </c>
      <c r="C852">
        <v>2011</v>
      </c>
      <c r="D852" t="s">
        <v>2689</v>
      </c>
      <c r="E852">
        <v>50</v>
      </c>
      <c r="F852">
        <v>0</v>
      </c>
    </row>
    <row r="853" spans="1:6" x14ac:dyDescent="0.3">
      <c r="A853" t="s">
        <v>900</v>
      </c>
      <c r="B853" t="s">
        <v>16</v>
      </c>
      <c r="C853">
        <v>2011</v>
      </c>
      <c r="D853" t="s">
        <v>2689</v>
      </c>
      <c r="E853">
        <v>250000</v>
      </c>
      <c r="F853">
        <v>375625</v>
      </c>
    </row>
    <row r="854" spans="1:6" x14ac:dyDescent="0.3">
      <c r="A854" t="s">
        <v>901</v>
      </c>
      <c r="B854" t="s">
        <v>16</v>
      </c>
      <c r="C854">
        <v>2011</v>
      </c>
      <c r="D854" t="s">
        <v>2689</v>
      </c>
      <c r="E854">
        <v>0</v>
      </c>
      <c r="F854">
        <v>0</v>
      </c>
    </row>
    <row r="855" spans="1:6" x14ac:dyDescent="0.3">
      <c r="A855" t="s">
        <v>902</v>
      </c>
      <c r="B855" t="s">
        <v>16</v>
      </c>
      <c r="C855">
        <v>2012</v>
      </c>
      <c r="D855" t="s">
        <v>9</v>
      </c>
      <c r="E855">
        <v>2200000</v>
      </c>
      <c r="F855">
        <v>0</v>
      </c>
    </row>
    <row r="856" spans="1:6" x14ac:dyDescent="0.3">
      <c r="A856" t="s">
        <v>903</v>
      </c>
      <c r="B856" t="s">
        <v>16</v>
      </c>
      <c r="C856">
        <v>2012</v>
      </c>
      <c r="D856" t="s">
        <v>9</v>
      </c>
      <c r="E856">
        <v>37500</v>
      </c>
      <c r="F856">
        <v>0</v>
      </c>
    </row>
    <row r="857" spans="1:6" x14ac:dyDescent="0.3">
      <c r="A857" t="s">
        <v>904</v>
      </c>
      <c r="B857" t="s">
        <v>16</v>
      </c>
      <c r="C857">
        <v>2012</v>
      </c>
      <c r="D857" t="s">
        <v>9</v>
      </c>
      <c r="E857">
        <v>1200</v>
      </c>
      <c r="F857">
        <v>110000</v>
      </c>
    </row>
    <row r="858" spans="1:6" x14ac:dyDescent="0.3">
      <c r="A858" t="s">
        <v>905</v>
      </c>
      <c r="B858" t="s">
        <v>16</v>
      </c>
      <c r="C858">
        <v>2012</v>
      </c>
      <c r="D858" t="s">
        <v>9</v>
      </c>
      <c r="E858">
        <v>200</v>
      </c>
      <c r="F858">
        <v>20000</v>
      </c>
    </row>
    <row r="859" spans="1:6" x14ac:dyDescent="0.3">
      <c r="A859" t="s">
        <v>906</v>
      </c>
      <c r="B859" t="s">
        <v>16</v>
      </c>
      <c r="C859">
        <v>2012</v>
      </c>
      <c r="D859" t="s">
        <v>9</v>
      </c>
      <c r="E859">
        <v>2000000</v>
      </c>
      <c r="F859">
        <v>98000</v>
      </c>
    </row>
    <row r="860" spans="1:6" x14ac:dyDescent="0.3">
      <c r="A860" t="s">
        <v>907</v>
      </c>
      <c r="B860" t="s">
        <v>16</v>
      </c>
      <c r="C860">
        <v>2012</v>
      </c>
      <c r="D860" t="s">
        <v>9</v>
      </c>
      <c r="E860">
        <v>9460</v>
      </c>
      <c r="F860">
        <v>16000</v>
      </c>
    </row>
    <row r="861" spans="1:6" x14ac:dyDescent="0.3">
      <c r="A861" t="s">
        <v>908</v>
      </c>
      <c r="B861" t="s">
        <v>16</v>
      </c>
      <c r="C861">
        <v>2012</v>
      </c>
      <c r="D861" t="s">
        <v>2689</v>
      </c>
      <c r="E861">
        <v>70000</v>
      </c>
      <c r="F861">
        <v>0</v>
      </c>
    </row>
    <row r="862" spans="1:6" x14ac:dyDescent="0.3">
      <c r="A862" t="s">
        <v>909</v>
      </c>
      <c r="B862" t="s">
        <v>16</v>
      </c>
      <c r="C862">
        <v>2013</v>
      </c>
      <c r="D862" t="s">
        <v>14</v>
      </c>
      <c r="E862">
        <v>59350</v>
      </c>
      <c r="F862">
        <v>120000</v>
      </c>
    </row>
    <row r="863" spans="1:6" x14ac:dyDescent="0.3">
      <c r="A863" t="s">
        <v>910</v>
      </c>
      <c r="B863" t="s">
        <v>16</v>
      </c>
      <c r="C863">
        <v>2013</v>
      </c>
      <c r="D863" t="s">
        <v>9</v>
      </c>
      <c r="E863">
        <v>504473</v>
      </c>
      <c r="F863">
        <v>1100000</v>
      </c>
    </row>
    <row r="864" spans="1:6" x14ac:dyDescent="0.3">
      <c r="A864" t="s">
        <v>911</v>
      </c>
      <c r="B864" t="s">
        <v>16</v>
      </c>
      <c r="C864">
        <v>2013</v>
      </c>
      <c r="D864" t="s">
        <v>9</v>
      </c>
      <c r="E864">
        <v>500000</v>
      </c>
      <c r="F864">
        <v>2000</v>
      </c>
    </row>
    <row r="865" spans="1:6" x14ac:dyDescent="0.3">
      <c r="A865" t="s">
        <v>912</v>
      </c>
      <c r="B865" t="s">
        <v>16</v>
      </c>
      <c r="C865">
        <v>2013</v>
      </c>
      <c r="D865" t="s">
        <v>9</v>
      </c>
      <c r="E865">
        <v>2000000</v>
      </c>
      <c r="F865">
        <v>0</v>
      </c>
    </row>
    <row r="866" spans="1:6" x14ac:dyDescent="0.3">
      <c r="A866" t="s">
        <v>913</v>
      </c>
      <c r="B866" t="s">
        <v>16</v>
      </c>
      <c r="C866">
        <v>2013</v>
      </c>
      <c r="D866" t="s">
        <v>9</v>
      </c>
      <c r="E866">
        <v>40000</v>
      </c>
      <c r="F866">
        <v>0</v>
      </c>
    </row>
    <row r="867" spans="1:6" x14ac:dyDescent="0.3">
      <c r="A867" t="s">
        <v>914</v>
      </c>
      <c r="B867" t="s">
        <v>16</v>
      </c>
      <c r="C867">
        <v>2013</v>
      </c>
      <c r="D867" t="s">
        <v>9</v>
      </c>
      <c r="E867">
        <v>375000</v>
      </c>
      <c r="F867">
        <v>260000</v>
      </c>
    </row>
    <row r="868" spans="1:6" x14ac:dyDescent="0.3">
      <c r="A868" t="s">
        <v>915</v>
      </c>
      <c r="B868" t="s">
        <v>16</v>
      </c>
      <c r="C868">
        <v>2013</v>
      </c>
      <c r="D868" t="s">
        <v>2689</v>
      </c>
      <c r="E868">
        <v>0</v>
      </c>
      <c r="F868">
        <v>0</v>
      </c>
    </row>
    <row r="869" spans="1:6" x14ac:dyDescent="0.3">
      <c r="A869" t="s">
        <v>916</v>
      </c>
      <c r="B869" t="s">
        <v>16</v>
      </c>
      <c r="C869">
        <v>2013</v>
      </c>
      <c r="D869" t="s">
        <v>2689</v>
      </c>
      <c r="E869">
        <v>4</v>
      </c>
      <c r="F869">
        <v>0</v>
      </c>
    </row>
    <row r="870" spans="1:6" x14ac:dyDescent="0.3">
      <c r="A870" t="s">
        <v>917</v>
      </c>
      <c r="B870" t="s">
        <v>16</v>
      </c>
      <c r="C870">
        <v>2013</v>
      </c>
      <c r="D870" t="s">
        <v>2689</v>
      </c>
      <c r="E870">
        <v>13230000</v>
      </c>
      <c r="F870">
        <v>633471</v>
      </c>
    </row>
    <row r="871" spans="1:6" x14ac:dyDescent="0.3">
      <c r="A871" t="s">
        <v>918</v>
      </c>
      <c r="B871" t="s">
        <v>16</v>
      </c>
      <c r="C871">
        <v>2013</v>
      </c>
      <c r="D871" t="s">
        <v>2689</v>
      </c>
      <c r="E871">
        <v>0</v>
      </c>
      <c r="F871">
        <v>0</v>
      </c>
    </row>
    <row r="872" spans="1:6" x14ac:dyDescent="0.3">
      <c r="A872" t="s">
        <v>919</v>
      </c>
      <c r="B872" t="s">
        <v>16</v>
      </c>
      <c r="C872">
        <v>2013</v>
      </c>
      <c r="D872" t="s">
        <v>2689</v>
      </c>
      <c r="E872">
        <v>0</v>
      </c>
      <c r="F872">
        <v>262000</v>
      </c>
    </row>
    <row r="873" spans="1:6" x14ac:dyDescent="0.3">
      <c r="A873" t="s">
        <v>920</v>
      </c>
      <c r="B873" t="s">
        <v>16</v>
      </c>
      <c r="C873">
        <v>2014</v>
      </c>
      <c r="D873" t="s">
        <v>9</v>
      </c>
      <c r="E873">
        <v>18500</v>
      </c>
      <c r="F873">
        <v>2000</v>
      </c>
    </row>
    <row r="874" spans="1:6" x14ac:dyDescent="0.3">
      <c r="A874" t="s">
        <v>921</v>
      </c>
      <c r="B874" t="s">
        <v>16</v>
      </c>
      <c r="C874">
        <v>2014</v>
      </c>
      <c r="D874" t="s">
        <v>9</v>
      </c>
      <c r="E874">
        <v>0</v>
      </c>
      <c r="F874">
        <v>0</v>
      </c>
    </row>
    <row r="875" spans="1:6" x14ac:dyDescent="0.3">
      <c r="A875" t="s">
        <v>922</v>
      </c>
      <c r="B875" t="s">
        <v>16</v>
      </c>
      <c r="C875">
        <v>2014</v>
      </c>
      <c r="D875" t="s">
        <v>9</v>
      </c>
      <c r="E875">
        <v>179000</v>
      </c>
      <c r="F875">
        <v>200000</v>
      </c>
    </row>
    <row r="876" spans="1:6" x14ac:dyDescent="0.3">
      <c r="A876" t="s">
        <v>923</v>
      </c>
      <c r="B876" t="s">
        <v>16</v>
      </c>
      <c r="C876">
        <v>2014</v>
      </c>
      <c r="D876" t="s">
        <v>9</v>
      </c>
      <c r="E876">
        <v>275000</v>
      </c>
      <c r="F876">
        <v>16000000</v>
      </c>
    </row>
    <row r="877" spans="1:6" x14ac:dyDescent="0.3">
      <c r="A877" t="s">
        <v>924</v>
      </c>
      <c r="B877" t="s">
        <v>16</v>
      </c>
      <c r="C877">
        <v>2014</v>
      </c>
      <c r="D877" t="s">
        <v>9</v>
      </c>
      <c r="E877">
        <v>650000</v>
      </c>
      <c r="F877">
        <v>163000</v>
      </c>
    </row>
    <row r="878" spans="1:6" x14ac:dyDescent="0.3">
      <c r="A878" t="s">
        <v>925</v>
      </c>
      <c r="B878" t="s">
        <v>16</v>
      </c>
      <c r="C878">
        <v>2014</v>
      </c>
      <c r="D878" t="s">
        <v>9</v>
      </c>
      <c r="E878">
        <v>500000</v>
      </c>
      <c r="F878">
        <v>0</v>
      </c>
    </row>
    <row r="879" spans="1:6" x14ac:dyDescent="0.3">
      <c r="A879" t="s">
        <v>926</v>
      </c>
      <c r="B879" t="s">
        <v>16</v>
      </c>
      <c r="C879">
        <v>2014</v>
      </c>
      <c r="D879" t="s">
        <v>9</v>
      </c>
      <c r="E879">
        <v>3600000</v>
      </c>
      <c r="F879">
        <v>100000</v>
      </c>
    </row>
    <row r="880" spans="1:6" x14ac:dyDescent="0.3">
      <c r="A880" t="s">
        <v>927</v>
      </c>
      <c r="B880" t="s">
        <v>16</v>
      </c>
      <c r="C880">
        <v>2014</v>
      </c>
      <c r="D880" t="s">
        <v>2689</v>
      </c>
      <c r="E880">
        <v>9610</v>
      </c>
      <c r="F880">
        <v>0</v>
      </c>
    </row>
    <row r="881" spans="1:6" x14ac:dyDescent="0.3">
      <c r="A881" t="s">
        <v>928</v>
      </c>
      <c r="B881" t="s">
        <v>16</v>
      </c>
      <c r="C881">
        <v>2014</v>
      </c>
      <c r="D881" t="s">
        <v>2689</v>
      </c>
      <c r="E881">
        <v>26</v>
      </c>
      <c r="F881">
        <v>0</v>
      </c>
    </row>
    <row r="882" spans="1:6" x14ac:dyDescent="0.3">
      <c r="A882" t="s">
        <v>929</v>
      </c>
      <c r="B882" t="s">
        <v>16</v>
      </c>
      <c r="C882">
        <v>2014</v>
      </c>
      <c r="D882" t="s">
        <v>2689</v>
      </c>
      <c r="E882">
        <v>920000</v>
      </c>
      <c r="F882">
        <v>7000000</v>
      </c>
    </row>
    <row r="883" spans="1:6" x14ac:dyDescent="0.3">
      <c r="A883" t="s">
        <v>930</v>
      </c>
      <c r="B883" t="s">
        <v>16</v>
      </c>
      <c r="C883">
        <v>2014</v>
      </c>
      <c r="D883" t="s">
        <v>2689</v>
      </c>
      <c r="E883">
        <v>0</v>
      </c>
      <c r="F883">
        <v>0</v>
      </c>
    </row>
    <row r="884" spans="1:6" x14ac:dyDescent="0.3">
      <c r="A884" t="s">
        <v>931</v>
      </c>
      <c r="B884" t="s">
        <v>16</v>
      </c>
      <c r="C884">
        <v>2014</v>
      </c>
      <c r="D884" t="s">
        <v>2689</v>
      </c>
      <c r="E884">
        <v>1928</v>
      </c>
      <c r="F884">
        <v>0</v>
      </c>
    </row>
    <row r="885" spans="1:6" x14ac:dyDescent="0.3">
      <c r="A885" t="s">
        <v>932</v>
      </c>
      <c r="B885" t="s">
        <v>16</v>
      </c>
      <c r="C885">
        <v>2015</v>
      </c>
      <c r="D885" t="s">
        <v>7</v>
      </c>
      <c r="E885">
        <v>330000000</v>
      </c>
      <c r="F885">
        <v>3000000</v>
      </c>
    </row>
    <row r="886" spans="1:6" x14ac:dyDescent="0.3">
      <c r="A886" t="s">
        <v>933</v>
      </c>
      <c r="B886" t="s">
        <v>16</v>
      </c>
      <c r="C886">
        <v>2015</v>
      </c>
      <c r="D886" t="s">
        <v>14</v>
      </c>
      <c r="E886">
        <v>560</v>
      </c>
      <c r="F886">
        <v>0</v>
      </c>
    </row>
    <row r="887" spans="1:6" x14ac:dyDescent="0.3">
      <c r="A887" t="s">
        <v>934</v>
      </c>
      <c r="B887" t="s">
        <v>16</v>
      </c>
      <c r="C887">
        <v>2015</v>
      </c>
      <c r="D887" t="s">
        <v>14</v>
      </c>
      <c r="E887">
        <v>0</v>
      </c>
      <c r="F887">
        <v>0</v>
      </c>
    </row>
    <row r="888" spans="1:6" x14ac:dyDescent="0.3">
      <c r="A888" t="s">
        <v>935</v>
      </c>
      <c r="B888" t="s">
        <v>16</v>
      </c>
      <c r="C888">
        <v>2015</v>
      </c>
      <c r="D888" t="s">
        <v>14</v>
      </c>
      <c r="E888">
        <v>10</v>
      </c>
      <c r="F888">
        <v>0</v>
      </c>
    </row>
    <row r="889" spans="1:6" x14ac:dyDescent="0.3">
      <c r="A889" t="s">
        <v>936</v>
      </c>
      <c r="B889" t="s">
        <v>16</v>
      </c>
      <c r="C889">
        <v>2015</v>
      </c>
      <c r="D889" t="s">
        <v>9</v>
      </c>
      <c r="E889">
        <v>2122</v>
      </c>
      <c r="F889">
        <v>76000</v>
      </c>
    </row>
    <row r="890" spans="1:6" x14ac:dyDescent="0.3">
      <c r="A890" t="s">
        <v>937</v>
      </c>
      <c r="B890" t="s">
        <v>16</v>
      </c>
      <c r="C890">
        <v>2015</v>
      </c>
      <c r="D890" t="s">
        <v>9</v>
      </c>
      <c r="E890">
        <v>200</v>
      </c>
      <c r="F890">
        <v>0</v>
      </c>
    </row>
    <row r="891" spans="1:6" x14ac:dyDescent="0.3">
      <c r="A891" t="s">
        <v>938</v>
      </c>
      <c r="B891" t="s">
        <v>16</v>
      </c>
      <c r="C891">
        <v>2015</v>
      </c>
      <c r="D891" t="s">
        <v>9</v>
      </c>
      <c r="E891">
        <v>9000</v>
      </c>
      <c r="F891">
        <v>604000</v>
      </c>
    </row>
    <row r="892" spans="1:6" x14ac:dyDescent="0.3">
      <c r="A892" t="s">
        <v>939</v>
      </c>
      <c r="B892" t="s">
        <v>16</v>
      </c>
      <c r="C892">
        <v>2015</v>
      </c>
      <c r="D892" t="s">
        <v>9</v>
      </c>
      <c r="E892">
        <v>1000</v>
      </c>
      <c r="F892">
        <v>0</v>
      </c>
    </row>
    <row r="893" spans="1:6" x14ac:dyDescent="0.3">
      <c r="A893" t="s">
        <v>940</v>
      </c>
      <c r="B893" t="s">
        <v>16</v>
      </c>
      <c r="C893">
        <v>2015</v>
      </c>
      <c r="D893" t="s">
        <v>9</v>
      </c>
      <c r="E893">
        <v>13709887</v>
      </c>
      <c r="F893">
        <v>0</v>
      </c>
    </row>
    <row r="894" spans="1:6" x14ac:dyDescent="0.3">
      <c r="A894" t="s">
        <v>941</v>
      </c>
      <c r="B894" t="s">
        <v>16</v>
      </c>
      <c r="C894">
        <v>2015</v>
      </c>
      <c r="D894" t="s">
        <v>9</v>
      </c>
      <c r="E894">
        <v>0</v>
      </c>
      <c r="F894">
        <v>0</v>
      </c>
    </row>
    <row r="895" spans="1:6" x14ac:dyDescent="0.3">
      <c r="A895" t="s">
        <v>942</v>
      </c>
      <c r="B895" t="s">
        <v>16</v>
      </c>
      <c r="C895">
        <v>2015</v>
      </c>
      <c r="D895" t="s">
        <v>9</v>
      </c>
      <c r="E895">
        <v>18000</v>
      </c>
      <c r="F895">
        <v>0</v>
      </c>
    </row>
    <row r="896" spans="1:6" x14ac:dyDescent="0.3">
      <c r="A896" t="s">
        <v>943</v>
      </c>
      <c r="B896" t="s">
        <v>16</v>
      </c>
      <c r="C896">
        <v>2015</v>
      </c>
      <c r="D896" t="s">
        <v>9</v>
      </c>
      <c r="E896">
        <v>787000</v>
      </c>
      <c r="F896">
        <v>0</v>
      </c>
    </row>
    <row r="897" spans="1:6" x14ac:dyDescent="0.3">
      <c r="A897" t="s">
        <v>944</v>
      </c>
      <c r="B897" t="s">
        <v>16</v>
      </c>
      <c r="C897">
        <v>2015</v>
      </c>
      <c r="D897" t="s">
        <v>9</v>
      </c>
      <c r="E897">
        <v>85250</v>
      </c>
      <c r="F897">
        <v>0</v>
      </c>
    </row>
    <row r="898" spans="1:6" x14ac:dyDescent="0.3">
      <c r="A898" t="s">
        <v>945</v>
      </c>
      <c r="B898" t="s">
        <v>16</v>
      </c>
      <c r="C898">
        <v>2015</v>
      </c>
      <c r="D898" t="s">
        <v>9</v>
      </c>
      <c r="E898">
        <v>1801000</v>
      </c>
      <c r="F898">
        <v>2200000</v>
      </c>
    </row>
    <row r="899" spans="1:6" x14ac:dyDescent="0.3">
      <c r="A899" t="s">
        <v>946</v>
      </c>
      <c r="B899" t="s">
        <v>16</v>
      </c>
      <c r="C899">
        <v>2015</v>
      </c>
      <c r="D899" t="s">
        <v>2689</v>
      </c>
      <c r="E899">
        <v>10000</v>
      </c>
      <c r="F899">
        <v>3000</v>
      </c>
    </row>
    <row r="900" spans="1:6" x14ac:dyDescent="0.3">
      <c r="A900" t="s">
        <v>947</v>
      </c>
      <c r="B900" t="s">
        <v>16</v>
      </c>
      <c r="C900">
        <v>2015</v>
      </c>
      <c r="D900" t="s">
        <v>2689</v>
      </c>
      <c r="E900">
        <v>0</v>
      </c>
      <c r="F900">
        <v>906000</v>
      </c>
    </row>
    <row r="901" spans="1:6" x14ac:dyDescent="0.3">
      <c r="A901" t="s">
        <v>948</v>
      </c>
      <c r="B901" t="s">
        <v>16</v>
      </c>
      <c r="C901">
        <v>2015</v>
      </c>
      <c r="D901" t="s">
        <v>2689</v>
      </c>
      <c r="E901">
        <v>125100</v>
      </c>
      <c r="F901">
        <v>160000</v>
      </c>
    </row>
    <row r="902" spans="1:6" x14ac:dyDescent="0.3">
      <c r="A902" t="s">
        <v>949</v>
      </c>
      <c r="B902" t="s">
        <v>16</v>
      </c>
      <c r="C902">
        <v>2015</v>
      </c>
      <c r="D902" t="s">
        <v>2689</v>
      </c>
      <c r="E902">
        <v>0</v>
      </c>
      <c r="F902">
        <v>0</v>
      </c>
    </row>
    <row r="903" spans="1:6" x14ac:dyDescent="0.3">
      <c r="A903" t="s">
        <v>950</v>
      </c>
      <c r="B903" t="s">
        <v>16</v>
      </c>
      <c r="C903">
        <v>2015</v>
      </c>
      <c r="D903" t="s">
        <v>2689</v>
      </c>
      <c r="E903">
        <v>0</v>
      </c>
      <c r="F903">
        <v>0</v>
      </c>
    </row>
    <row r="904" spans="1:6" x14ac:dyDescent="0.3">
      <c r="A904" t="s">
        <v>951</v>
      </c>
      <c r="B904" t="s">
        <v>16</v>
      </c>
      <c r="C904">
        <v>2015</v>
      </c>
      <c r="D904" t="s">
        <v>2689</v>
      </c>
      <c r="E904">
        <v>0</v>
      </c>
      <c r="F904">
        <v>0</v>
      </c>
    </row>
    <row r="905" spans="1:6" x14ac:dyDescent="0.3">
      <c r="A905" t="s">
        <v>952</v>
      </c>
      <c r="B905" t="s">
        <v>16</v>
      </c>
      <c r="C905">
        <v>2016</v>
      </c>
      <c r="D905" t="s">
        <v>14</v>
      </c>
      <c r="E905">
        <v>10808</v>
      </c>
      <c r="F905">
        <v>75000</v>
      </c>
    </row>
    <row r="906" spans="1:6" x14ac:dyDescent="0.3">
      <c r="A906" t="s">
        <v>953</v>
      </c>
      <c r="B906" t="s">
        <v>16</v>
      </c>
      <c r="C906">
        <v>2016</v>
      </c>
      <c r="D906" t="s">
        <v>9</v>
      </c>
      <c r="E906">
        <v>100000</v>
      </c>
      <c r="F906">
        <v>150000</v>
      </c>
    </row>
    <row r="907" spans="1:6" x14ac:dyDescent="0.3">
      <c r="A907" t="s">
        <v>954</v>
      </c>
      <c r="B907" t="s">
        <v>16</v>
      </c>
      <c r="C907">
        <v>2016</v>
      </c>
      <c r="D907" t="s">
        <v>9</v>
      </c>
      <c r="E907">
        <v>0</v>
      </c>
      <c r="F907">
        <v>100000</v>
      </c>
    </row>
    <row r="908" spans="1:6" x14ac:dyDescent="0.3">
      <c r="A908" t="s">
        <v>955</v>
      </c>
      <c r="B908" t="s">
        <v>16</v>
      </c>
      <c r="C908">
        <v>2016</v>
      </c>
      <c r="D908" t="s">
        <v>9</v>
      </c>
      <c r="E908">
        <v>2000000</v>
      </c>
      <c r="F908">
        <v>150000</v>
      </c>
    </row>
    <row r="909" spans="1:6" x14ac:dyDescent="0.3">
      <c r="A909" t="s">
        <v>956</v>
      </c>
      <c r="B909" t="s">
        <v>16</v>
      </c>
      <c r="C909">
        <v>2016</v>
      </c>
      <c r="D909" t="s">
        <v>9</v>
      </c>
      <c r="E909">
        <v>1600000</v>
      </c>
      <c r="F909">
        <v>350000</v>
      </c>
    </row>
    <row r="910" spans="1:6" x14ac:dyDescent="0.3">
      <c r="A910" t="s">
        <v>957</v>
      </c>
      <c r="B910" t="s">
        <v>16</v>
      </c>
      <c r="C910">
        <v>2016</v>
      </c>
      <c r="D910" t="s">
        <v>9</v>
      </c>
      <c r="E910">
        <v>100000</v>
      </c>
      <c r="F910">
        <v>160000</v>
      </c>
    </row>
    <row r="911" spans="1:6" x14ac:dyDescent="0.3">
      <c r="A911" t="s">
        <v>958</v>
      </c>
      <c r="B911" t="s">
        <v>16</v>
      </c>
      <c r="C911">
        <v>2016</v>
      </c>
      <c r="D911" t="s">
        <v>9</v>
      </c>
      <c r="E911">
        <v>3000</v>
      </c>
      <c r="F911">
        <v>0</v>
      </c>
    </row>
    <row r="912" spans="1:6" x14ac:dyDescent="0.3">
      <c r="A912" t="s">
        <v>959</v>
      </c>
      <c r="B912" t="s">
        <v>16</v>
      </c>
      <c r="C912">
        <v>2016</v>
      </c>
      <c r="D912" t="s">
        <v>9</v>
      </c>
      <c r="E912">
        <v>3000</v>
      </c>
      <c r="F912">
        <v>589000</v>
      </c>
    </row>
    <row r="913" spans="1:6" x14ac:dyDescent="0.3">
      <c r="A913" t="s">
        <v>960</v>
      </c>
      <c r="B913" t="s">
        <v>16</v>
      </c>
      <c r="C913">
        <v>2016</v>
      </c>
      <c r="D913" t="s">
        <v>9</v>
      </c>
      <c r="E913">
        <v>0</v>
      </c>
      <c r="F913">
        <v>0</v>
      </c>
    </row>
    <row r="914" spans="1:6" x14ac:dyDescent="0.3">
      <c r="A914" t="s">
        <v>961</v>
      </c>
      <c r="B914" t="s">
        <v>16</v>
      </c>
      <c r="C914">
        <v>2016</v>
      </c>
      <c r="D914" t="s">
        <v>2689</v>
      </c>
      <c r="E914">
        <v>0</v>
      </c>
      <c r="F914">
        <v>0</v>
      </c>
    </row>
    <row r="915" spans="1:6" x14ac:dyDescent="0.3">
      <c r="A915" t="s">
        <v>962</v>
      </c>
      <c r="B915" t="s">
        <v>16</v>
      </c>
      <c r="C915">
        <v>2016</v>
      </c>
      <c r="D915" t="s">
        <v>2689</v>
      </c>
      <c r="E915">
        <v>0</v>
      </c>
      <c r="F915">
        <v>0</v>
      </c>
    </row>
    <row r="916" spans="1:6" x14ac:dyDescent="0.3">
      <c r="A916" t="s">
        <v>963</v>
      </c>
      <c r="B916" t="s">
        <v>16</v>
      </c>
      <c r="C916">
        <v>2016</v>
      </c>
      <c r="D916" t="s">
        <v>2689</v>
      </c>
      <c r="E916">
        <v>0</v>
      </c>
      <c r="F916">
        <v>1000000</v>
      </c>
    </row>
    <row r="917" spans="1:6" x14ac:dyDescent="0.3">
      <c r="A917" t="s">
        <v>964</v>
      </c>
      <c r="B917" t="s">
        <v>16</v>
      </c>
      <c r="C917">
        <v>2017</v>
      </c>
      <c r="D917" t="s">
        <v>9</v>
      </c>
      <c r="E917">
        <v>100000</v>
      </c>
      <c r="F917">
        <v>0</v>
      </c>
    </row>
    <row r="918" spans="1:6" x14ac:dyDescent="0.3">
      <c r="A918" t="s">
        <v>965</v>
      </c>
      <c r="B918" t="s">
        <v>16</v>
      </c>
      <c r="C918">
        <v>2017</v>
      </c>
      <c r="D918" t="s">
        <v>9</v>
      </c>
      <c r="E918">
        <v>0</v>
      </c>
      <c r="F918">
        <v>0</v>
      </c>
    </row>
    <row r="919" spans="1:6" x14ac:dyDescent="0.3">
      <c r="A919" t="s">
        <v>966</v>
      </c>
      <c r="B919" t="s">
        <v>16</v>
      </c>
      <c r="C919">
        <v>2017</v>
      </c>
      <c r="D919" t="s">
        <v>9</v>
      </c>
      <c r="E919">
        <v>1735000</v>
      </c>
      <c r="F919">
        <v>0</v>
      </c>
    </row>
    <row r="920" spans="1:6" x14ac:dyDescent="0.3">
      <c r="A920" t="s">
        <v>967</v>
      </c>
      <c r="B920" t="s">
        <v>16</v>
      </c>
      <c r="C920">
        <v>2017</v>
      </c>
      <c r="D920" t="s">
        <v>9</v>
      </c>
      <c r="E920">
        <v>12831</v>
      </c>
      <c r="F920">
        <v>0</v>
      </c>
    </row>
    <row r="921" spans="1:6" x14ac:dyDescent="0.3">
      <c r="A921" t="s">
        <v>968</v>
      </c>
      <c r="B921" t="s">
        <v>16</v>
      </c>
      <c r="C921">
        <v>2017</v>
      </c>
      <c r="D921" t="s">
        <v>9</v>
      </c>
      <c r="E921">
        <v>520000</v>
      </c>
      <c r="F921">
        <v>250000</v>
      </c>
    </row>
    <row r="922" spans="1:6" x14ac:dyDescent="0.3">
      <c r="A922" t="s">
        <v>969</v>
      </c>
      <c r="B922" t="s">
        <v>16</v>
      </c>
      <c r="C922">
        <v>2017</v>
      </c>
      <c r="D922" t="s">
        <v>9</v>
      </c>
      <c r="E922">
        <v>17200000</v>
      </c>
      <c r="F922">
        <v>1567000</v>
      </c>
    </row>
    <row r="923" spans="1:6" x14ac:dyDescent="0.3">
      <c r="A923" t="s">
        <v>970</v>
      </c>
      <c r="B923" t="s">
        <v>16</v>
      </c>
      <c r="C923">
        <v>2017</v>
      </c>
      <c r="D923" t="s">
        <v>9</v>
      </c>
      <c r="E923">
        <v>12</v>
      </c>
      <c r="F923">
        <v>300000</v>
      </c>
    </row>
    <row r="924" spans="1:6" x14ac:dyDescent="0.3">
      <c r="A924" t="s">
        <v>971</v>
      </c>
      <c r="B924" t="s">
        <v>16</v>
      </c>
      <c r="C924">
        <v>2017</v>
      </c>
      <c r="D924" t="s">
        <v>9</v>
      </c>
      <c r="E924">
        <v>4000</v>
      </c>
      <c r="F924">
        <v>0</v>
      </c>
    </row>
    <row r="925" spans="1:6" x14ac:dyDescent="0.3">
      <c r="A925" t="s">
        <v>972</v>
      </c>
      <c r="B925" t="s">
        <v>16</v>
      </c>
      <c r="C925">
        <v>2017</v>
      </c>
      <c r="D925" t="s">
        <v>9</v>
      </c>
      <c r="E925">
        <v>2700000</v>
      </c>
      <c r="F925">
        <v>0</v>
      </c>
    </row>
    <row r="926" spans="1:6" x14ac:dyDescent="0.3">
      <c r="A926" t="s">
        <v>973</v>
      </c>
      <c r="B926" t="s">
        <v>16</v>
      </c>
      <c r="C926">
        <v>2017</v>
      </c>
      <c r="D926" t="s">
        <v>2689</v>
      </c>
      <c r="E926">
        <v>1970</v>
      </c>
      <c r="F926">
        <v>0</v>
      </c>
    </row>
    <row r="927" spans="1:6" x14ac:dyDescent="0.3">
      <c r="A927" t="s">
        <v>974</v>
      </c>
      <c r="B927" t="s">
        <v>16</v>
      </c>
      <c r="C927">
        <v>2017</v>
      </c>
      <c r="D927" t="s">
        <v>2689</v>
      </c>
      <c r="E927">
        <v>12</v>
      </c>
      <c r="F927">
        <v>0</v>
      </c>
    </row>
    <row r="928" spans="1:6" x14ac:dyDescent="0.3">
      <c r="A928" t="s">
        <v>975</v>
      </c>
      <c r="B928" t="s">
        <v>16</v>
      </c>
      <c r="C928">
        <v>2017</v>
      </c>
      <c r="D928" t="s">
        <v>2689</v>
      </c>
      <c r="E928">
        <v>60000</v>
      </c>
      <c r="F928">
        <v>0</v>
      </c>
    </row>
    <row r="929" spans="1:6" x14ac:dyDescent="0.3">
      <c r="A929" t="s">
        <v>976</v>
      </c>
      <c r="B929" t="s">
        <v>16</v>
      </c>
      <c r="C929">
        <v>2017</v>
      </c>
      <c r="D929" t="s">
        <v>2689</v>
      </c>
      <c r="E929">
        <v>1250</v>
      </c>
      <c r="F929">
        <v>0</v>
      </c>
    </row>
    <row r="930" spans="1:6" x14ac:dyDescent="0.3">
      <c r="A930" t="s">
        <v>977</v>
      </c>
      <c r="B930" t="s">
        <v>16</v>
      </c>
      <c r="C930">
        <v>2017</v>
      </c>
      <c r="D930" t="s">
        <v>2689</v>
      </c>
      <c r="E930">
        <v>60020</v>
      </c>
      <c r="F930">
        <v>0</v>
      </c>
    </row>
    <row r="931" spans="1:6" x14ac:dyDescent="0.3">
      <c r="A931" t="s">
        <v>978</v>
      </c>
      <c r="B931" t="s">
        <v>16</v>
      </c>
      <c r="C931">
        <v>2018</v>
      </c>
      <c r="D931" t="s">
        <v>7</v>
      </c>
      <c r="E931">
        <v>8200000</v>
      </c>
      <c r="F931">
        <v>1100000</v>
      </c>
    </row>
    <row r="932" spans="1:6" x14ac:dyDescent="0.3">
      <c r="A932" t="s">
        <v>979</v>
      </c>
      <c r="B932" t="s">
        <v>16</v>
      </c>
      <c r="C932">
        <v>2018</v>
      </c>
      <c r="D932" t="s">
        <v>9</v>
      </c>
      <c r="E932">
        <v>0</v>
      </c>
      <c r="F932">
        <v>0</v>
      </c>
    </row>
    <row r="933" spans="1:6" x14ac:dyDescent="0.3">
      <c r="A933" t="s">
        <v>980</v>
      </c>
      <c r="B933" t="s">
        <v>16</v>
      </c>
      <c r="C933">
        <v>2018</v>
      </c>
      <c r="D933" t="s">
        <v>9</v>
      </c>
      <c r="E933">
        <v>11728</v>
      </c>
      <c r="F933">
        <v>10000</v>
      </c>
    </row>
    <row r="934" spans="1:6" x14ac:dyDescent="0.3">
      <c r="A934" t="s">
        <v>981</v>
      </c>
      <c r="B934" t="s">
        <v>16</v>
      </c>
      <c r="C934">
        <v>2018</v>
      </c>
      <c r="D934" t="s">
        <v>9</v>
      </c>
      <c r="E934">
        <v>4945</v>
      </c>
      <c r="F934">
        <v>2500</v>
      </c>
    </row>
    <row r="935" spans="1:6" x14ac:dyDescent="0.3">
      <c r="A935" t="s">
        <v>982</v>
      </c>
      <c r="B935" t="s">
        <v>16</v>
      </c>
      <c r="C935">
        <v>2018</v>
      </c>
      <c r="D935" t="s">
        <v>9</v>
      </c>
      <c r="E935">
        <v>1545</v>
      </c>
      <c r="F935">
        <v>0</v>
      </c>
    </row>
    <row r="936" spans="1:6" x14ac:dyDescent="0.3">
      <c r="A936" t="s">
        <v>983</v>
      </c>
      <c r="B936" t="s">
        <v>16</v>
      </c>
      <c r="C936">
        <v>2018</v>
      </c>
      <c r="D936" t="s">
        <v>9</v>
      </c>
      <c r="E936">
        <v>41430</v>
      </c>
      <c r="F936">
        <v>0</v>
      </c>
    </row>
    <row r="937" spans="1:6" x14ac:dyDescent="0.3">
      <c r="A937" t="s">
        <v>984</v>
      </c>
      <c r="B937" t="s">
        <v>16</v>
      </c>
      <c r="C937">
        <v>2018</v>
      </c>
      <c r="D937" t="s">
        <v>9</v>
      </c>
      <c r="E937">
        <v>23220000</v>
      </c>
      <c r="F937">
        <v>2852480</v>
      </c>
    </row>
    <row r="938" spans="1:6" x14ac:dyDescent="0.3">
      <c r="A938" t="s">
        <v>985</v>
      </c>
      <c r="B938" t="s">
        <v>16</v>
      </c>
      <c r="C938">
        <v>2018</v>
      </c>
      <c r="D938" t="s">
        <v>9</v>
      </c>
      <c r="E938">
        <v>25000</v>
      </c>
      <c r="F938">
        <v>0</v>
      </c>
    </row>
    <row r="939" spans="1:6" x14ac:dyDescent="0.3">
      <c r="A939" t="s">
        <v>986</v>
      </c>
      <c r="B939" t="s">
        <v>16</v>
      </c>
      <c r="C939">
        <v>2018</v>
      </c>
      <c r="D939" t="s">
        <v>9</v>
      </c>
      <c r="E939">
        <v>3050</v>
      </c>
      <c r="F939">
        <v>0</v>
      </c>
    </row>
    <row r="940" spans="1:6" x14ac:dyDescent="0.3">
      <c r="A940" t="s">
        <v>987</v>
      </c>
      <c r="B940" t="s">
        <v>16</v>
      </c>
      <c r="C940">
        <v>2018</v>
      </c>
      <c r="D940" t="s">
        <v>9</v>
      </c>
      <c r="E940">
        <v>0</v>
      </c>
      <c r="F940">
        <v>0</v>
      </c>
    </row>
    <row r="941" spans="1:6" x14ac:dyDescent="0.3">
      <c r="A941" t="s">
        <v>988</v>
      </c>
      <c r="B941" t="s">
        <v>16</v>
      </c>
      <c r="C941">
        <v>2018</v>
      </c>
      <c r="D941" t="s">
        <v>2689</v>
      </c>
      <c r="E941">
        <v>200</v>
      </c>
      <c r="F941">
        <v>100000</v>
      </c>
    </row>
    <row r="942" spans="1:6" x14ac:dyDescent="0.3">
      <c r="A942" t="s">
        <v>989</v>
      </c>
      <c r="B942" t="s">
        <v>16</v>
      </c>
      <c r="C942">
        <v>2018</v>
      </c>
      <c r="D942" t="s">
        <v>2689</v>
      </c>
      <c r="E942">
        <v>22050</v>
      </c>
      <c r="F942">
        <v>100000</v>
      </c>
    </row>
    <row r="943" spans="1:6" x14ac:dyDescent="0.3">
      <c r="A943" t="s">
        <v>990</v>
      </c>
      <c r="B943" t="s">
        <v>16</v>
      </c>
      <c r="C943">
        <v>2018</v>
      </c>
      <c r="D943" t="s">
        <v>2689</v>
      </c>
      <c r="E943">
        <v>0</v>
      </c>
      <c r="F943">
        <v>0</v>
      </c>
    </row>
    <row r="944" spans="1:6" x14ac:dyDescent="0.3">
      <c r="A944" t="s">
        <v>991</v>
      </c>
      <c r="B944" t="s">
        <v>16</v>
      </c>
      <c r="C944">
        <v>2018</v>
      </c>
      <c r="D944" t="s">
        <v>2689</v>
      </c>
      <c r="E944">
        <v>200</v>
      </c>
      <c r="F944">
        <v>24000</v>
      </c>
    </row>
    <row r="945" spans="1:6" x14ac:dyDescent="0.3">
      <c r="A945" t="s">
        <v>992</v>
      </c>
      <c r="B945" t="s">
        <v>16</v>
      </c>
      <c r="C945">
        <v>2018</v>
      </c>
      <c r="D945" t="s">
        <v>2689</v>
      </c>
      <c r="E945">
        <v>0</v>
      </c>
      <c r="F945">
        <v>0</v>
      </c>
    </row>
    <row r="946" spans="1:6" x14ac:dyDescent="0.3">
      <c r="A946" t="s">
        <v>993</v>
      </c>
      <c r="B946" t="s">
        <v>16</v>
      </c>
      <c r="C946">
        <v>2018</v>
      </c>
      <c r="D946" t="s">
        <v>2689</v>
      </c>
      <c r="E946">
        <v>0</v>
      </c>
      <c r="F946">
        <v>50000</v>
      </c>
    </row>
    <row r="947" spans="1:6" x14ac:dyDescent="0.3">
      <c r="A947" t="s">
        <v>994</v>
      </c>
      <c r="B947" t="s">
        <v>16</v>
      </c>
      <c r="C947">
        <v>2018</v>
      </c>
      <c r="D947" t="s">
        <v>2689</v>
      </c>
      <c r="E947">
        <v>21000</v>
      </c>
      <c r="F947">
        <v>50000</v>
      </c>
    </row>
    <row r="948" spans="1:6" x14ac:dyDescent="0.3">
      <c r="A948" t="s">
        <v>995</v>
      </c>
      <c r="B948" t="s">
        <v>16</v>
      </c>
      <c r="C948">
        <v>2018</v>
      </c>
      <c r="D948" t="s">
        <v>2689</v>
      </c>
      <c r="E948">
        <v>0</v>
      </c>
      <c r="F948">
        <v>25000</v>
      </c>
    </row>
    <row r="949" spans="1:6" x14ac:dyDescent="0.3">
      <c r="A949" t="s">
        <v>996</v>
      </c>
      <c r="B949" t="s">
        <v>16</v>
      </c>
      <c r="C949">
        <v>2018</v>
      </c>
      <c r="D949" t="s">
        <v>2689</v>
      </c>
      <c r="E949">
        <v>300200</v>
      </c>
      <c r="F949">
        <v>920000</v>
      </c>
    </row>
    <row r="950" spans="1:6" x14ac:dyDescent="0.3">
      <c r="A950" t="s">
        <v>997</v>
      </c>
      <c r="B950" t="s">
        <v>16</v>
      </c>
      <c r="C950">
        <v>2018</v>
      </c>
      <c r="D950" t="s">
        <v>2689</v>
      </c>
      <c r="E950">
        <v>500000</v>
      </c>
      <c r="F950">
        <v>775000</v>
      </c>
    </row>
    <row r="951" spans="1:6" x14ac:dyDescent="0.3">
      <c r="A951" t="s">
        <v>998</v>
      </c>
      <c r="B951" t="s">
        <v>16</v>
      </c>
      <c r="C951">
        <v>2018</v>
      </c>
      <c r="D951" t="s">
        <v>2689</v>
      </c>
      <c r="E951">
        <v>10000</v>
      </c>
      <c r="F951">
        <v>100000</v>
      </c>
    </row>
    <row r="952" spans="1:6" x14ac:dyDescent="0.3">
      <c r="A952" t="s">
        <v>999</v>
      </c>
      <c r="B952" t="s">
        <v>16</v>
      </c>
      <c r="C952">
        <v>2019</v>
      </c>
      <c r="D952" t="s">
        <v>9</v>
      </c>
      <c r="E952">
        <v>60</v>
      </c>
      <c r="F952">
        <v>0</v>
      </c>
    </row>
    <row r="953" spans="1:6" x14ac:dyDescent="0.3">
      <c r="A953" t="s">
        <v>1000</v>
      </c>
      <c r="B953" t="s">
        <v>16</v>
      </c>
      <c r="C953">
        <v>2019</v>
      </c>
      <c r="D953" t="s">
        <v>9</v>
      </c>
      <c r="E953">
        <v>3000000</v>
      </c>
      <c r="F953">
        <v>10000000</v>
      </c>
    </row>
    <row r="954" spans="1:6" x14ac:dyDescent="0.3">
      <c r="A954" t="s">
        <v>1001</v>
      </c>
      <c r="B954" t="s">
        <v>16</v>
      </c>
      <c r="C954">
        <v>2019</v>
      </c>
      <c r="D954" t="s">
        <v>9</v>
      </c>
      <c r="E954">
        <v>17500</v>
      </c>
      <c r="F954">
        <v>0</v>
      </c>
    </row>
    <row r="955" spans="1:6" x14ac:dyDescent="0.3">
      <c r="A955" t="s">
        <v>1002</v>
      </c>
      <c r="B955" t="s">
        <v>16</v>
      </c>
      <c r="C955">
        <v>2019</v>
      </c>
      <c r="D955" t="s">
        <v>9</v>
      </c>
      <c r="E955">
        <v>27500</v>
      </c>
      <c r="F955">
        <v>0</v>
      </c>
    </row>
    <row r="956" spans="1:6" x14ac:dyDescent="0.3">
      <c r="A956" t="s">
        <v>1003</v>
      </c>
      <c r="B956" t="s">
        <v>16</v>
      </c>
      <c r="C956">
        <v>2019</v>
      </c>
      <c r="D956" t="s">
        <v>9</v>
      </c>
      <c r="E956">
        <v>25000</v>
      </c>
      <c r="F956">
        <v>0</v>
      </c>
    </row>
    <row r="957" spans="1:6" x14ac:dyDescent="0.3">
      <c r="A957" t="s">
        <v>1004</v>
      </c>
      <c r="B957" t="s">
        <v>16</v>
      </c>
      <c r="C957">
        <v>2019</v>
      </c>
      <c r="D957" t="s">
        <v>2689</v>
      </c>
      <c r="E957">
        <v>0</v>
      </c>
      <c r="F957">
        <v>0</v>
      </c>
    </row>
    <row r="958" spans="1:6" x14ac:dyDescent="0.3">
      <c r="A958" t="s">
        <v>1005</v>
      </c>
      <c r="B958" t="s">
        <v>16</v>
      </c>
      <c r="C958">
        <v>2019</v>
      </c>
      <c r="D958" t="s">
        <v>2689</v>
      </c>
      <c r="E958">
        <v>20000000</v>
      </c>
      <c r="F958">
        <v>1810000</v>
      </c>
    </row>
    <row r="959" spans="1:6" x14ac:dyDescent="0.3">
      <c r="A959" t="s">
        <v>1006</v>
      </c>
      <c r="B959" t="s">
        <v>16</v>
      </c>
      <c r="C959">
        <v>2019</v>
      </c>
      <c r="D959" t="s">
        <v>2689</v>
      </c>
      <c r="E959">
        <v>0</v>
      </c>
      <c r="F959">
        <v>0</v>
      </c>
    </row>
    <row r="960" spans="1:6" x14ac:dyDescent="0.3">
      <c r="A960" t="s">
        <v>1007</v>
      </c>
      <c r="B960" t="s">
        <v>16</v>
      </c>
      <c r="C960">
        <v>2019</v>
      </c>
      <c r="D960" t="s">
        <v>2689</v>
      </c>
      <c r="E960">
        <v>0</v>
      </c>
      <c r="F960">
        <v>0</v>
      </c>
    </row>
    <row r="961" spans="1:6" x14ac:dyDescent="0.3">
      <c r="A961" t="s">
        <v>1008</v>
      </c>
      <c r="B961" t="s">
        <v>16</v>
      </c>
      <c r="C961">
        <v>2019</v>
      </c>
      <c r="D961" t="s">
        <v>2689</v>
      </c>
      <c r="E961">
        <v>130000</v>
      </c>
      <c r="F961">
        <v>0</v>
      </c>
    </row>
    <row r="962" spans="1:6" x14ac:dyDescent="0.3">
      <c r="A962" t="s">
        <v>1009</v>
      </c>
      <c r="B962" t="s">
        <v>16</v>
      </c>
      <c r="C962">
        <v>2020</v>
      </c>
      <c r="D962" t="s">
        <v>9</v>
      </c>
      <c r="E962">
        <v>0</v>
      </c>
      <c r="F962">
        <v>10000</v>
      </c>
    </row>
    <row r="963" spans="1:6" x14ac:dyDescent="0.3">
      <c r="A963" t="s">
        <v>1010</v>
      </c>
      <c r="B963" t="s">
        <v>16</v>
      </c>
      <c r="C963">
        <v>2020</v>
      </c>
      <c r="D963" t="s">
        <v>9</v>
      </c>
      <c r="E963">
        <v>30002</v>
      </c>
      <c r="F963">
        <v>0</v>
      </c>
    </row>
    <row r="964" spans="1:6" x14ac:dyDescent="0.3">
      <c r="A964" t="s">
        <v>1011</v>
      </c>
      <c r="B964" t="s">
        <v>16</v>
      </c>
      <c r="C964">
        <v>2020</v>
      </c>
      <c r="D964" t="s">
        <v>9</v>
      </c>
      <c r="E964">
        <v>5000</v>
      </c>
      <c r="F964">
        <v>0</v>
      </c>
    </row>
    <row r="965" spans="1:6" x14ac:dyDescent="0.3">
      <c r="A965" t="s">
        <v>1012</v>
      </c>
      <c r="B965" t="s">
        <v>16</v>
      </c>
      <c r="C965">
        <v>2020</v>
      </c>
      <c r="D965" t="s">
        <v>9</v>
      </c>
      <c r="E965">
        <v>1300000</v>
      </c>
      <c r="F965">
        <v>7500000</v>
      </c>
    </row>
    <row r="966" spans="1:6" x14ac:dyDescent="0.3">
      <c r="A966" t="s">
        <v>1013</v>
      </c>
      <c r="B966" t="s">
        <v>16</v>
      </c>
      <c r="C966">
        <v>2020</v>
      </c>
      <c r="D966" t="s">
        <v>9</v>
      </c>
      <c r="E966">
        <v>150000</v>
      </c>
      <c r="F966">
        <v>4000000</v>
      </c>
    </row>
    <row r="967" spans="1:6" x14ac:dyDescent="0.3">
      <c r="A967" t="s">
        <v>1014</v>
      </c>
      <c r="B967" t="s">
        <v>16</v>
      </c>
      <c r="C967">
        <v>2020</v>
      </c>
      <c r="D967" t="s">
        <v>2689</v>
      </c>
      <c r="E967">
        <v>0</v>
      </c>
      <c r="F967">
        <v>0</v>
      </c>
    </row>
    <row r="968" spans="1:6" x14ac:dyDescent="0.3">
      <c r="A968" t="s">
        <v>1015</v>
      </c>
      <c r="B968" t="s">
        <v>16</v>
      </c>
      <c r="C968">
        <v>2020</v>
      </c>
      <c r="D968" t="s">
        <v>2689</v>
      </c>
      <c r="E968">
        <v>18000000</v>
      </c>
      <c r="F968">
        <v>13500000</v>
      </c>
    </row>
    <row r="969" spans="1:6" x14ac:dyDescent="0.3">
      <c r="A969" t="s">
        <v>1016</v>
      </c>
      <c r="B969" t="s">
        <v>16</v>
      </c>
      <c r="C969">
        <v>2020</v>
      </c>
      <c r="D969" t="s">
        <v>2689</v>
      </c>
      <c r="E969">
        <v>7500</v>
      </c>
      <c r="F969">
        <v>820000</v>
      </c>
    </row>
    <row r="970" spans="1:6" x14ac:dyDescent="0.3">
      <c r="A970" t="s">
        <v>1017</v>
      </c>
      <c r="B970" t="s">
        <v>16</v>
      </c>
      <c r="C970">
        <v>2020</v>
      </c>
      <c r="D970" t="s">
        <v>2689</v>
      </c>
      <c r="E970">
        <v>0</v>
      </c>
      <c r="F970">
        <v>600000</v>
      </c>
    </row>
    <row r="971" spans="1:6" x14ac:dyDescent="0.3">
      <c r="A971" t="s">
        <v>1018</v>
      </c>
      <c r="B971" t="s">
        <v>16</v>
      </c>
      <c r="C971">
        <v>2021</v>
      </c>
      <c r="D971" t="s">
        <v>14</v>
      </c>
      <c r="E971">
        <v>3010</v>
      </c>
      <c r="F971">
        <v>0</v>
      </c>
    </row>
    <row r="972" spans="1:6" x14ac:dyDescent="0.3">
      <c r="A972" t="s">
        <v>1019</v>
      </c>
      <c r="B972" t="s">
        <v>16</v>
      </c>
      <c r="C972">
        <v>2021</v>
      </c>
      <c r="D972" t="s">
        <v>9</v>
      </c>
      <c r="E972">
        <v>1000</v>
      </c>
      <c r="F972">
        <v>100000</v>
      </c>
    </row>
    <row r="973" spans="1:6" x14ac:dyDescent="0.3">
      <c r="A973" t="s">
        <v>1020</v>
      </c>
      <c r="B973" t="s">
        <v>16</v>
      </c>
      <c r="C973">
        <v>2021</v>
      </c>
      <c r="D973" t="s">
        <v>9</v>
      </c>
      <c r="E973">
        <v>7587</v>
      </c>
      <c r="F973">
        <v>0</v>
      </c>
    </row>
    <row r="974" spans="1:6" x14ac:dyDescent="0.3">
      <c r="A974" t="s">
        <v>1021</v>
      </c>
      <c r="B974" t="s">
        <v>16</v>
      </c>
      <c r="C974">
        <v>2021</v>
      </c>
      <c r="D974" t="s">
        <v>9</v>
      </c>
      <c r="E974">
        <v>375000</v>
      </c>
      <c r="F974">
        <v>3100000</v>
      </c>
    </row>
    <row r="975" spans="1:6" x14ac:dyDescent="0.3">
      <c r="A975" t="s">
        <v>1022</v>
      </c>
      <c r="B975" t="s">
        <v>16</v>
      </c>
      <c r="C975">
        <v>2021</v>
      </c>
      <c r="D975" t="s">
        <v>9</v>
      </c>
      <c r="E975">
        <v>122</v>
      </c>
      <c r="F975">
        <v>0</v>
      </c>
    </row>
    <row r="976" spans="1:6" x14ac:dyDescent="0.3">
      <c r="A976" t="s">
        <v>1023</v>
      </c>
      <c r="B976" t="s">
        <v>16</v>
      </c>
      <c r="C976">
        <v>2021</v>
      </c>
      <c r="D976" t="s">
        <v>9</v>
      </c>
      <c r="E976">
        <v>850000</v>
      </c>
      <c r="F976">
        <v>0</v>
      </c>
    </row>
    <row r="977" spans="1:6" x14ac:dyDescent="0.3">
      <c r="A977" t="s">
        <v>1024</v>
      </c>
      <c r="B977" t="s">
        <v>16</v>
      </c>
      <c r="C977">
        <v>2021</v>
      </c>
      <c r="D977" t="s">
        <v>9</v>
      </c>
      <c r="E977">
        <v>3950</v>
      </c>
      <c r="F977">
        <v>0</v>
      </c>
    </row>
    <row r="978" spans="1:6" x14ac:dyDescent="0.3">
      <c r="A978" t="s">
        <v>1025</v>
      </c>
      <c r="B978" t="s">
        <v>16</v>
      </c>
      <c r="C978">
        <v>2021</v>
      </c>
      <c r="D978" t="s">
        <v>9</v>
      </c>
      <c r="E978">
        <v>1402</v>
      </c>
      <c r="F978">
        <v>0</v>
      </c>
    </row>
    <row r="979" spans="1:6" x14ac:dyDescent="0.3">
      <c r="A979" t="s">
        <v>1026</v>
      </c>
      <c r="B979" t="s">
        <v>16</v>
      </c>
      <c r="C979">
        <v>2021</v>
      </c>
      <c r="D979" t="s">
        <v>9</v>
      </c>
      <c r="E979">
        <v>11000</v>
      </c>
      <c r="F979">
        <v>0</v>
      </c>
    </row>
    <row r="980" spans="1:6" x14ac:dyDescent="0.3">
      <c r="A980" t="s">
        <v>1027</v>
      </c>
      <c r="B980" t="s">
        <v>16</v>
      </c>
      <c r="C980">
        <v>2021</v>
      </c>
      <c r="D980" t="s">
        <v>9</v>
      </c>
      <c r="E980">
        <v>74500</v>
      </c>
      <c r="F980">
        <v>0</v>
      </c>
    </row>
    <row r="981" spans="1:6" x14ac:dyDescent="0.3">
      <c r="A981" t="s">
        <v>1028</v>
      </c>
      <c r="B981" t="s">
        <v>16</v>
      </c>
      <c r="C981">
        <v>2021</v>
      </c>
      <c r="D981" t="s">
        <v>2689</v>
      </c>
      <c r="E981">
        <v>700153</v>
      </c>
      <c r="F981">
        <v>1400000</v>
      </c>
    </row>
    <row r="982" spans="1:6" x14ac:dyDescent="0.3">
      <c r="A982" t="s">
        <v>1029</v>
      </c>
      <c r="B982" t="s">
        <v>16</v>
      </c>
      <c r="C982">
        <v>2021</v>
      </c>
      <c r="D982" t="s">
        <v>2689</v>
      </c>
      <c r="E982">
        <v>1625000</v>
      </c>
      <c r="F982">
        <v>3000000</v>
      </c>
    </row>
    <row r="983" spans="1:6" x14ac:dyDescent="0.3">
      <c r="A983" t="s">
        <v>1030</v>
      </c>
      <c r="B983" t="s">
        <v>16</v>
      </c>
      <c r="C983">
        <v>2021</v>
      </c>
      <c r="D983" t="s">
        <v>2689</v>
      </c>
      <c r="E983">
        <v>0</v>
      </c>
      <c r="F983">
        <v>0</v>
      </c>
    </row>
    <row r="984" spans="1:6" x14ac:dyDescent="0.3">
      <c r="A984" t="s">
        <v>1031</v>
      </c>
      <c r="B984" t="s">
        <v>16</v>
      </c>
      <c r="C984">
        <v>2021</v>
      </c>
      <c r="D984" t="s">
        <v>2689</v>
      </c>
      <c r="E984">
        <v>179000</v>
      </c>
      <c r="F984">
        <v>0</v>
      </c>
    </row>
    <row r="985" spans="1:6" x14ac:dyDescent="0.3">
      <c r="A985" t="s">
        <v>1032</v>
      </c>
      <c r="B985" t="s">
        <v>16</v>
      </c>
      <c r="C985">
        <v>2021</v>
      </c>
      <c r="D985" t="s">
        <v>2689</v>
      </c>
      <c r="E985">
        <v>2050</v>
      </c>
      <c r="F985">
        <v>0</v>
      </c>
    </row>
    <row r="986" spans="1:6" x14ac:dyDescent="0.3">
      <c r="A986" t="s">
        <v>1033</v>
      </c>
      <c r="B986" t="s">
        <v>16</v>
      </c>
      <c r="C986">
        <v>2022</v>
      </c>
      <c r="D986" t="s">
        <v>9</v>
      </c>
      <c r="E986">
        <v>1301260</v>
      </c>
      <c r="F986">
        <v>4200000</v>
      </c>
    </row>
    <row r="987" spans="1:6" x14ac:dyDescent="0.3">
      <c r="A987" t="s">
        <v>1034</v>
      </c>
      <c r="B987" t="s">
        <v>16</v>
      </c>
      <c r="C987">
        <v>2022</v>
      </c>
      <c r="D987" t="s">
        <v>9</v>
      </c>
      <c r="E987">
        <v>800000</v>
      </c>
      <c r="F987">
        <v>0</v>
      </c>
    </row>
    <row r="988" spans="1:6" x14ac:dyDescent="0.3">
      <c r="A988" t="s">
        <v>1035</v>
      </c>
      <c r="B988" t="s">
        <v>16</v>
      </c>
      <c r="C988">
        <v>2022</v>
      </c>
      <c r="D988" t="s">
        <v>9</v>
      </c>
      <c r="E988">
        <v>0</v>
      </c>
      <c r="F988">
        <v>0</v>
      </c>
    </row>
    <row r="989" spans="1:6" x14ac:dyDescent="0.3">
      <c r="A989" t="s">
        <v>1036</v>
      </c>
      <c r="B989" t="s">
        <v>16</v>
      </c>
      <c r="C989">
        <v>2022</v>
      </c>
      <c r="D989" t="s">
        <v>2689</v>
      </c>
      <c r="E989">
        <v>95000</v>
      </c>
      <c r="F989">
        <v>0</v>
      </c>
    </row>
    <row r="990" spans="1:6" x14ac:dyDescent="0.3">
      <c r="A990" t="s">
        <v>1037</v>
      </c>
      <c r="B990" t="s">
        <v>16</v>
      </c>
      <c r="C990">
        <v>2022</v>
      </c>
      <c r="D990" t="s">
        <v>2689</v>
      </c>
      <c r="E990">
        <v>0</v>
      </c>
      <c r="F990">
        <v>0</v>
      </c>
    </row>
    <row r="991" spans="1:6" x14ac:dyDescent="0.3">
      <c r="A991" t="s">
        <v>1038</v>
      </c>
      <c r="B991" t="s">
        <v>16</v>
      </c>
      <c r="C991">
        <v>2023</v>
      </c>
      <c r="D991" t="s">
        <v>9</v>
      </c>
      <c r="E991">
        <v>500000</v>
      </c>
      <c r="F991">
        <v>0</v>
      </c>
    </row>
    <row r="992" spans="1:6" x14ac:dyDescent="0.3">
      <c r="A992" t="s">
        <v>1039</v>
      </c>
      <c r="B992" t="s">
        <v>16</v>
      </c>
      <c r="C992">
        <v>2023</v>
      </c>
      <c r="D992" t="s">
        <v>9</v>
      </c>
      <c r="E992">
        <v>5</v>
      </c>
      <c r="F992">
        <v>3000</v>
      </c>
    </row>
    <row r="993" spans="1:6" x14ac:dyDescent="0.3">
      <c r="A993" t="s">
        <v>1040</v>
      </c>
      <c r="B993" t="s">
        <v>16</v>
      </c>
      <c r="C993">
        <v>2023</v>
      </c>
      <c r="D993" t="s">
        <v>9</v>
      </c>
      <c r="E993">
        <v>10250000</v>
      </c>
      <c r="F993">
        <v>0</v>
      </c>
    </row>
    <row r="994" spans="1:6" x14ac:dyDescent="0.3">
      <c r="A994" t="s">
        <v>1041</v>
      </c>
      <c r="B994" t="s">
        <v>16</v>
      </c>
      <c r="C994">
        <v>2023</v>
      </c>
      <c r="D994" t="s">
        <v>9</v>
      </c>
      <c r="E994">
        <v>0</v>
      </c>
      <c r="F994">
        <v>0</v>
      </c>
    </row>
    <row r="995" spans="1:6" x14ac:dyDescent="0.3">
      <c r="A995" t="s">
        <v>1042</v>
      </c>
      <c r="B995" t="s">
        <v>16</v>
      </c>
      <c r="C995">
        <v>2023</v>
      </c>
      <c r="D995" t="s">
        <v>9</v>
      </c>
      <c r="E995">
        <v>0</v>
      </c>
      <c r="F995">
        <v>0</v>
      </c>
    </row>
    <row r="996" spans="1:6" x14ac:dyDescent="0.3">
      <c r="A996" t="s">
        <v>1043</v>
      </c>
      <c r="B996" t="s">
        <v>16</v>
      </c>
      <c r="C996">
        <v>2023</v>
      </c>
      <c r="D996" t="s">
        <v>2689</v>
      </c>
      <c r="E996">
        <v>14</v>
      </c>
      <c r="F996">
        <v>0</v>
      </c>
    </row>
    <row r="997" spans="1:6" x14ac:dyDescent="0.3">
      <c r="A997" t="s">
        <v>1044</v>
      </c>
      <c r="B997" t="s">
        <v>16</v>
      </c>
      <c r="C997">
        <v>2023</v>
      </c>
      <c r="D997" t="s">
        <v>2689</v>
      </c>
      <c r="E997">
        <v>1000</v>
      </c>
      <c r="F997">
        <v>0</v>
      </c>
    </row>
    <row r="998" spans="1:6" x14ac:dyDescent="0.3">
      <c r="A998" t="s">
        <v>1045</v>
      </c>
      <c r="B998" t="s">
        <v>16</v>
      </c>
      <c r="C998">
        <v>2023</v>
      </c>
      <c r="D998" t="s">
        <v>2689</v>
      </c>
      <c r="E998">
        <v>10000</v>
      </c>
      <c r="F998">
        <v>0</v>
      </c>
    </row>
    <row r="999" spans="1:6" x14ac:dyDescent="0.3">
      <c r="A999" t="s">
        <v>1046</v>
      </c>
      <c r="B999" t="s">
        <v>16</v>
      </c>
      <c r="C999">
        <v>2023</v>
      </c>
      <c r="D999" t="s">
        <v>2689</v>
      </c>
      <c r="E999">
        <v>1074</v>
      </c>
      <c r="F999">
        <v>0</v>
      </c>
    </row>
    <row r="1000" spans="1:6" x14ac:dyDescent="0.3">
      <c r="A1000" t="s">
        <v>1047</v>
      </c>
      <c r="B1000" t="s">
        <v>16</v>
      </c>
      <c r="C1000">
        <v>2023</v>
      </c>
      <c r="D1000" t="s">
        <v>2689</v>
      </c>
      <c r="E1000">
        <v>4390000</v>
      </c>
      <c r="F1000">
        <v>125000</v>
      </c>
    </row>
    <row r="1001" spans="1:6" x14ac:dyDescent="0.3">
      <c r="A1001" t="s">
        <v>1048</v>
      </c>
      <c r="B1001" t="s">
        <v>16</v>
      </c>
      <c r="C1001">
        <v>2023</v>
      </c>
      <c r="D1001" t="s">
        <v>2689</v>
      </c>
      <c r="E1001">
        <v>25</v>
      </c>
      <c r="F1001">
        <v>0</v>
      </c>
    </row>
    <row r="1002" spans="1:6" x14ac:dyDescent="0.3">
      <c r="A1002" t="s">
        <v>1049</v>
      </c>
      <c r="B1002" t="s">
        <v>16</v>
      </c>
      <c r="C1002">
        <v>2024</v>
      </c>
      <c r="D1002" t="s">
        <v>9</v>
      </c>
      <c r="E1002">
        <v>2100000</v>
      </c>
      <c r="F1002">
        <v>0</v>
      </c>
    </row>
    <row r="1003" spans="1:6" x14ac:dyDescent="0.3">
      <c r="A1003" t="s">
        <v>1050</v>
      </c>
      <c r="B1003" t="s">
        <v>16</v>
      </c>
      <c r="C1003">
        <v>2024</v>
      </c>
      <c r="D1003" t="s">
        <v>9</v>
      </c>
      <c r="E1003">
        <v>1000020</v>
      </c>
      <c r="F1003">
        <v>0</v>
      </c>
    </row>
    <row r="1004" spans="1:6" x14ac:dyDescent="0.3">
      <c r="A1004" t="s">
        <v>1051</v>
      </c>
      <c r="B1004" t="s">
        <v>16</v>
      </c>
      <c r="C1004">
        <v>2024</v>
      </c>
      <c r="D1004" t="s">
        <v>9</v>
      </c>
      <c r="E1004">
        <v>0</v>
      </c>
      <c r="F1004">
        <v>0</v>
      </c>
    </row>
    <row r="1005" spans="1:6" x14ac:dyDescent="0.3">
      <c r="A1005" t="s">
        <v>1052</v>
      </c>
      <c r="B1005" t="s">
        <v>16</v>
      </c>
      <c r="C1005">
        <v>2024</v>
      </c>
      <c r="D1005" t="s">
        <v>9</v>
      </c>
      <c r="E1005">
        <v>1700000</v>
      </c>
      <c r="F1005">
        <v>0</v>
      </c>
    </row>
    <row r="1006" spans="1:6" x14ac:dyDescent="0.3">
      <c r="A1006" t="s">
        <v>1053</v>
      </c>
      <c r="B1006" t="s">
        <v>16</v>
      </c>
      <c r="C1006">
        <v>2024</v>
      </c>
      <c r="D1006" t="s">
        <v>9</v>
      </c>
      <c r="E1006">
        <v>8007173</v>
      </c>
      <c r="F1006">
        <v>0</v>
      </c>
    </row>
    <row r="1007" spans="1:6" x14ac:dyDescent="0.3">
      <c r="A1007" t="s">
        <v>1054</v>
      </c>
      <c r="B1007" t="s">
        <v>16</v>
      </c>
      <c r="C1007">
        <v>2024</v>
      </c>
      <c r="D1007" t="s">
        <v>9</v>
      </c>
      <c r="E1007">
        <v>0</v>
      </c>
      <c r="F1007">
        <v>0</v>
      </c>
    </row>
    <row r="1008" spans="1:6" x14ac:dyDescent="0.3">
      <c r="A1008" t="s">
        <v>1055</v>
      </c>
      <c r="B1008" t="s">
        <v>16</v>
      </c>
      <c r="C1008">
        <v>2024</v>
      </c>
      <c r="D1008" t="s">
        <v>2689</v>
      </c>
      <c r="E1008">
        <v>22932</v>
      </c>
      <c r="F1008">
        <v>0</v>
      </c>
    </row>
    <row r="1009" spans="1:6" x14ac:dyDescent="0.3">
      <c r="A1009" t="s">
        <v>1056</v>
      </c>
      <c r="B1009" t="s">
        <v>16</v>
      </c>
      <c r="C1009">
        <v>2024</v>
      </c>
      <c r="D1009" t="s">
        <v>2689</v>
      </c>
      <c r="E1009">
        <v>77000</v>
      </c>
      <c r="F1009">
        <v>0</v>
      </c>
    </row>
    <row r="1010" spans="1:6" x14ac:dyDescent="0.3">
      <c r="A1010" t="s">
        <v>1057</v>
      </c>
      <c r="B1010" t="s">
        <v>16</v>
      </c>
      <c r="C1010">
        <v>2024</v>
      </c>
      <c r="D1010" t="s">
        <v>2689</v>
      </c>
      <c r="E1010">
        <v>75</v>
      </c>
      <c r="F1010">
        <v>0</v>
      </c>
    </row>
    <row r="1011" spans="1:6" x14ac:dyDescent="0.3">
      <c r="A1011" t="s">
        <v>1058</v>
      </c>
      <c r="B1011" t="s">
        <v>16</v>
      </c>
      <c r="C1011">
        <v>2024</v>
      </c>
      <c r="D1011" t="s">
        <v>2689</v>
      </c>
      <c r="E1011">
        <v>2109643</v>
      </c>
      <c r="F1011">
        <v>0</v>
      </c>
    </row>
    <row r="1012" spans="1:6" x14ac:dyDescent="0.3">
      <c r="A1012" t="s">
        <v>1059</v>
      </c>
      <c r="B1012" t="s">
        <v>16</v>
      </c>
      <c r="C1012">
        <v>2024</v>
      </c>
      <c r="D1012" t="s">
        <v>2689</v>
      </c>
      <c r="E1012">
        <v>3810012</v>
      </c>
      <c r="F1012">
        <v>73300</v>
      </c>
    </row>
    <row r="1013" spans="1:6" x14ac:dyDescent="0.3">
      <c r="A1013" t="s">
        <v>1060</v>
      </c>
      <c r="B1013" t="s">
        <v>16</v>
      </c>
      <c r="C1013">
        <v>2024</v>
      </c>
      <c r="D1013" t="s">
        <v>2689</v>
      </c>
      <c r="E1013">
        <v>0</v>
      </c>
      <c r="F1013">
        <v>0</v>
      </c>
    </row>
    <row r="1014" spans="1:6" x14ac:dyDescent="0.3">
      <c r="A1014" t="s">
        <v>1061</v>
      </c>
      <c r="B1014" t="s">
        <v>20</v>
      </c>
      <c r="C1014">
        <v>2001</v>
      </c>
      <c r="D1014" t="s">
        <v>14</v>
      </c>
      <c r="E1014">
        <v>12512</v>
      </c>
      <c r="F1014">
        <v>0</v>
      </c>
    </row>
    <row r="1015" spans="1:6" x14ac:dyDescent="0.3">
      <c r="A1015" t="s">
        <v>1062</v>
      </c>
      <c r="B1015" t="s">
        <v>20</v>
      </c>
      <c r="C1015">
        <v>2001</v>
      </c>
      <c r="D1015" t="s">
        <v>14</v>
      </c>
      <c r="E1015">
        <v>0</v>
      </c>
      <c r="F1015">
        <v>0</v>
      </c>
    </row>
    <row r="1016" spans="1:6" x14ac:dyDescent="0.3">
      <c r="A1016" t="s">
        <v>1063</v>
      </c>
      <c r="B1016" t="s">
        <v>20</v>
      </c>
      <c r="C1016">
        <v>2001</v>
      </c>
      <c r="D1016" t="s">
        <v>9</v>
      </c>
      <c r="E1016">
        <v>80000</v>
      </c>
      <c r="F1016">
        <v>10000</v>
      </c>
    </row>
    <row r="1017" spans="1:6" x14ac:dyDescent="0.3">
      <c r="A1017" t="s">
        <v>1064</v>
      </c>
      <c r="B1017" t="s">
        <v>20</v>
      </c>
      <c r="C1017">
        <v>2001</v>
      </c>
      <c r="D1017" t="s">
        <v>9</v>
      </c>
      <c r="E1017">
        <v>3694</v>
      </c>
      <c r="F1017">
        <v>0</v>
      </c>
    </row>
    <row r="1018" spans="1:6" x14ac:dyDescent="0.3">
      <c r="A1018" t="s">
        <v>1065</v>
      </c>
      <c r="B1018" t="s">
        <v>20</v>
      </c>
      <c r="C1018">
        <v>2001</v>
      </c>
      <c r="D1018" t="s">
        <v>9</v>
      </c>
      <c r="E1018">
        <v>2000</v>
      </c>
      <c r="F1018">
        <v>0</v>
      </c>
    </row>
    <row r="1019" spans="1:6" x14ac:dyDescent="0.3">
      <c r="A1019" t="s">
        <v>1066</v>
      </c>
      <c r="B1019" t="s">
        <v>20</v>
      </c>
      <c r="C1019">
        <v>2002</v>
      </c>
      <c r="D1019" t="s">
        <v>14</v>
      </c>
      <c r="E1019">
        <v>2548</v>
      </c>
      <c r="F1019">
        <v>0</v>
      </c>
    </row>
    <row r="1020" spans="1:6" x14ac:dyDescent="0.3">
      <c r="A1020" t="s">
        <v>1067</v>
      </c>
      <c r="B1020" t="s">
        <v>20</v>
      </c>
      <c r="C1020">
        <v>2002</v>
      </c>
      <c r="D1020" t="s">
        <v>14</v>
      </c>
      <c r="E1020">
        <v>9082</v>
      </c>
      <c r="F1020">
        <v>0</v>
      </c>
    </row>
    <row r="1021" spans="1:6" x14ac:dyDescent="0.3">
      <c r="A1021" t="s">
        <v>1068</v>
      </c>
      <c r="B1021" t="s">
        <v>20</v>
      </c>
      <c r="C1021">
        <v>2002</v>
      </c>
      <c r="D1021" t="s">
        <v>14</v>
      </c>
      <c r="E1021">
        <v>155</v>
      </c>
      <c r="F1021">
        <v>0</v>
      </c>
    </row>
    <row r="1022" spans="1:6" x14ac:dyDescent="0.3">
      <c r="A1022" t="s">
        <v>1069</v>
      </c>
      <c r="B1022" t="s">
        <v>20</v>
      </c>
      <c r="C1022">
        <v>2002</v>
      </c>
      <c r="D1022" t="s">
        <v>14</v>
      </c>
      <c r="E1022">
        <v>60</v>
      </c>
      <c r="F1022">
        <v>0</v>
      </c>
    </row>
    <row r="1023" spans="1:6" x14ac:dyDescent="0.3">
      <c r="A1023" t="s">
        <v>1070</v>
      </c>
      <c r="B1023" t="s">
        <v>20</v>
      </c>
      <c r="C1023">
        <v>2002</v>
      </c>
      <c r="D1023" t="s">
        <v>9</v>
      </c>
      <c r="E1023">
        <v>40</v>
      </c>
      <c r="F1023">
        <v>0</v>
      </c>
    </row>
    <row r="1024" spans="1:6" x14ac:dyDescent="0.3">
      <c r="A1024" t="s">
        <v>1071</v>
      </c>
      <c r="B1024" t="s">
        <v>20</v>
      </c>
      <c r="C1024">
        <v>2002</v>
      </c>
      <c r="D1024" t="s">
        <v>9</v>
      </c>
      <c r="E1024">
        <v>2000</v>
      </c>
      <c r="F1024">
        <v>0</v>
      </c>
    </row>
    <row r="1025" spans="1:6" x14ac:dyDescent="0.3">
      <c r="A1025" t="s">
        <v>1072</v>
      </c>
      <c r="B1025" t="s">
        <v>20</v>
      </c>
      <c r="C1025">
        <v>2002</v>
      </c>
      <c r="D1025" t="s">
        <v>9</v>
      </c>
      <c r="E1025">
        <v>500750</v>
      </c>
      <c r="F1025">
        <v>350000</v>
      </c>
    </row>
    <row r="1026" spans="1:6" x14ac:dyDescent="0.3">
      <c r="A1026" t="s">
        <v>1073</v>
      </c>
      <c r="B1026" t="s">
        <v>20</v>
      </c>
      <c r="C1026">
        <v>2002</v>
      </c>
      <c r="D1026" t="s">
        <v>9</v>
      </c>
      <c r="E1026">
        <v>780</v>
      </c>
      <c r="F1026">
        <v>0</v>
      </c>
    </row>
    <row r="1027" spans="1:6" x14ac:dyDescent="0.3">
      <c r="A1027" t="s">
        <v>1074</v>
      </c>
      <c r="B1027" t="s">
        <v>20</v>
      </c>
      <c r="C1027">
        <v>2002</v>
      </c>
      <c r="D1027" t="s">
        <v>9</v>
      </c>
      <c r="E1027">
        <v>0</v>
      </c>
      <c r="F1027">
        <v>0</v>
      </c>
    </row>
    <row r="1028" spans="1:6" x14ac:dyDescent="0.3">
      <c r="A1028" t="s">
        <v>1075</v>
      </c>
      <c r="B1028" t="s">
        <v>20</v>
      </c>
      <c r="C1028">
        <v>2002</v>
      </c>
      <c r="D1028" t="s">
        <v>9</v>
      </c>
      <c r="E1028">
        <v>1000</v>
      </c>
      <c r="F1028">
        <v>0</v>
      </c>
    </row>
    <row r="1029" spans="1:6" x14ac:dyDescent="0.3">
      <c r="A1029" t="s">
        <v>1076</v>
      </c>
      <c r="B1029" t="s">
        <v>20</v>
      </c>
      <c r="C1029">
        <v>2002</v>
      </c>
      <c r="D1029" t="s">
        <v>9</v>
      </c>
      <c r="E1029">
        <v>87000</v>
      </c>
      <c r="F1029">
        <v>1600</v>
      </c>
    </row>
    <row r="1030" spans="1:6" x14ac:dyDescent="0.3">
      <c r="A1030" t="s">
        <v>1077</v>
      </c>
      <c r="B1030" t="s">
        <v>20</v>
      </c>
      <c r="C1030">
        <v>2003</v>
      </c>
      <c r="D1030" t="s">
        <v>7</v>
      </c>
      <c r="E1030">
        <v>15000</v>
      </c>
      <c r="F1030">
        <v>1000</v>
      </c>
    </row>
    <row r="1031" spans="1:6" x14ac:dyDescent="0.3">
      <c r="A1031" t="s">
        <v>1078</v>
      </c>
      <c r="B1031" t="s">
        <v>20</v>
      </c>
      <c r="C1031">
        <v>2003</v>
      </c>
      <c r="D1031" t="s">
        <v>14</v>
      </c>
      <c r="E1031">
        <v>2502</v>
      </c>
      <c r="F1031">
        <v>0</v>
      </c>
    </row>
    <row r="1032" spans="1:6" x14ac:dyDescent="0.3">
      <c r="A1032" t="s">
        <v>1079</v>
      </c>
      <c r="B1032" t="s">
        <v>20</v>
      </c>
      <c r="C1032">
        <v>2003</v>
      </c>
      <c r="D1032" t="s">
        <v>14</v>
      </c>
      <c r="E1032">
        <v>247</v>
      </c>
      <c r="F1032">
        <v>0</v>
      </c>
    </row>
    <row r="1033" spans="1:6" x14ac:dyDescent="0.3">
      <c r="A1033" t="s">
        <v>1080</v>
      </c>
      <c r="B1033" t="s">
        <v>20</v>
      </c>
      <c r="C1033">
        <v>2003</v>
      </c>
      <c r="D1033" t="s">
        <v>14</v>
      </c>
      <c r="E1033">
        <v>500</v>
      </c>
      <c r="F1033">
        <v>0</v>
      </c>
    </row>
    <row r="1034" spans="1:6" x14ac:dyDescent="0.3">
      <c r="A1034" t="s">
        <v>1081</v>
      </c>
      <c r="B1034" t="s">
        <v>20</v>
      </c>
      <c r="C1034">
        <v>2003</v>
      </c>
      <c r="D1034" t="s">
        <v>9</v>
      </c>
      <c r="E1034">
        <v>10000</v>
      </c>
      <c r="F1034">
        <v>0</v>
      </c>
    </row>
    <row r="1035" spans="1:6" x14ac:dyDescent="0.3">
      <c r="A1035" t="s">
        <v>1082</v>
      </c>
      <c r="B1035" t="s">
        <v>20</v>
      </c>
      <c r="C1035">
        <v>2003</v>
      </c>
      <c r="D1035" t="s">
        <v>9</v>
      </c>
      <c r="E1035">
        <v>230</v>
      </c>
      <c r="F1035">
        <v>0</v>
      </c>
    </row>
    <row r="1036" spans="1:6" x14ac:dyDescent="0.3">
      <c r="A1036" t="s">
        <v>1083</v>
      </c>
      <c r="B1036" t="s">
        <v>20</v>
      </c>
      <c r="C1036">
        <v>2003</v>
      </c>
      <c r="D1036" t="s">
        <v>9</v>
      </c>
      <c r="E1036">
        <v>3700</v>
      </c>
      <c r="F1036">
        <v>0</v>
      </c>
    </row>
    <row r="1037" spans="1:6" x14ac:dyDescent="0.3">
      <c r="A1037" t="s">
        <v>1084</v>
      </c>
      <c r="B1037" t="s">
        <v>20</v>
      </c>
      <c r="C1037">
        <v>2003</v>
      </c>
      <c r="D1037" t="s">
        <v>9</v>
      </c>
      <c r="E1037">
        <v>15000</v>
      </c>
      <c r="F1037">
        <v>0</v>
      </c>
    </row>
    <row r="1038" spans="1:6" x14ac:dyDescent="0.3">
      <c r="A1038" t="s">
        <v>1085</v>
      </c>
      <c r="B1038" t="s">
        <v>20</v>
      </c>
      <c r="C1038">
        <v>2003</v>
      </c>
      <c r="D1038" t="s">
        <v>9</v>
      </c>
      <c r="E1038">
        <v>33000</v>
      </c>
      <c r="F1038">
        <v>0</v>
      </c>
    </row>
    <row r="1039" spans="1:6" x14ac:dyDescent="0.3">
      <c r="A1039" t="s">
        <v>1086</v>
      </c>
      <c r="B1039" t="s">
        <v>20</v>
      </c>
      <c r="C1039">
        <v>2003</v>
      </c>
      <c r="D1039" t="s">
        <v>9</v>
      </c>
      <c r="E1039">
        <v>1498</v>
      </c>
      <c r="F1039">
        <v>0</v>
      </c>
    </row>
    <row r="1040" spans="1:6" x14ac:dyDescent="0.3">
      <c r="A1040" t="s">
        <v>1087</v>
      </c>
      <c r="B1040" t="s">
        <v>20</v>
      </c>
      <c r="C1040">
        <v>2003</v>
      </c>
      <c r="D1040" t="s">
        <v>9</v>
      </c>
      <c r="E1040">
        <v>25000</v>
      </c>
      <c r="F1040">
        <v>0</v>
      </c>
    </row>
    <row r="1041" spans="1:6" x14ac:dyDescent="0.3">
      <c r="A1041" t="s">
        <v>1088</v>
      </c>
      <c r="B1041" t="s">
        <v>20</v>
      </c>
      <c r="C1041">
        <v>2003</v>
      </c>
      <c r="D1041" t="s">
        <v>9</v>
      </c>
      <c r="E1041">
        <v>350000</v>
      </c>
      <c r="F1041">
        <v>0</v>
      </c>
    </row>
    <row r="1042" spans="1:6" x14ac:dyDescent="0.3">
      <c r="A1042" t="s">
        <v>1089</v>
      </c>
      <c r="B1042" t="s">
        <v>20</v>
      </c>
      <c r="C1042">
        <v>2004</v>
      </c>
      <c r="D1042" t="s">
        <v>14</v>
      </c>
      <c r="E1042">
        <v>30040</v>
      </c>
      <c r="F1042">
        <v>12000</v>
      </c>
    </row>
    <row r="1043" spans="1:6" x14ac:dyDescent="0.3">
      <c r="A1043" t="s">
        <v>1090</v>
      </c>
      <c r="B1043" t="s">
        <v>20</v>
      </c>
      <c r="C1043">
        <v>2004</v>
      </c>
      <c r="D1043" t="s">
        <v>14</v>
      </c>
      <c r="E1043">
        <v>14072</v>
      </c>
      <c r="F1043">
        <v>1000</v>
      </c>
    </row>
    <row r="1044" spans="1:6" x14ac:dyDescent="0.3">
      <c r="A1044" t="s">
        <v>1091</v>
      </c>
      <c r="B1044" t="s">
        <v>20</v>
      </c>
      <c r="C1044">
        <v>2004</v>
      </c>
      <c r="D1044" t="s">
        <v>14</v>
      </c>
      <c r="E1044">
        <v>507</v>
      </c>
      <c r="F1044">
        <v>0</v>
      </c>
    </row>
    <row r="1045" spans="1:6" x14ac:dyDescent="0.3">
      <c r="A1045" t="s">
        <v>1092</v>
      </c>
      <c r="B1045" t="s">
        <v>20</v>
      </c>
      <c r="C1045">
        <v>2004</v>
      </c>
      <c r="D1045" t="s">
        <v>14</v>
      </c>
      <c r="E1045">
        <v>83381</v>
      </c>
      <c r="F1045">
        <v>0</v>
      </c>
    </row>
    <row r="1046" spans="1:6" x14ac:dyDescent="0.3">
      <c r="A1046" t="s">
        <v>1093</v>
      </c>
      <c r="B1046" t="s">
        <v>20</v>
      </c>
      <c r="C1046">
        <v>2004</v>
      </c>
      <c r="D1046" t="s">
        <v>14</v>
      </c>
      <c r="E1046">
        <v>12833</v>
      </c>
      <c r="F1046">
        <v>55000</v>
      </c>
    </row>
    <row r="1047" spans="1:6" x14ac:dyDescent="0.3">
      <c r="A1047" t="s">
        <v>1094</v>
      </c>
      <c r="B1047" t="s">
        <v>20</v>
      </c>
      <c r="C1047">
        <v>2004</v>
      </c>
      <c r="D1047" t="s">
        <v>14</v>
      </c>
      <c r="E1047">
        <v>532898</v>
      </c>
      <c r="F1047">
        <v>4451600</v>
      </c>
    </row>
    <row r="1048" spans="1:6" x14ac:dyDescent="0.3">
      <c r="A1048" t="s">
        <v>1095</v>
      </c>
      <c r="B1048" t="s">
        <v>20</v>
      </c>
      <c r="C1048">
        <v>2004</v>
      </c>
      <c r="D1048" t="s">
        <v>9</v>
      </c>
      <c r="E1048">
        <v>13000</v>
      </c>
      <c r="F1048">
        <v>60000</v>
      </c>
    </row>
    <row r="1049" spans="1:6" x14ac:dyDescent="0.3">
      <c r="A1049" t="s">
        <v>1096</v>
      </c>
      <c r="B1049" t="s">
        <v>20</v>
      </c>
      <c r="C1049">
        <v>2004</v>
      </c>
      <c r="D1049" t="s">
        <v>2689</v>
      </c>
      <c r="E1049">
        <v>2400</v>
      </c>
      <c r="F1049">
        <v>0</v>
      </c>
    </row>
    <row r="1050" spans="1:6" x14ac:dyDescent="0.3">
      <c r="A1050" t="s">
        <v>1097</v>
      </c>
      <c r="B1050" t="s">
        <v>20</v>
      </c>
      <c r="C1050">
        <v>2004</v>
      </c>
      <c r="D1050" t="s">
        <v>2689</v>
      </c>
      <c r="E1050">
        <v>1315</v>
      </c>
      <c r="F1050">
        <v>0</v>
      </c>
    </row>
    <row r="1051" spans="1:6" x14ac:dyDescent="0.3">
      <c r="A1051" t="s">
        <v>1098</v>
      </c>
      <c r="B1051" t="s">
        <v>20</v>
      </c>
      <c r="C1051">
        <v>2005</v>
      </c>
      <c r="D1051" t="s">
        <v>14</v>
      </c>
      <c r="E1051">
        <v>684</v>
      </c>
      <c r="F1051">
        <v>0</v>
      </c>
    </row>
    <row r="1052" spans="1:6" x14ac:dyDescent="0.3">
      <c r="A1052" t="s">
        <v>1099</v>
      </c>
      <c r="B1052" t="s">
        <v>20</v>
      </c>
      <c r="C1052">
        <v>2005</v>
      </c>
      <c r="D1052" t="s">
        <v>14</v>
      </c>
      <c r="E1052">
        <v>105313</v>
      </c>
      <c r="F1052">
        <v>0</v>
      </c>
    </row>
    <row r="1053" spans="1:6" x14ac:dyDescent="0.3">
      <c r="A1053" t="s">
        <v>1100</v>
      </c>
      <c r="B1053" t="s">
        <v>20</v>
      </c>
      <c r="C1053">
        <v>2005</v>
      </c>
      <c r="D1053" t="s">
        <v>9</v>
      </c>
      <c r="E1053">
        <v>768</v>
      </c>
      <c r="F1053">
        <v>0</v>
      </c>
    </row>
    <row r="1054" spans="1:6" x14ac:dyDescent="0.3">
      <c r="A1054" t="s">
        <v>1101</v>
      </c>
      <c r="B1054" t="s">
        <v>20</v>
      </c>
      <c r="C1054">
        <v>2005</v>
      </c>
      <c r="D1054" t="s">
        <v>9</v>
      </c>
      <c r="E1054">
        <v>12211</v>
      </c>
      <c r="F1054">
        <v>0</v>
      </c>
    </row>
    <row r="1055" spans="1:6" x14ac:dyDescent="0.3">
      <c r="A1055" t="s">
        <v>1102</v>
      </c>
      <c r="B1055" t="s">
        <v>20</v>
      </c>
      <c r="C1055">
        <v>2005</v>
      </c>
      <c r="D1055" t="s">
        <v>9</v>
      </c>
      <c r="E1055">
        <v>7811</v>
      </c>
      <c r="F1055">
        <v>0</v>
      </c>
    </row>
    <row r="1056" spans="1:6" x14ac:dyDescent="0.3">
      <c r="A1056" t="s">
        <v>1103</v>
      </c>
      <c r="B1056" t="s">
        <v>20</v>
      </c>
      <c r="C1056">
        <v>2006</v>
      </c>
      <c r="D1056" t="s">
        <v>14</v>
      </c>
      <c r="E1056">
        <v>1202</v>
      </c>
      <c r="F1056">
        <v>0</v>
      </c>
    </row>
    <row r="1057" spans="1:6" x14ac:dyDescent="0.3">
      <c r="A1057" t="s">
        <v>1104</v>
      </c>
      <c r="B1057" t="s">
        <v>20</v>
      </c>
      <c r="C1057">
        <v>2006</v>
      </c>
      <c r="D1057" t="s">
        <v>14</v>
      </c>
      <c r="E1057">
        <v>3177923</v>
      </c>
      <c r="F1057">
        <v>3100000</v>
      </c>
    </row>
    <row r="1058" spans="1:6" x14ac:dyDescent="0.3">
      <c r="A1058" t="s">
        <v>1105</v>
      </c>
      <c r="B1058" t="s">
        <v>20</v>
      </c>
      <c r="C1058">
        <v>2006</v>
      </c>
      <c r="D1058" t="s">
        <v>14</v>
      </c>
      <c r="E1058">
        <v>35543</v>
      </c>
      <c r="F1058">
        <v>55000</v>
      </c>
    </row>
    <row r="1059" spans="1:6" x14ac:dyDescent="0.3">
      <c r="A1059" t="s">
        <v>1106</v>
      </c>
      <c r="B1059" t="s">
        <v>20</v>
      </c>
      <c r="C1059">
        <v>2006</v>
      </c>
      <c r="D1059" t="s">
        <v>14</v>
      </c>
      <c r="E1059">
        <v>1200</v>
      </c>
      <c r="F1059">
        <v>0</v>
      </c>
    </row>
    <row r="1060" spans="1:6" x14ac:dyDescent="0.3">
      <c r="A1060" t="s">
        <v>1107</v>
      </c>
      <c r="B1060" t="s">
        <v>20</v>
      </c>
      <c r="C1060">
        <v>2006</v>
      </c>
      <c r="D1060" t="s">
        <v>14</v>
      </c>
      <c r="E1060">
        <v>114</v>
      </c>
      <c r="F1060">
        <v>0</v>
      </c>
    </row>
    <row r="1061" spans="1:6" x14ac:dyDescent="0.3">
      <c r="A1061" t="s">
        <v>1108</v>
      </c>
      <c r="B1061" t="s">
        <v>20</v>
      </c>
      <c r="C1061">
        <v>2006</v>
      </c>
      <c r="D1061" t="s">
        <v>9</v>
      </c>
      <c r="E1061">
        <v>10000</v>
      </c>
      <c r="F1061">
        <v>27100</v>
      </c>
    </row>
    <row r="1062" spans="1:6" x14ac:dyDescent="0.3">
      <c r="A1062" t="s">
        <v>1109</v>
      </c>
      <c r="B1062" t="s">
        <v>20</v>
      </c>
      <c r="C1062">
        <v>2006</v>
      </c>
      <c r="D1062" t="s">
        <v>9</v>
      </c>
      <c r="E1062">
        <v>17539</v>
      </c>
      <c r="F1062">
        <v>25000</v>
      </c>
    </row>
    <row r="1063" spans="1:6" x14ac:dyDescent="0.3">
      <c r="A1063" t="s">
        <v>1110</v>
      </c>
      <c r="B1063" t="s">
        <v>20</v>
      </c>
      <c r="C1063">
        <v>2006</v>
      </c>
      <c r="D1063" t="s">
        <v>9</v>
      </c>
      <c r="E1063">
        <v>402</v>
      </c>
      <c r="F1063">
        <v>0</v>
      </c>
    </row>
    <row r="1064" spans="1:6" x14ac:dyDescent="0.3">
      <c r="A1064" t="s">
        <v>1111</v>
      </c>
      <c r="B1064" t="s">
        <v>20</v>
      </c>
      <c r="C1064">
        <v>2006</v>
      </c>
      <c r="D1064" t="s">
        <v>9</v>
      </c>
      <c r="E1064">
        <v>29231</v>
      </c>
      <c r="F1064">
        <v>55200</v>
      </c>
    </row>
    <row r="1065" spans="1:6" x14ac:dyDescent="0.3">
      <c r="A1065" t="s">
        <v>1112</v>
      </c>
      <c r="B1065" t="s">
        <v>20</v>
      </c>
      <c r="C1065">
        <v>2006</v>
      </c>
      <c r="D1065" t="s">
        <v>9</v>
      </c>
      <c r="E1065">
        <v>0</v>
      </c>
      <c r="F1065">
        <v>0</v>
      </c>
    </row>
    <row r="1066" spans="1:6" x14ac:dyDescent="0.3">
      <c r="A1066" t="s">
        <v>1113</v>
      </c>
      <c r="B1066" t="s">
        <v>20</v>
      </c>
      <c r="C1066">
        <v>2006</v>
      </c>
      <c r="D1066" t="s">
        <v>9</v>
      </c>
      <c r="E1066">
        <v>18250</v>
      </c>
      <c r="F1066">
        <v>0</v>
      </c>
    </row>
    <row r="1067" spans="1:6" x14ac:dyDescent="0.3">
      <c r="A1067" t="s">
        <v>1114</v>
      </c>
      <c r="B1067" t="s">
        <v>20</v>
      </c>
      <c r="C1067">
        <v>2006</v>
      </c>
      <c r="D1067" t="s">
        <v>9</v>
      </c>
      <c r="E1067">
        <v>5000</v>
      </c>
      <c r="F1067">
        <v>0</v>
      </c>
    </row>
    <row r="1068" spans="1:6" x14ac:dyDescent="0.3">
      <c r="A1068" t="s">
        <v>1115</v>
      </c>
      <c r="B1068" t="s">
        <v>20</v>
      </c>
      <c r="C1068">
        <v>2006</v>
      </c>
      <c r="D1068" t="s">
        <v>9</v>
      </c>
      <c r="E1068">
        <v>618486</v>
      </c>
      <c r="F1068">
        <v>0</v>
      </c>
    </row>
    <row r="1069" spans="1:6" x14ac:dyDescent="0.3">
      <c r="A1069" t="s">
        <v>1116</v>
      </c>
      <c r="B1069" t="s">
        <v>20</v>
      </c>
      <c r="C1069">
        <v>2007</v>
      </c>
      <c r="D1069" t="s">
        <v>14</v>
      </c>
      <c r="E1069">
        <v>137660</v>
      </c>
      <c r="F1069">
        <v>200000</v>
      </c>
    </row>
    <row r="1070" spans="1:6" x14ac:dyDescent="0.3">
      <c r="A1070" t="s">
        <v>1117</v>
      </c>
      <c r="B1070" t="s">
        <v>20</v>
      </c>
      <c r="C1070">
        <v>2007</v>
      </c>
      <c r="D1070" t="s">
        <v>14</v>
      </c>
      <c r="E1070">
        <v>459567</v>
      </c>
      <c r="F1070">
        <v>500000</v>
      </c>
    </row>
    <row r="1071" spans="1:6" x14ac:dyDescent="0.3">
      <c r="A1071" t="s">
        <v>1118</v>
      </c>
      <c r="B1071" t="s">
        <v>20</v>
      </c>
      <c r="C1071">
        <v>2007</v>
      </c>
      <c r="D1071" t="s">
        <v>14</v>
      </c>
      <c r="E1071">
        <v>469</v>
      </c>
      <c r="F1071">
        <v>0</v>
      </c>
    </row>
    <row r="1072" spans="1:6" x14ac:dyDescent="0.3">
      <c r="A1072" t="s">
        <v>1119</v>
      </c>
      <c r="B1072" t="s">
        <v>20</v>
      </c>
      <c r="C1072">
        <v>2007</v>
      </c>
      <c r="D1072" t="s">
        <v>14</v>
      </c>
      <c r="E1072">
        <v>21800</v>
      </c>
      <c r="F1072">
        <v>0</v>
      </c>
    </row>
    <row r="1073" spans="1:6" x14ac:dyDescent="0.3">
      <c r="A1073" t="s">
        <v>1120</v>
      </c>
      <c r="B1073" t="s">
        <v>20</v>
      </c>
      <c r="C1073">
        <v>2007</v>
      </c>
      <c r="D1073" t="s">
        <v>9</v>
      </c>
      <c r="E1073">
        <v>217087</v>
      </c>
      <c r="F1073">
        <v>971000</v>
      </c>
    </row>
    <row r="1074" spans="1:6" x14ac:dyDescent="0.3">
      <c r="A1074" t="s">
        <v>1121</v>
      </c>
      <c r="B1074" t="s">
        <v>20</v>
      </c>
      <c r="C1074">
        <v>2007</v>
      </c>
      <c r="D1074" t="s">
        <v>9</v>
      </c>
      <c r="E1074">
        <v>11556</v>
      </c>
      <c r="F1074">
        <v>0</v>
      </c>
    </row>
    <row r="1075" spans="1:6" x14ac:dyDescent="0.3">
      <c r="A1075" t="s">
        <v>1122</v>
      </c>
      <c r="B1075" t="s">
        <v>20</v>
      </c>
      <c r="C1075">
        <v>2007</v>
      </c>
      <c r="D1075" t="s">
        <v>9</v>
      </c>
      <c r="E1075">
        <v>60000</v>
      </c>
      <c r="F1075">
        <v>0</v>
      </c>
    </row>
    <row r="1076" spans="1:6" x14ac:dyDescent="0.3">
      <c r="A1076" t="s">
        <v>1123</v>
      </c>
      <c r="B1076" t="s">
        <v>20</v>
      </c>
      <c r="C1076">
        <v>2007</v>
      </c>
      <c r="D1076" t="s">
        <v>9</v>
      </c>
      <c r="E1076">
        <v>5000</v>
      </c>
      <c r="F1076">
        <v>0</v>
      </c>
    </row>
    <row r="1077" spans="1:6" x14ac:dyDescent="0.3">
      <c r="A1077" t="s">
        <v>1124</v>
      </c>
      <c r="B1077" t="s">
        <v>20</v>
      </c>
      <c r="C1077">
        <v>2007</v>
      </c>
      <c r="D1077" t="s">
        <v>9</v>
      </c>
      <c r="E1077">
        <v>2000</v>
      </c>
      <c r="F1077">
        <v>0</v>
      </c>
    </row>
    <row r="1078" spans="1:6" x14ac:dyDescent="0.3">
      <c r="A1078" t="s">
        <v>1125</v>
      </c>
      <c r="B1078" t="s">
        <v>20</v>
      </c>
      <c r="C1078">
        <v>2007</v>
      </c>
      <c r="D1078" t="s">
        <v>9</v>
      </c>
      <c r="E1078">
        <v>3389</v>
      </c>
      <c r="F1078">
        <v>0</v>
      </c>
    </row>
    <row r="1079" spans="1:6" x14ac:dyDescent="0.3">
      <c r="A1079" t="s">
        <v>1126</v>
      </c>
      <c r="B1079" t="s">
        <v>20</v>
      </c>
      <c r="C1079">
        <v>2007</v>
      </c>
      <c r="D1079" t="s">
        <v>9</v>
      </c>
      <c r="E1079">
        <v>1000</v>
      </c>
      <c r="F1079">
        <v>0</v>
      </c>
    </row>
    <row r="1080" spans="1:6" x14ac:dyDescent="0.3">
      <c r="A1080" t="s">
        <v>1127</v>
      </c>
      <c r="B1080" t="s">
        <v>20</v>
      </c>
      <c r="C1080">
        <v>2007</v>
      </c>
      <c r="D1080" t="s">
        <v>9</v>
      </c>
      <c r="E1080">
        <v>269515</v>
      </c>
      <c r="F1080">
        <v>0</v>
      </c>
    </row>
    <row r="1081" spans="1:6" x14ac:dyDescent="0.3">
      <c r="A1081" t="s">
        <v>1128</v>
      </c>
      <c r="B1081" t="s">
        <v>20</v>
      </c>
      <c r="C1081">
        <v>2008</v>
      </c>
      <c r="D1081" t="s">
        <v>14</v>
      </c>
      <c r="E1081">
        <v>625</v>
      </c>
      <c r="F1081">
        <v>0</v>
      </c>
    </row>
    <row r="1082" spans="1:6" x14ac:dyDescent="0.3">
      <c r="A1082" t="s">
        <v>1129</v>
      </c>
      <c r="B1082" t="s">
        <v>20</v>
      </c>
      <c r="C1082">
        <v>2008</v>
      </c>
      <c r="D1082" t="s">
        <v>14</v>
      </c>
      <c r="E1082">
        <v>10077</v>
      </c>
      <c r="F1082">
        <v>0</v>
      </c>
    </row>
    <row r="1083" spans="1:6" x14ac:dyDescent="0.3">
      <c r="A1083" t="s">
        <v>1130</v>
      </c>
      <c r="B1083" t="s">
        <v>20</v>
      </c>
      <c r="C1083">
        <v>2008</v>
      </c>
      <c r="D1083" t="s">
        <v>9</v>
      </c>
      <c r="E1083">
        <v>1000</v>
      </c>
      <c r="F1083">
        <v>0</v>
      </c>
    </row>
    <row r="1084" spans="1:6" x14ac:dyDescent="0.3">
      <c r="A1084" t="s">
        <v>1131</v>
      </c>
      <c r="B1084" t="s">
        <v>20</v>
      </c>
      <c r="C1084">
        <v>2008</v>
      </c>
      <c r="D1084" t="s">
        <v>9</v>
      </c>
      <c r="E1084">
        <v>89761</v>
      </c>
      <c r="F1084">
        <v>0</v>
      </c>
    </row>
    <row r="1085" spans="1:6" x14ac:dyDescent="0.3">
      <c r="A1085" t="s">
        <v>1132</v>
      </c>
      <c r="B1085" t="s">
        <v>20</v>
      </c>
      <c r="C1085">
        <v>2008</v>
      </c>
      <c r="D1085" t="s">
        <v>9</v>
      </c>
      <c r="E1085">
        <v>40000</v>
      </c>
      <c r="F1085">
        <v>653</v>
      </c>
    </row>
    <row r="1086" spans="1:6" x14ac:dyDescent="0.3">
      <c r="A1086" t="s">
        <v>1133</v>
      </c>
      <c r="B1086" t="s">
        <v>20</v>
      </c>
      <c r="C1086">
        <v>2008</v>
      </c>
      <c r="D1086" t="s">
        <v>9</v>
      </c>
      <c r="E1086">
        <v>7000</v>
      </c>
      <c r="F1086">
        <v>0</v>
      </c>
    </row>
    <row r="1087" spans="1:6" x14ac:dyDescent="0.3">
      <c r="A1087" t="s">
        <v>1134</v>
      </c>
      <c r="B1087" t="s">
        <v>20</v>
      </c>
      <c r="C1087">
        <v>2008</v>
      </c>
      <c r="D1087" t="s">
        <v>9</v>
      </c>
      <c r="E1087">
        <v>3500</v>
      </c>
      <c r="F1087">
        <v>0</v>
      </c>
    </row>
    <row r="1088" spans="1:6" x14ac:dyDescent="0.3">
      <c r="A1088" t="s">
        <v>1135</v>
      </c>
      <c r="B1088" t="s">
        <v>20</v>
      </c>
      <c r="C1088">
        <v>2008</v>
      </c>
      <c r="D1088" t="s">
        <v>9</v>
      </c>
      <c r="E1088">
        <v>12000</v>
      </c>
      <c r="F1088">
        <v>0</v>
      </c>
    </row>
    <row r="1089" spans="1:6" x14ac:dyDescent="0.3">
      <c r="A1089" t="s">
        <v>1136</v>
      </c>
      <c r="B1089" t="s">
        <v>20</v>
      </c>
      <c r="C1089">
        <v>2008</v>
      </c>
      <c r="D1089" t="s">
        <v>9</v>
      </c>
      <c r="E1089">
        <v>60000</v>
      </c>
      <c r="F1089">
        <v>0</v>
      </c>
    </row>
    <row r="1090" spans="1:6" x14ac:dyDescent="0.3">
      <c r="A1090" t="s">
        <v>1137</v>
      </c>
      <c r="B1090" t="s">
        <v>20</v>
      </c>
      <c r="C1090">
        <v>2008</v>
      </c>
      <c r="D1090" t="s">
        <v>9</v>
      </c>
      <c r="E1090">
        <v>34514</v>
      </c>
      <c r="F1090">
        <v>0</v>
      </c>
    </row>
    <row r="1091" spans="1:6" x14ac:dyDescent="0.3">
      <c r="A1091" t="s">
        <v>1138</v>
      </c>
      <c r="B1091" t="s">
        <v>20</v>
      </c>
      <c r="C1091">
        <v>2008</v>
      </c>
      <c r="D1091" t="s">
        <v>9</v>
      </c>
      <c r="E1091">
        <v>118000</v>
      </c>
      <c r="F1091">
        <v>1080</v>
      </c>
    </row>
    <row r="1092" spans="1:6" x14ac:dyDescent="0.3">
      <c r="A1092" t="s">
        <v>1139</v>
      </c>
      <c r="B1092" t="s">
        <v>20</v>
      </c>
      <c r="C1092">
        <v>2008</v>
      </c>
      <c r="D1092" t="s">
        <v>9</v>
      </c>
      <c r="E1092">
        <v>84420</v>
      </c>
      <c r="F1092">
        <v>0</v>
      </c>
    </row>
    <row r="1093" spans="1:6" x14ac:dyDescent="0.3">
      <c r="A1093" t="s">
        <v>1140</v>
      </c>
      <c r="B1093" t="s">
        <v>20</v>
      </c>
      <c r="C1093">
        <v>2008</v>
      </c>
      <c r="D1093" t="s">
        <v>9</v>
      </c>
      <c r="E1093">
        <v>11000</v>
      </c>
      <c r="F1093">
        <v>0</v>
      </c>
    </row>
    <row r="1094" spans="1:6" x14ac:dyDescent="0.3">
      <c r="A1094" t="s">
        <v>1141</v>
      </c>
      <c r="B1094" t="s">
        <v>20</v>
      </c>
      <c r="C1094">
        <v>2008</v>
      </c>
      <c r="D1094" t="s">
        <v>9</v>
      </c>
      <c r="E1094">
        <v>15000</v>
      </c>
      <c r="F1094">
        <v>0</v>
      </c>
    </row>
    <row r="1095" spans="1:6" x14ac:dyDescent="0.3">
      <c r="A1095" t="s">
        <v>1142</v>
      </c>
      <c r="B1095" t="s">
        <v>20</v>
      </c>
      <c r="C1095">
        <v>2009</v>
      </c>
      <c r="D1095" t="s">
        <v>14</v>
      </c>
      <c r="E1095">
        <v>4250</v>
      </c>
      <c r="F1095">
        <v>10000</v>
      </c>
    </row>
    <row r="1096" spans="1:6" x14ac:dyDescent="0.3">
      <c r="A1096" t="s">
        <v>1143</v>
      </c>
      <c r="B1096" t="s">
        <v>20</v>
      </c>
      <c r="C1096">
        <v>2009</v>
      </c>
      <c r="D1096" t="s">
        <v>14</v>
      </c>
      <c r="E1096">
        <v>3049</v>
      </c>
      <c r="F1096">
        <v>9000</v>
      </c>
    </row>
    <row r="1097" spans="1:6" x14ac:dyDescent="0.3">
      <c r="A1097" t="s">
        <v>1144</v>
      </c>
      <c r="B1097" t="s">
        <v>20</v>
      </c>
      <c r="C1097">
        <v>2009</v>
      </c>
      <c r="D1097" t="s">
        <v>14</v>
      </c>
      <c r="E1097">
        <v>339792</v>
      </c>
      <c r="F1097">
        <v>160000</v>
      </c>
    </row>
    <row r="1098" spans="1:6" x14ac:dyDescent="0.3">
      <c r="A1098" t="s">
        <v>1145</v>
      </c>
      <c r="B1098" t="s">
        <v>20</v>
      </c>
      <c r="C1098">
        <v>2009</v>
      </c>
      <c r="D1098" t="s">
        <v>14</v>
      </c>
      <c r="E1098">
        <v>2501798</v>
      </c>
      <c r="F1098">
        <v>2200000</v>
      </c>
    </row>
    <row r="1099" spans="1:6" x14ac:dyDescent="0.3">
      <c r="A1099" t="s">
        <v>1146</v>
      </c>
      <c r="B1099" t="s">
        <v>20</v>
      </c>
      <c r="C1099">
        <v>2009</v>
      </c>
      <c r="D1099" t="s">
        <v>14</v>
      </c>
      <c r="E1099">
        <v>1510</v>
      </c>
      <c r="F1099">
        <v>2430</v>
      </c>
    </row>
    <row r="1100" spans="1:6" x14ac:dyDescent="0.3">
      <c r="A1100" t="s">
        <v>1147</v>
      </c>
      <c r="B1100" t="s">
        <v>20</v>
      </c>
      <c r="C1100">
        <v>2009</v>
      </c>
      <c r="D1100" t="s">
        <v>9</v>
      </c>
      <c r="E1100">
        <v>12000</v>
      </c>
      <c r="F1100">
        <v>0</v>
      </c>
    </row>
    <row r="1101" spans="1:6" x14ac:dyDescent="0.3">
      <c r="A1101" t="s">
        <v>1148</v>
      </c>
      <c r="B1101" t="s">
        <v>20</v>
      </c>
      <c r="C1101">
        <v>2009</v>
      </c>
      <c r="D1101" t="s">
        <v>9</v>
      </c>
      <c r="E1101">
        <v>1600</v>
      </c>
      <c r="F1101">
        <v>0</v>
      </c>
    </row>
    <row r="1102" spans="1:6" x14ac:dyDescent="0.3">
      <c r="A1102" t="s">
        <v>1149</v>
      </c>
      <c r="B1102" t="s">
        <v>20</v>
      </c>
      <c r="C1102">
        <v>2009</v>
      </c>
      <c r="D1102" t="s">
        <v>9</v>
      </c>
      <c r="E1102">
        <v>10000</v>
      </c>
      <c r="F1102">
        <v>0</v>
      </c>
    </row>
    <row r="1103" spans="1:6" x14ac:dyDescent="0.3">
      <c r="A1103" t="s">
        <v>1150</v>
      </c>
      <c r="B1103" t="s">
        <v>20</v>
      </c>
      <c r="C1103">
        <v>2009</v>
      </c>
      <c r="D1103" t="s">
        <v>9</v>
      </c>
      <c r="E1103">
        <v>2500</v>
      </c>
      <c r="F1103">
        <v>0</v>
      </c>
    </row>
    <row r="1104" spans="1:6" x14ac:dyDescent="0.3">
      <c r="A1104" t="s">
        <v>1151</v>
      </c>
      <c r="B1104" t="s">
        <v>20</v>
      </c>
      <c r="C1104">
        <v>2009</v>
      </c>
      <c r="D1104" t="s">
        <v>9</v>
      </c>
      <c r="E1104">
        <v>704</v>
      </c>
      <c r="F1104">
        <v>0</v>
      </c>
    </row>
    <row r="1105" spans="1:6" x14ac:dyDescent="0.3">
      <c r="A1105" t="s">
        <v>1152</v>
      </c>
      <c r="B1105" t="s">
        <v>20</v>
      </c>
      <c r="C1105">
        <v>2010</v>
      </c>
      <c r="D1105" t="s">
        <v>14</v>
      </c>
      <c r="E1105">
        <v>4600</v>
      </c>
      <c r="F1105">
        <v>0</v>
      </c>
    </row>
    <row r="1106" spans="1:6" x14ac:dyDescent="0.3">
      <c r="A1106" t="s">
        <v>1153</v>
      </c>
      <c r="B1106" t="s">
        <v>20</v>
      </c>
      <c r="C1106">
        <v>2010</v>
      </c>
      <c r="D1106" t="s">
        <v>14</v>
      </c>
      <c r="E1106">
        <v>11864</v>
      </c>
      <c r="F1106">
        <v>0</v>
      </c>
    </row>
    <row r="1107" spans="1:6" x14ac:dyDescent="0.3">
      <c r="A1107" t="s">
        <v>1154</v>
      </c>
      <c r="B1107" t="s">
        <v>20</v>
      </c>
      <c r="C1107">
        <v>2010</v>
      </c>
      <c r="D1107" t="s">
        <v>9</v>
      </c>
      <c r="E1107">
        <v>28500</v>
      </c>
      <c r="F1107">
        <v>0</v>
      </c>
    </row>
    <row r="1108" spans="1:6" x14ac:dyDescent="0.3">
      <c r="A1108" t="s">
        <v>1155</v>
      </c>
      <c r="B1108" t="s">
        <v>20</v>
      </c>
      <c r="C1108">
        <v>2010</v>
      </c>
      <c r="D1108" t="s">
        <v>9</v>
      </c>
      <c r="E1108">
        <v>355</v>
      </c>
      <c r="F1108">
        <v>0</v>
      </c>
    </row>
    <row r="1109" spans="1:6" x14ac:dyDescent="0.3">
      <c r="A1109" t="s">
        <v>1156</v>
      </c>
      <c r="B1109" t="s">
        <v>20</v>
      </c>
      <c r="C1109">
        <v>2010</v>
      </c>
      <c r="D1109" t="s">
        <v>9</v>
      </c>
      <c r="E1109">
        <v>100</v>
      </c>
      <c r="F1109">
        <v>0</v>
      </c>
    </row>
    <row r="1110" spans="1:6" x14ac:dyDescent="0.3">
      <c r="A1110" t="s">
        <v>1157</v>
      </c>
      <c r="B1110" t="s">
        <v>20</v>
      </c>
      <c r="C1110">
        <v>2010</v>
      </c>
      <c r="D1110" t="s">
        <v>9</v>
      </c>
      <c r="E1110">
        <v>15007</v>
      </c>
      <c r="F1110">
        <v>0</v>
      </c>
    </row>
    <row r="1111" spans="1:6" x14ac:dyDescent="0.3">
      <c r="A1111" t="s">
        <v>1158</v>
      </c>
      <c r="B1111" t="s">
        <v>20</v>
      </c>
      <c r="C1111">
        <v>2010</v>
      </c>
      <c r="D1111" t="s">
        <v>9</v>
      </c>
      <c r="E1111">
        <v>12428</v>
      </c>
      <c r="F1111">
        <v>78000</v>
      </c>
    </row>
    <row r="1112" spans="1:6" x14ac:dyDescent="0.3">
      <c r="A1112" t="s">
        <v>1159</v>
      </c>
      <c r="B1112" t="s">
        <v>20</v>
      </c>
      <c r="C1112">
        <v>2010</v>
      </c>
      <c r="D1112" t="s">
        <v>9</v>
      </c>
      <c r="E1112">
        <v>200</v>
      </c>
      <c r="F1112">
        <v>0</v>
      </c>
    </row>
    <row r="1113" spans="1:6" x14ac:dyDescent="0.3">
      <c r="A1113" t="s">
        <v>1160</v>
      </c>
      <c r="B1113" t="s">
        <v>20</v>
      </c>
      <c r="C1113">
        <v>2010</v>
      </c>
      <c r="D1113" t="s">
        <v>9</v>
      </c>
      <c r="E1113">
        <v>0</v>
      </c>
      <c r="F1113">
        <v>0</v>
      </c>
    </row>
    <row r="1114" spans="1:6" x14ac:dyDescent="0.3">
      <c r="A1114" t="s">
        <v>1161</v>
      </c>
      <c r="B1114" t="s">
        <v>20</v>
      </c>
      <c r="C1114">
        <v>2011</v>
      </c>
      <c r="D1114" t="s">
        <v>14</v>
      </c>
      <c r="E1114">
        <v>95</v>
      </c>
      <c r="F1114">
        <v>0</v>
      </c>
    </row>
    <row r="1115" spans="1:6" x14ac:dyDescent="0.3">
      <c r="A1115" t="s">
        <v>1162</v>
      </c>
      <c r="B1115" t="s">
        <v>20</v>
      </c>
      <c r="C1115">
        <v>2011</v>
      </c>
      <c r="D1115" t="s">
        <v>14</v>
      </c>
      <c r="E1115">
        <v>0</v>
      </c>
      <c r="F1115">
        <v>5850</v>
      </c>
    </row>
    <row r="1116" spans="1:6" x14ac:dyDescent="0.3">
      <c r="A1116" t="s">
        <v>1163</v>
      </c>
      <c r="B1116" t="s">
        <v>20</v>
      </c>
      <c r="C1116">
        <v>2011</v>
      </c>
      <c r="D1116" t="s">
        <v>9</v>
      </c>
      <c r="E1116">
        <v>12000</v>
      </c>
      <c r="F1116">
        <v>0</v>
      </c>
    </row>
    <row r="1117" spans="1:6" x14ac:dyDescent="0.3">
      <c r="A1117" t="s">
        <v>1164</v>
      </c>
      <c r="B1117" t="s">
        <v>20</v>
      </c>
      <c r="C1117">
        <v>2011</v>
      </c>
      <c r="D1117" t="s">
        <v>9</v>
      </c>
      <c r="E1117">
        <v>750</v>
      </c>
      <c r="F1117">
        <v>0</v>
      </c>
    </row>
    <row r="1118" spans="1:6" x14ac:dyDescent="0.3">
      <c r="A1118" t="s">
        <v>1165</v>
      </c>
      <c r="B1118" t="s">
        <v>20</v>
      </c>
      <c r="C1118">
        <v>2011</v>
      </c>
      <c r="D1118" t="s">
        <v>9</v>
      </c>
      <c r="E1118">
        <v>1060</v>
      </c>
      <c r="F1118">
        <v>0</v>
      </c>
    </row>
    <row r="1119" spans="1:6" x14ac:dyDescent="0.3">
      <c r="A1119" t="s">
        <v>1166</v>
      </c>
      <c r="B1119" t="s">
        <v>20</v>
      </c>
      <c r="C1119">
        <v>2011</v>
      </c>
      <c r="D1119" t="s">
        <v>9</v>
      </c>
      <c r="E1119">
        <v>3000</v>
      </c>
      <c r="F1119">
        <v>0</v>
      </c>
    </row>
    <row r="1120" spans="1:6" x14ac:dyDescent="0.3">
      <c r="A1120" t="s">
        <v>1167</v>
      </c>
      <c r="B1120" t="s">
        <v>20</v>
      </c>
      <c r="C1120">
        <v>2011</v>
      </c>
      <c r="D1120" t="s">
        <v>9</v>
      </c>
      <c r="E1120">
        <v>54</v>
      </c>
      <c r="F1120">
        <v>0</v>
      </c>
    </row>
    <row r="1121" spans="1:6" x14ac:dyDescent="0.3">
      <c r="A1121" t="s">
        <v>1168</v>
      </c>
      <c r="B1121" t="s">
        <v>20</v>
      </c>
      <c r="C1121">
        <v>2011</v>
      </c>
      <c r="D1121" t="s">
        <v>9</v>
      </c>
      <c r="E1121">
        <v>3000</v>
      </c>
      <c r="F1121">
        <v>0</v>
      </c>
    </row>
    <row r="1122" spans="1:6" x14ac:dyDescent="0.3">
      <c r="A1122" t="s">
        <v>1169</v>
      </c>
      <c r="B1122" t="s">
        <v>20</v>
      </c>
      <c r="C1122">
        <v>2012</v>
      </c>
      <c r="D1122" t="s">
        <v>14</v>
      </c>
      <c r="E1122">
        <v>107</v>
      </c>
      <c r="F1122">
        <v>0</v>
      </c>
    </row>
    <row r="1123" spans="1:6" x14ac:dyDescent="0.3">
      <c r="A1123" t="s">
        <v>1170</v>
      </c>
      <c r="B1123" t="s">
        <v>20</v>
      </c>
      <c r="C1123">
        <v>2012</v>
      </c>
      <c r="D1123" t="s">
        <v>14</v>
      </c>
      <c r="E1123">
        <v>7883</v>
      </c>
      <c r="F1123">
        <v>0</v>
      </c>
    </row>
    <row r="1124" spans="1:6" x14ac:dyDescent="0.3">
      <c r="A1124" t="s">
        <v>1171</v>
      </c>
      <c r="B1124" t="s">
        <v>20</v>
      </c>
      <c r="C1124">
        <v>2012</v>
      </c>
      <c r="D1124" t="s">
        <v>9</v>
      </c>
      <c r="E1124">
        <v>625</v>
      </c>
      <c r="F1124">
        <v>0</v>
      </c>
    </row>
    <row r="1125" spans="1:6" x14ac:dyDescent="0.3">
      <c r="A1125" t="s">
        <v>1172</v>
      </c>
      <c r="B1125" t="s">
        <v>20</v>
      </c>
      <c r="C1125">
        <v>2012</v>
      </c>
      <c r="D1125" t="s">
        <v>9</v>
      </c>
      <c r="E1125">
        <v>1150</v>
      </c>
      <c r="F1125">
        <v>0</v>
      </c>
    </row>
    <row r="1126" spans="1:6" x14ac:dyDescent="0.3">
      <c r="A1126" t="s">
        <v>1173</v>
      </c>
      <c r="B1126" t="s">
        <v>20</v>
      </c>
      <c r="C1126">
        <v>2012</v>
      </c>
      <c r="D1126" t="s">
        <v>9</v>
      </c>
      <c r="E1126">
        <v>15210</v>
      </c>
      <c r="F1126">
        <v>0</v>
      </c>
    </row>
    <row r="1127" spans="1:6" x14ac:dyDescent="0.3">
      <c r="A1127" t="s">
        <v>1174</v>
      </c>
      <c r="B1127" t="s">
        <v>20</v>
      </c>
      <c r="C1127">
        <v>2012</v>
      </c>
      <c r="D1127" t="s">
        <v>9</v>
      </c>
      <c r="E1127">
        <v>1045</v>
      </c>
      <c r="F1127">
        <v>0</v>
      </c>
    </row>
    <row r="1128" spans="1:6" x14ac:dyDescent="0.3">
      <c r="A1128" t="s">
        <v>1175</v>
      </c>
      <c r="B1128" t="s">
        <v>20</v>
      </c>
      <c r="C1128">
        <v>2012</v>
      </c>
      <c r="D1128" t="s">
        <v>9</v>
      </c>
      <c r="E1128">
        <v>10500</v>
      </c>
      <c r="F1128">
        <v>0</v>
      </c>
    </row>
    <row r="1129" spans="1:6" x14ac:dyDescent="0.3">
      <c r="A1129" t="s">
        <v>1176</v>
      </c>
      <c r="B1129" t="s">
        <v>20</v>
      </c>
      <c r="C1129">
        <v>2012</v>
      </c>
      <c r="D1129" t="s">
        <v>9</v>
      </c>
      <c r="E1129">
        <v>1020</v>
      </c>
      <c r="F1129">
        <v>0</v>
      </c>
    </row>
    <row r="1130" spans="1:6" x14ac:dyDescent="0.3">
      <c r="A1130" t="s">
        <v>1177</v>
      </c>
      <c r="B1130" t="s">
        <v>20</v>
      </c>
      <c r="C1130">
        <v>2012</v>
      </c>
      <c r="D1130" t="s">
        <v>9</v>
      </c>
      <c r="E1130">
        <v>3770</v>
      </c>
      <c r="F1130">
        <v>0</v>
      </c>
    </row>
    <row r="1131" spans="1:6" x14ac:dyDescent="0.3">
      <c r="A1131" t="s">
        <v>1178</v>
      </c>
      <c r="B1131" t="s">
        <v>20</v>
      </c>
      <c r="C1131">
        <v>2012</v>
      </c>
      <c r="D1131" t="s">
        <v>2689</v>
      </c>
      <c r="E1131">
        <v>10060</v>
      </c>
      <c r="F1131">
        <v>1000</v>
      </c>
    </row>
    <row r="1132" spans="1:6" x14ac:dyDescent="0.3">
      <c r="A1132" t="s">
        <v>1179</v>
      </c>
      <c r="B1132" t="s">
        <v>20</v>
      </c>
      <c r="C1132">
        <v>2012</v>
      </c>
      <c r="D1132" t="s">
        <v>2689</v>
      </c>
      <c r="E1132">
        <v>490</v>
      </c>
      <c r="F1132">
        <v>0</v>
      </c>
    </row>
    <row r="1133" spans="1:6" x14ac:dyDescent="0.3">
      <c r="A1133" t="s">
        <v>1180</v>
      </c>
      <c r="B1133" t="s">
        <v>20</v>
      </c>
      <c r="C1133">
        <v>2013</v>
      </c>
      <c r="D1133" t="s">
        <v>14</v>
      </c>
      <c r="E1133">
        <v>515</v>
      </c>
      <c r="F1133">
        <v>0</v>
      </c>
    </row>
    <row r="1134" spans="1:6" x14ac:dyDescent="0.3">
      <c r="A1134" t="s">
        <v>1181</v>
      </c>
      <c r="B1134" t="s">
        <v>20</v>
      </c>
      <c r="C1134">
        <v>2013</v>
      </c>
      <c r="D1134" t="s">
        <v>14</v>
      </c>
      <c r="E1134">
        <v>55935</v>
      </c>
      <c r="F1134">
        <v>130000</v>
      </c>
    </row>
    <row r="1135" spans="1:6" x14ac:dyDescent="0.3">
      <c r="A1135" t="s">
        <v>1182</v>
      </c>
      <c r="B1135" t="s">
        <v>20</v>
      </c>
      <c r="C1135">
        <v>2013</v>
      </c>
      <c r="D1135" t="s">
        <v>14</v>
      </c>
      <c r="E1135">
        <v>2738</v>
      </c>
      <c r="F1135">
        <v>0</v>
      </c>
    </row>
    <row r="1136" spans="1:6" x14ac:dyDescent="0.3">
      <c r="A1136" t="s">
        <v>1183</v>
      </c>
      <c r="B1136" t="s">
        <v>20</v>
      </c>
      <c r="C1136">
        <v>2013</v>
      </c>
      <c r="D1136" t="s">
        <v>9</v>
      </c>
      <c r="E1136">
        <v>248846</v>
      </c>
      <c r="F1136">
        <v>3000000</v>
      </c>
    </row>
    <row r="1137" spans="1:6" x14ac:dyDescent="0.3">
      <c r="A1137" t="s">
        <v>1184</v>
      </c>
      <c r="B1137" t="s">
        <v>20</v>
      </c>
      <c r="C1137">
        <v>2013</v>
      </c>
      <c r="D1137" t="s">
        <v>9</v>
      </c>
      <c r="E1137">
        <v>1000</v>
      </c>
      <c r="F1137">
        <v>0</v>
      </c>
    </row>
    <row r="1138" spans="1:6" x14ac:dyDescent="0.3">
      <c r="A1138" t="s">
        <v>1185</v>
      </c>
      <c r="B1138" t="s">
        <v>20</v>
      </c>
      <c r="C1138">
        <v>2013</v>
      </c>
      <c r="D1138" t="s">
        <v>9</v>
      </c>
      <c r="E1138">
        <v>58040</v>
      </c>
      <c r="F1138">
        <v>2000</v>
      </c>
    </row>
    <row r="1139" spans="1:6" x14ac:dyDescent="0.3">
      <c r="A1139" t="s">
        <v>1186</v>
      </c>
      <c r="B1139" t="s">
        <v>20</v>
      </c>
      <c r="C1139">
        <v>2013</v>
      </c>
      <c r="D1139" t="s">
        <v>9</v>
      </c>
      <c r="E1139">
        <v>115000</v>
      </c>
      <c r="F1139">
        <v>0</v>
      </c>
    </row>
    <row r="1140" spans="1:6" x14ac:dyDescent="0.3">
      <c r="A1140" t="s">
        <v>1187</v>
      </c>
      <c r="B1140" t="s">
        <v>20</v>
      </c>
      <c r="C1140">
        <v>2013</v>
      </c>
      <c r="D1140" t="s">
        <v>9</v>
      </c>
      <c r="E1140">
        <v>8140</v>
      </c>
      <c r="F1140">
        <v>0</v>
      </c>
    </row>
    <row r="1141" spans="1:6" x14ac:dyDescent="0.3">
      <c r="A1141" t="s">
        <v>1188</v>
      </c>
      <c r="B1141" t="s">
        <v>20</v>
      </c>
      <c r="C1141">
        <v>2013</v>
      </c>
      <c r="D1141" t="s">
        <v>9</v>
      </c>
      <c r="E1141">
        <v>23640</v>
      </c>
      <c r="F1141">
        <v>0</v>
      </c>
    </row>
    <row r="1142" spans="1:6" x14ac:dyDescent="0.3">
      <c r="A1142" t="s">
        <v>1189</v>
      </c>
      <c r="B1142" t="s">
        <v>20</v>
      </c>
      <c r="C1142">
        <v>2013</v>
      </c>
      <c r="D1142" t="s">
        <v>9</v>
      </c>
      <c r="E1142">
        <v>16000</v>
      </c>
      <c r="F1142">
        <v>0</v>
      </c>
    </row>
    <row r="1143" spans="1:6" x14ac:dyDescent="0.3">
      <c r="A1143" t="s">
        <v>1190</v>
      </c>
      <c r="B1143" t="s">
        <v>20</v>
      </c>
      <c r="C1143">
        <v>2013</v>
      </c>
      <c r="D1143" t="s">
        <v>9</v>
      </c>
      <c r="E1143">
        <v>22500</v>
      </c>
      <c r="F1143">
        <v>2000</v>
      </c>
    </row>
    <row r="1144" spans="1:6" x14ac:dyDescent="0.3">
      <c r="A1144" t="s">
        <v>1191</v>
      </c>
      <c r="B1144" t="s">
        <v>20</v>
      </c>
      <c r="C1144">
        <v>2013</v>
      </c>
      <c r="D1144" t="s">
        <v>9</v>
      </c>
      <c r="E1144">
        <v>84250</v>
      </c>
      <c r="F1144">
        <v>2000</v>
      </c>
    </row>
    <row r="1145" spans="1:6" x14ac:dyDescent="0.3">
      <c r="A1145" t="s">
        <v>1192</v>
      </c>
      <c r="B1145" t="s">
        <v>20</v>
      </c>
      <c r="C1145">
        <v>2013</v>
      </c>
      <c r="D1145" t="s">
        <v>9</v>
      </c>
      <c r="E1145">
        <v>13860</v>
      </c>
      <c r="F1145">
        <v>0</v>
      </c>
    </row>
    <row r="1146" spans="1:6" x14ac:dyDescent="0.3">
      <c r="A1146" t="s">
        <v>1193</v>
      </c>
      <c r="B1146" t="s">
        <v>20</v>
      </c>
      <c r="C1146">
        <v>2014</v>
      </c>
      <c r="D1146" t="s">
        <v>9</v>
      </c>
      <c r="E1146">
        <v>128182</v>
      </c>
      <c r="F1146">
        <v>153000</v>
      </c>
    </row>
    <row r="1147" spans="1:6" x14ac:dyDescent="0.3">
      <c r="A1147" t="s">
        <v>1194</v>
      </c>
      <c r="B1147" t="s">
        <v>20</v>
      </c>
      <c r="C1147">
        <v>2014</v>
      </c>
      <c r="D1147" t="s">
        <v>9</v>
      </c>
      <c r="E1147">
        <v>260350</v>
      </c>
      <c r="F1147">
        <v>173000</v>
      </c>
    </row>
    <row r="1148" spans="1:6" x14ac:dyDescent="0.3">
      <c r="A1148" t="s">
        <v>1195</v>
      </c>
      <c r="B1148" t="s">
        <v>20</v>
      </c>
      <c r="C1148">
        <v>2014</v>
      </c>
      <c r="D1148" t="s">
        <v>9</v>
      </c>
      <c r="E1148">
        <v>20000</v>
      </c>
      <c r="F1148">
        <v>600000</v>
      </c>
    </row>
    <row r="1149" spans="1:6" x14ac:dyDescent="0.3">
      <c r="A1149" t="s">
        <v>1196</v>
      </c>
      <c r="B1149" t="s">
        <v>20</v>
      </c>
      <c r="C1149">
        <v>2014</v>
      </c>
      <c r="D1149" t="s">
        <v>9</v>
      </c>
      <c r="E1149">
        <v>4000</v>
      </c>
      <c r="F1149">
        <v>2000</v>
      </c>
    </row>
    <row r="1150" spans="1:6" x14ac:dyDescent="0.3">
      <c r="A1150" t="s">
        <v>1197</v>
      </c>
      <c r="B1150" t="s">
        <v>20</v>
      </c>
      <c r="C1150">
        <v>2014</v>
      </c>
      <c r="D1150" t="s">
        <v>9</v>
      </c>
      <c r="E1150">
        <v>275</v>
      </c>
      <c r="F1150">
        <v>0</v>
      </c>
    </row>
    <row r="1151" spans="1:6" x14ac:dyDescent="0.3">
      <c r="A1151" t="s">
        <v>1198</v>
      </c>
      <c r="B1151" t="s">
        <v>20</v>
      </c>
      <c r="C1151">
        <v>2014</v>
      </c>
      <c r="D1151" t="s">
        <v>9</v>
      </c>
      <c r="E1151">
        <v>10420</v>
      </c>
      <c r="F1151">
        <v>0</v>
      </c>
    </row>
    <row r="1152" spans="1:6" x14ac:dyDescent="0.3">
      <c r="A1152" t="s">
        <v>1199</v>
      </c>
      <c r="B1152" t="s">
        <v>20</v>
      </c>
      <c r="C1152">
        <v>2015</v>
      </c>
      <c r="D1152" t="s">
        <v>7</v>
      </c>
      <c r="E1152">
        <v>0</v>
      </c>
      <c r="F1152">
        <v>0</v>
      </c>
    </row>
    <row r="1153" spans="1:6" x14ac:dyDescent="0.3">
      <c r="A1153" t="s">
        <v>1200</v>
      </c>
      <c r="B1153" t="s">
        <v>20</v>
      </c>
      <c r="C1153">
        <v>2015</v>
      </c>
      <c r="D1153" t="s">
        <v>14</v>
      </c>
      <c r="E1153">
        <v>12247</v>
      </c>
      <c r="F1153">
        <v>0</v>
      </c>
    </row>
    <row r="1154" spans="1:6" x14ac:dyDescent="0.3">
      <c r="A1154" t="s">
        <v>1201</v>
      </c>
      <c r="B1154" t="s">
        <v>20</v>
      </c>
      <c r="C1154">
        <v>2015</v>
      </c>
      <c r="D1154" t="s">
        <v>9</v>
      </c>
      <c r="E1154">
        <v>8259</v>
      </c>
      <c r="F1154">
        <v>0</v>
      </c>
    </row>
    <row r="1155" spans="1:6" x14ac:dyDescent="0.3">
      <c r="A1155" t="s">
        <v>1202</v>
      </c>
      <c r="B1155" t="s">
        <v>20</v>
      </c>
      <c r="C1155">
        <v>2015</v>
      </c>
      <c r="D1155" t="s">
        <v>9</v>
      </c>
      <c r="E1155">
        <v>300</v>
      </c>
      <c r="F1155">
        <v>0</v>
      </c>
    </row>
    <row r="1156" spans="1:6" x14ac:dyDescent="0.3">
      <c r="A1156" t="s">
        <v>1203</v>
      </c>
      <c r="B1156" t="s">
        <v>20</v>
      </c>
      <c r="C1156">
        <v>2015</v>
      </c>
      <c r="D1156" t="s">
        <v>9</v>
      </c>
      <c r="E1156">
        <v>25000</v>
      </c>
      <c r="F1156">
        <v>0</v>
      </c>
    </row>
    <row r="1157" spans="1:6" x14ac:dyDescent="0.3">
      <c r="A1157" t="s">
        <v>1204</v>
      </c>
      <c r="B1157" t="s">
        <v>20</v>
      </c>
      <c r="C1157">
        <v>2015</v>
      </c>
      <c r="D1157" t="s">
        <v>9</v>
      </c>
      <c r="E1157">
        <v>0</v>
      </c>
      <c r="F1157">
        <v>235000</v>
      </c>
    </row>
    <row r="1158" spans="1:6" x14ac:dyDescent="0.3">
      <c r="A1158" t="s">
        <v>1205</v>
      </c>
      <c r="B1158" t="s">
        <v>20</v>
      </c>
      <c r="C1158">
        <v>2015</v>
      </c>
      <c r="D1158" t="s">
        <v>9</v>
      </c>
      <c r="E1158">
        <v>8000</v>
      </c>
      <c r="F1158">
        <v>0</v>
      </c>
    </row>
    <row r="1159" spans="1:6" x14ac:dyDescent="0.3">
      <c r="A1159" t="s">
        <v>1206</v>
      </c>
      <c r="B1159" t="s">
        <v>20</v>
      </c>
      <c r="C1159">
        <v>2015</v>
      </c>
      <c r="D1159" t="s">
        <v>9</v>
      </c>
      <c r="E1159">
        <v>25750</v>
      </c>
      <c r="F1159">
        <v>0</v>
      </c>
    </row>
    <row r="1160" spans="1:6" x14ac:dyDescent="0.3">
      <c r="A1160" t="s">
        <v>1207</v>
      </c>
      <c r="B1160" t="s">
        <v>20</v>
      </c>
      <c r="C1160">
        <v>2016</v>
      </c>
      <c r="D1160" t="s">
        <v>14</v>
      </c>
      <c r="E1160">
        <v>368</v>
      </c>
      <c r="F1160">
        <v>0</v>
      </c>
    </row>
    <row r="1161" spans="1:6" x14ac:dyDescent="0.3">
      <c r="A1161" t="s">
        <v>1208</v>
      </c>
      <c r="B1161" t="s">
        <v>20</v>
      </c>
      <c r="C1161">
        <v>2016</v>
      </c>
      <c r="D1161" t="s">
        <v>14</v>
      </c>
      <c r="E1161">
        <v>3410</v>
      </c>
      <c r="F1161">
        <v>0</v>
      </c>
    </row>
    <row r="1162" spans="1:6" x14ac:dyDescent="0.3">
      <c r="A1162" t="s">
        <v>1209</v>
      </c>
      <c r="B1162" t="s">
        <v>20</v>
      </c>
      <c r="C1162">
        <v>2016</v>
      </c>
      <c r="D1162" t="s">
        <v>14</v>
      </c>
      <c r="E1162">
        <v>86018</v>
      </c>
      <c r="F1162">
        <v>100000</v>
      </c>
    </row>
    <row r="1163" spans="1:6" x14ac:dyDescent="0.3">
      <c r="A1163" t="s">
        <v>1210</v>
      </c>
      <c r="B1163" t="s">
        <v>20</v>
      </c>
      <c r="C1163">
        <v>2016</v>
      </c>
      <c r="D1163" t="s">
        <v>9</v>
      </c>
      <c r="E1163">
        <v>80313</v>
      </c>
      <c r="F1163">
        <v>2000</v>
      </c>
    </row>
    <row r="1164" spans="1:6" x14ac:dyDescent="0.3">
      <c r="A1164" t="s">
        <v>1211</v>
      </c>
      <c r="B1164" t="s">
        <v>20</v>
      </c>
      <c r="C1164">
        <v>2016</v>
      </c>
      <c r="D1164" t="s">
        <v>9</v>
      </c>
      <c r="E1164">
        <v>30000</v>
      </c>
      <c r="F1164">
        <v>0</v>
      </c>
    </row>
    <row r="1165" spans="1:6" x14ac:dyDescent="0.3">
      <c r="A1165" t="s">
        <v>1212</v>
      </c>
      <c r="B1165" t="s">
        <v>20</v>
      </c>
      <c r="C1165">
        <v>2016</v>
      </c>
      <c r="D1165" t="s">
        <v>9</v>
      </c>
      <c r="E1165">
        <v>12500</v>
      </c>
      <c r="F1165">
        <v>0</v>
      </c>
    </row>
    <row r="1166" spans="1:6" x14ac:dyDescent="0.3">
      <c r="A1166" t="s">
        <v>1213</v>
      </c>
      <c r="B1166" t="s">
        <v>20</v>
      </c>
      <c r="C1166">
        <v>2016</v>
      </c>
      <c r="D1166" t="s">
        <v>9</v>
      </c>
      <c r="E1166">
        <v>24000</v>
      </c>
      <c r="F1166">
        <v>0</v>
      </c>
    </row>
    <row r="1167" spans="1:6" x14ac:dyDescent="0.3">
      <c r="A1167" t="s">
        <v>1214</v>
      </c>
      <c r="B1167" t="s">
        <v>20</v>
      </c>
      <c r="C1167">
        <v>2016</v>
      </c>
      <c r="D1167" t="s">
        <v>9</v>
      </c>
      <c r="E1167">
        <v>1354</v>
      </c>
      <c r="F1167">
        <v>0</v>
      </c>
    </row>
    <row r="1168" spans="1:6" x14ac:dyDescent="0.3">
      <c r="A1168" t="s">
        <v>1215</v>
      </c>
      <c r="B1168" t="s">
        <v>20</v>
      </c>
      <c r="C1168">
        <v>2016</v>
      </c>
      <c r="D1168" t="s">
        <v>9</v>
      </c>
      <c r="E1168">
        <v>8920</v>
      </c>
      <c r="F1168">
        <v>22000</v>
      </c>
    </row>
    <row r="1169" spans="1:6" x14ac:dyDescent="0.3">
      <c r="A1169" t="s">
        <v>1216</v>
      </c>
      <c r="B1169" t="s">
        <v>20</v>
      </c>
      <c r="C1169">
        <v>2016</v>
      </c>
      <c r="D1169" t="s">
        <v>9</v>
      </c>
      <c r="E1169">
        <v>4500</v>
      </c>
      <c r="F1169">
        <v>0</v>
      </c>
    </row>
    <row r="1170" spans="1:6" x14ac:dyDescent="0.3">
      <c r="A1170" t="s">
        <v>1217</v>
      </c>
      <c r="B1170" t="s">
        <v>20</v>
      </c>
      <c r="C1170">
        <v>2016</v>
      </c>
      <c r="D1170" t="s">
        <v>9</v>
      </c>
      <c r="E1170">
        <v>19669</v>
      </c>
      <c r="F1170">
        <v>0</v>
      </c>
    </row>
    <row r="1171" spans="1:6" x14ac:dyDescent="0.3">
      <c r="A1171" t="s">
        <v>1218</v>
      </c>
      <c r="B1171" t="s">
        <v>20</v>
      </c>
      <c r="C1171">
        <v>2016</v>
      </c>
      <c r="D1171" t="s">
        <v>9</v>
      </c>
      <c r="E1171">
        <v>105000</v>
      </c>
      <c r="F1171">
        <v>10000</v>
      </c>
    </row>
    <row r="1172" spans="1:6" x14ac:dyDescent="0.3">
      <c r="A1172" t="s">
        <v>1219</v>
      </c>
      <c r="B1172" t="s">
        <v>20</v>
      </c>
      <c r="C1172">
        <v>2016</v>
      </c>
      <c r="D1172" t="s">
        <v>9</v>
      </c>
      <c r="E1172">
        <v>105753</v>
      </c>
      <c r="F1172">
        <v>74000</v>
      </c>
    </row>
    <row r="1173" spans="1:6" x14ac:dyDescent="0.3">
      <c r="A1173" t="s">
        <v>1220</v>
      </c>
      <c r="B1173" t="s">
        <v>20</v>
      </c>
      <c r="C1173">
        <v>2017</v>
      </c>
      <c r="D1173" t="s">
        <v>14</v>
      </c>
      <c r="E1173">
        <v>8895</v>
      </c>
      <c r="F1173">
        <v>0</v>
      </c>
    </row>
    <row r="1174" spans="1:6" x14ac:dyDescent="0.3">
      <c r="A1174" t="s">
        <v>1221</v>
      </c>
      <c r="B1174" t="s">
        <v>20</v>
      </c>
      <c r="C1174">
        <v>2017</v>
      </c>
      <c r="D1174" t="s">
        <v>9</v>
      </c>
      <c r="E1174">
        <v>400</v>
      </c>
      <c r="F1174">
        <v>0</v>
      </c>
    </row>
    <row r="1175" spans="1:6" x14ac:dyDescent="0.3">
      <c r="A1175" t="s">
        <v>1222</v>
      </c>
      <c r="B1175" t="s">
        <v>20</v>
      </c>
      <c r="C1175">
        <v>2017</v>
      </c>
      <c r="D1175" t="s">
        <v>9</v>
      </c>
      <c r="E1175">
        <v>17410</v>
      </c>
      <c r="F1175">
        <v>19000</v>
      </c>
    </row>
    <row r="1176" spans="1:6" x14ac:dyDescent="0.3">
      <c r="A1176" t="s">
        <v>1223</v>
      </c>
      <c r="B1176" t="s">
        <v>20</v>
      </c>
      <c r="C1176">
        <v>2017</v>
      </c>
      <c r="D1176" t="s">
        <v>9</v>
      </c>
      <c r="E1176">
        <v>359</v>
      </c>
      <c r="F1176">
        <v>0</v>
      </c>
    </row>
    <row r="1177" spans="1:6" x14ac:dyDescent="0.3">
      <c r="A1177" t="s">
        <v>1224</v>
      </c>
      <c r="B1177" t="s">
        <v>20</v>
      </c>
      <c r="C1177">
        <v>2017</v>
      </c>
      <c r="D1177" t="s">
        <v>9</v>
      </c>
      <c r="E1177">
        <v>282420</v>
      </c>
      <c r="F1177">
        <v>0</v>
      </c>
    </row>
    <row r="1178" spans="1:6" x14ac:dyDescent="0.3">
      <c r="A1178" t="s">
        <v>1225</v>
      </c>
      <c r="B1178" t="s">
        <v>20</v>
      </c>
      <c r="C1178">
        <v>2017</v>
      </c>
      <c r="D1178" t="s">
        <v>9</v>
      </c>
      <c r="E1178">
        <v>25011</v>
      </c>
      <c r="F1178">
        <v>2000</v>
      </c>
    </row>
    <row r="1179" spans="1:6" x14ac:dyDescent="0.3">
      <c r="A1179" t="s">
        <v>1226</v>
      </c>
      <c r="B1179" t="s">
        <v>20</v>
      </c>
      <c r="C1179">
        <v>2017</v>
      </c>
      <c r="D1179" t="s">
        <v>9</v>
      </c>
      <c r="E1179">
        <v>12000</v>
      </c>
      <c r="F1179">
        <v>0</v>
      </c>
    </row>
    <row r="1180" spans="1:6" x14ac:dyDescent="0.3">
      <c r="A1180" t="s">
        <v>1227</v>
      </c>
      <c r="B1180" t="s">
        <v>20</v>
      </c>
      <c r="C1180">
        <v>2017</v>
      </c>
      <c r="D1180" t="s">
        <v>9</v>
      </c>
      <c r="E1180">
        <v>2280</v>
      </c>
      <c r="F1180">
        <v>0</v>
      </c>
    </row>
    <row r="1181" spans="1:6" x14ac:dyDescent="0.3">
      <c r="A1181" t="s">
        <v>1228</v>
      </c>
      <c r="B1181" t="s">
        <v>20</v>
      </c>
      <c r="C1181">
        <v>2017</v>
      </c>
      <c r="D1181" t="s">
        <v>2689</v>
      </c>
      <c r="E1181">
        <v>2035</v>
      </c>
      <c r="F1181">
        <v>0</v>
      </c>
    </row>
    <row r="1182" spans="1:6" x14ac:dyDescent="0.3">
      <c r="A1182" t="s">
        <v>1229</v>
      </c>
      <c r="B1182" t="s">
        <v>20</v>
      </c>
      <c r="C1182">
        <v>2018</v>
      </c>
      <c r="D1182" t="s">
        <v>14</v>
      </c>
      <c r="E1182">
        <v>13811</v>
      </c>
      <c r="F1182">
        <v>80000</v>
      </c>
    </row>
    <row r="1183" spans="1:6" x14ac:dyDescent="0.3">
      <c r="A1183" t="s">
        <v>1230</v>
      </c>
      <c r="B1183" t="s">
        <v>20</v>
      </c>
      <c r="C1183">
        <v>2018</v>
      </c>
      <c r="D1183" t="s">
        <v>14</v>
      </c>
      <c r="E1183">
        <v>102852</v>
      </c>
      <c r="F1183">
        <v>29000</v>
      </c>
    </row>
    <row r="1184" spans="1:6" x14ac:dyDescent="0.3">
      <c r="A1184" t="s">
        <v>1231</v>
      </c>
      <c r="B1184" t="s">
        <v>20</v>
      </c>
      <c r="C1184">
        <v>2018</v>
      </c>
      <c r="D1184" t="s">
        <v>14</v>
      </c>
      <c r="E1184">
        <v>516927</v>
      </c>
      <c r="F1184">
        <v>790000</v>
      </c>
    </row>
    <row r="1185" spans="1:6" x14ac:dyDescent="0.3">
      <c r="A1185" t="s">
        <v>1232</v>
      </c>
      <c r="B1185" t="s">
        <v>20</v>
      </c>
      <c r="C1185">
        <v>2018</v>
      </c>
      <c r="D1185" t="s">
        <v>14</v>
      </c>
      <c r="E1185">
        <v>779</v>
      </c>
      <c r="F1185">
        <v>5000</v>
      </c>
    </row>
    <row r="1186" spans="1:6" x14ac:dyDescent="0.3">
      <c r="A1186" t="s">
        <v>1233</v>
      </c>
      <c r="B1186" t="s">
        <v>20</v>
      </c>
      <c r="C1186">
        <v>2018</v>
      </c>
      <c r="D1186" t="s">
        <v>14</v>
      </c>
      <c r="E1186">
        <v>2000000</v>
      </c>
      <c r="F1186">
        <v>1450000</v>
      </c>
    </row>
    <row r="1187" spans="1:6" x14ac:dyDescent="0.3">
      <c r="A1187" t="s">
        <v>1234</v>
      </c>
      <c r="B1187" t="s">
        <v>20</v>
      </c>
      <c r="C1187">
        <v>2018</v>
      </c>
      <c r="D1187" t="s">
        <v>9</v>
      </c>
      <c r="E1187">
        <v>12001</v>
      </c>
      <c r="F1187">
        <v>0</v>
      </c>
    </row>
    <row r="1188" spans="1:6" x14ac:dyDescent="0.3">
      <c r="A1188" t="s">
        <v>1235</v>
      </c>
      <c r="B1188" t="s">
        <v>20</v>
      </c>
      <c r="C1188">
        <v>2018</v>
      </c>
      <c r="D1188" t="s">
        <v>9</v>
      </c>
      <c r="E1188">
        <v>3000</v>
      </c>
      <c r="F1188">
        <v>0</v>
      </c>
    </row>
    <row r="1189" spans="1:6" x14ac:dyDescent="0.3">
      <c r="A1189" t="s">
        <v>1236</v>
      </c>
      <c r="B1189" t="s">
        <v>20</v>
      </c>
      <c r="C1189">
        <v>2018</v>
      </c>
      <c r="D1189" t="s">
        <v>9</v>
      </c>
      <c r="E1189">
        <v>20000</v>
      </c>
      <c r="F1189">
        <v>0</v>
      </c>
    </row>
    <row r="1190" spans="1:6" x14ac:dyDescent="0.3">
      <c r="A1190" t="s">
        <v>1237</v>
      </c>
      <c r="B1190" t="s">
        <v>20</v>
      </c>
      <c r="C1190">
        <v>2018</v>
      </c>
      <c r="D1190" t="s">
        <v>9</v>
      </c>
      <c r="E1190">
        <v>3000</v>
      </c>
      <c r="F1190">
        <v>0</v>
      </c>
    </row>
    <row r="1191" spans="1:6" x14ac:dyDescent="0.3">
      <c r="A1191" t="s">
        <v>1238</v>
      </c>
      <c r="B1191" t="s">
        <v>20</v>
      </c>
      <c r="C1191">
        <v>2018</v>
      </c>
      <c r="D1191" t="s">
        <v>9</v>
      </c>
      <c r="E1191">
        <v>5463</v>
      </c>
      <c r="F1191">
        <v>0</v>
      </c>
    </row>
    <row r="1192" spans="1:6" x14ac:dyDescent="0.3">
      <c r="A1192" t="s">
        <v>1239</v>
      </c>
      <c r="B1192" t="s">
        <v>20</v>
      </c>
      <c r="C1192">
        <v>2018</v>
      </c>
      <c r="D1192" t="s">
        <v>9</v>
      </c>
      <c r="E1192">
        <v>100000</v>
      </c>
      <c r="F1192">
        <v>0</v>
      </c>
    </row>
    <row r="1193" spans="1:6" x14ac:dyDescent="0.3">
      <c r="A1193" t="s">
        <v>1240</v>
      </c>
      <c r="B1193" t="s">
        <v>20</v>
      </c>
      <c r="C1193">
        <v>2019</v>
      </c>
      <c r="D1193" t="s">
        <v>14</v>
      </c>
      <c r="E1193">
        <v>1763</v>
      </c>
      <c r="F1193">
        <v>0</v>
      </c>
    </row>
    <row r="1194" spans="1:6" x14ac:dyDescent="0.3">
      <c r="A1194" t="s">
        <v>1241</v>
      </c>
      <c r="B1194" t="s">
        <v>20</v>
      </c>
      <c r="C1194">
        <v>2019</v>
      </c>
      <c r="D1194" t="s">
        <v>14</v>
      </c>
      <c r="E1194">
        <v>1295</v>
      </c>
      <c r="F1194">
        <v>0</v>
      </c>
    </row>
    <row r="1195" spans="1:6" x14ac:dyDescent="0.3">
      <c r="A1195" t="s">
        <v>1242</v>
      </c>
      <c r="B1195" t="s">
        <v>20</v>
      </c>
      <c r="C1195">
        <v>2019</v>
      </c>
      <c r="D1195" t="s">
        <v>14</v>
      </c>
      <c r="E1195">
        <v>11804</v>
      </c>
      <c r="F1195">
        <v>0</v>
      </c>
    </row>
    <row r="1196" spans="1:6" x14ac:dyDescent="0.3">
      <c r="A1196" t="s">
        <v>1243</v>
      </c>
      <c r="B1196" t="s">
        <v>20</v>
      </c>
      <c r="C1196">
        <v>2019</v>
      </c>
      <c r="D1196" t="s">
        <v>14</v>
      </c>
      <c r="E1196">
        <v>2104</v>
      </c>
      <c r="F1196">
        <v>0</v>
      </c>
    </row>
    <row r="1197" spans="1:6" x14ac:dyDescent="0.3">
      <c r="A1197" t="s">
        <v>1244</v>
      </c>
      <c r="B1197" t="s">
        <v>20</v>
      </c>
      <c r="C1197">
        <v>2019</v>
      </c>
      <c r="D1197" t="s">
        <v>14</v>
      </c>
      <c r="E1197">
        <v>247418</v>
      </c>
      <c r="F1197">
        <v>0</v>
      </c>
    </row>
    <row r="1198" spans="1:6" x14ac:dyDescent="0.3">
      <c r="A1198" t="s">
        <v>1245</v>
      </c>
      <c r="B1198" t="s">
        <v>20</v>
      </c>
      <c r="C1198">
        <v>2019</v>
      </c>
      <c r="D1198" t="s">
        <v>9</v>
      </c>
      <c r="E1198">
        <v>2650</v>
      </c>
      <c r="F1198">
        <v>0</v>
      </c>
    </row>
    <row r="1199" spans="1:6" x14ac:dyDescent="0.3">
      <c r="A1199" t="s">
        <v>1246</v>
      </c>
      <c r="B1199" t="s">
        <v>20</v>
      </c>
      <c r="C1199">
        <v>2019</v>
      </c>
      <c r="D1199" t="s">
        <v>9</v>
      </c>
      <c r="E1199">
        <v>168397</v>
      </c>
      <c r="F1199">
        <v>0</v>
      </c>
    </row>
    <row r="1200" spans="1:6" x14ac:dyDescent="0.3">
      <c r="A1200" t="s">
        <v>1247</v>
      </c>
      <c r="B1200" t="s">
        <v>20</v>
      </c>
      <c r="C1200">
        <v>2019</v>
      </c>
      <c r="D1200" t="s">
        <v>9</v>
      </c>
      <c r="E1200">
        <v>59540</v>
      </c>
      <c r="F1200">
        <v>103000</v>
      </c>
    </row>
    <row r="1201" spans="1:6" x14ac:dyDescent="0.3">
      <c r="A1201" t="s">
        <v>1248</v>
      </c>
      <c r="B1201" t="s">
        <v>20</v>
      </c>
      <c r="C1201">
        <v>2019</v>
      </c>
      <c r="D1201" t="s">
        <v>9</v>
      </c>
      <c r="E1201">
        <v>2258</v>
      </c>
      <c r="F1201">
        <v>0</v>
      </c>
    </row>
    <row r="1202" spans="1:6" x14ac:dyDescent="0.3">
      <c r="A1202" t="s">
        <v>1249</v>
      </c>
      <c r="B1202" t="s">
        <v>20</v>
      </c>
      <c r="C1202">
        <v>2019</v>
      </c>
      <c r="D1202" t="s">
        <v>9</v>
      </c>
      <c r="E1202">
        <v>13002</v>
      </c>
      <c r="F1202">
        <v>15000</v>
      </c>
    </row>
    <row r="1203" spans="1:6" x14ac:dyDescent="0.3">
      <c r="A1203" t="s">
        <v>1250</v>
      </c>
      <c r="B1203" t="s">
        <v>20</v>
      </c>
      <c r="C1203">
        <v>2019</v>
      </c>
      <c r="D1203" t="s">
        <v>9</v>
      </c>
      <c r="E1203">
        <v>52000</v>
      </c>
      <c r="F1203">
        <v>0</v>
      </c>
    </row>
    <row r="1204" spans="1:6" x14ac:dyDescent="0.3">
      <c r="A1204" t="s">
        <v>1251</v>
      </c>
      <c r="B1204" t="s">
        <v>20</v>
      </c>
      <c r="C1204">
        <v>2019</v>
      </c>
      <c r="D1204" t="s">
        <v>9</v>
      </c>
      <c r="E1204">
        <v>55495</v>
      </c>
      <c r="F1204">
        <v>0</v>
      </c>
    </row>
    <row r="1205" spans="1:6" x14ac:dyDescent="0.3">
      <c r="A1205" t="s">
        <v>1252</v>
      </c>
      <c r="B1205" t="s">
        <v>20</v>
      </c>
      <c r="C1205">
        <v>2019</v>
      </c>
      <c r="D1205" t="s">
        <v>9</v>
      </c>
      <c r="E1205">
        <v>9435</v>
      </c>
      <c r="F1205">
        <v>0</v>
      </c>
    </row>
    <row r="1206" spans="1:6" x14ac:dyDescent="0.3">
      <c r="A1206" t="s">
        <v>1253</v>
      </c>
      <c r="B1206" t="s">
        <v>20</v>
      </c>
      <c r="C1206">
        <v>2019</v>
      </c>
      <c r="D1206" t="s">
        <v>9</v>
      </c>
      <c r="E1206">
        <v>5000</v>
      </c>
      <c r="F1206">
        <v>0</v>
      </c>
    </row>
    <row r="1207" spans="1:6" x14ac:dyDescent="0.3">
      <c r="A1207" t="s">
        <v>1254</v>
      </c>
      <c r="B1207" t="s">
        <v>20</v>
      </c>
      <c r="C1207">
        <v>2019</v>
      </c>
      <c r="D1207" t="s">
        <v>9</v>
      </c>
      <c r="E1207">
        <v>501110</v>
      </c>
      <c r="F1207">
        <v>1200000</v>
      </c>
    </row>
    <row r="1208" spans="1:6" x14ac:dyDescent="0.3">
      <c r="A1208" t="s">
        <v>1255</v>
      </c>
      <c r="B1208" t="s">
        <v>20</v>
      </c>
      <c r="C1208">
        <v>2019</v>
      </c>
      <c r="D1208" t="s">
        <v>9</v>
      </c>
      <c r="E1208">
        <v>60000</v>
      </c>
      <c r="F1208">
        <v>0</v>
      </c>
    </row>
    <row r="1209" spans="1:6" x14ac:dyDescent="0.3">
      <c r="A1209" t="s">
        <v>1256</v>
      </c>
      <c r="B1209" t="s">
        <v>20</v>
      </c>
      <c r="C1209">
        <v>2020</v>
      </c>
      <c r="D1209" t="s">
        <v>14</v>
      </c>
      <c r="E1209">
        <v>1560</v>
      </c>
      <c r="F1209">
        <v>0</v>
      </c>
    </row>
    <row r="1210" spans="1:6" x14ac:dyDescent="0.3">
      <c r="A1210" t="s">
        <v>1257</v>
      </c>
      <c r="B1210" t="s">
        <v>20</v>
      </c>
      <c r="C1210">
        <v>2020</v>
      </c>
      <c r="D1210" t="s">
        <v>9</v>
      </c>
      <c r="E1210">
        <v>7213</v>
      </c>
      <c r="F1210">
        <v>0</v>
      </c>
    </row>
    <row r="1211" spans="1:6" x14ac:dyDescent="0.3">
      <c r="A1211" t="s">
        <v>1258</v>
      </c>
      <c r="B1211" t="s">
        <v>20</v>
      </c>
      <c r="C1211">
        <v>2020</v>
      </c>
      <c r="D1211" t="s">
        <v>9</v>
      </c>
      <c r="E1211">
        <v>0</v>
      </c>
      <c r="F1211">
        <v>0</v>
      </c>
    </row>
    <row r="1212" spans="1:6" x14ac:dyDescent="0.3">
      <c r="A1212" t="s">
        <v>1259</v>
      </c>
      <c r="B1212" t="s">
        <v>20</v>
      </c>
      <c r="C1212">
        <v>2020</v>
      </c>
      <c r="D1212" t="s">
        <v>9</v>
      </c>
      <c r="E1212">
        <v>75000</v>
      </c>
      <c r="F1212">
        <v>0</v>
      </c>
    </row>
    <row r="1213" spans="1:6" x14ac:dyDescent="0.3">
      <c r="A1213" t="s">
        <v>1260</v>
      </c>
      <c r="B1213" t="s">
        <v>20</v>
      </c>
      <c r="C1213">
        <v>2020</v>
      </c>
      <c r="D1213" t="s">
        <v>9</v>
      </c>
      <c r="E1213">
        <v>2122</v>
      </c>
      <c r="F1213">
        <v>0</v>
      </c>
    </row>
    <row r="1214" spans="1:6" x14ac:dyDescent="0.3">
      <c r="A1214" t="s">
        <v>1261</v>
      </c>
      <c r="B1214" t="s">
        <v>20</v>
      </c>
      <c r="C1214">
        <v>2020</v>
      </c>
      <c r="D1214" t="s">
        <v>9</v>
      </c>
      <c r="E1214">
        <v>10905</v>
      </c>
      <c r="F1214">
        <v>0</v>
      </c>
    </row>
    <row r="1215" spans="1:6" x14ac:dyDescent="0.3">
      <c r="A1215" t="s">
        <v>1262</v>
      </c>
      <c r="B1215" t="s">
        <v>20</v>
      </c>
      <c r="C1215">
        <v>2020</v>
      </c>
      <c r="D1215" t="s">
        <v>9</v>
      </c>
      <c r="E1215">
        <v>115000</v>
      </c>
      <c r="F1215">
        <v>10000</v>
      </c>
    </row>
    <row r="1216" spans="1:6" x14ac:dyDescent="0.3">
      <c r="A1216" t="s">
        <v>1263</v>
      </c>
      <c r="B1216" t="s">
        <v>20</v>
      </c>
      <c r="C1216">
        <v>2020</v>
      </c>
      <c r="D1216" t="s">
        <v>9</v>
      </c>
      <c r="E1216">
        <v>112000</v>
      </c>
      <c r="F1216">
        <v>0</v>
      </c>
    </row>
    <row r="1217" spans="1:6" x14ac:dyDescent="0.3">
      <c r="A1217" t="s">
        <v>1264</v>
      </c>
      <c r="B1217" t="s">
        <v>20</v>
      </c>
      <c r="C1217">
        <v>2020</v>
      </c>
      <c r="D1217" t="s">
        <v>9</v>
      </c>
      <c r="E1217">
        <v>40000</v>
      </c>
      <c r="F1217">
        <v>7200</v>
      </c>
    </row>
    <row r="1218" spans="1:6" x14ac:dyDescent="0.3">
      <c r="A1218" t="s">
        <v>1265</v>
      </c>
      <c r="B1218" t="s">
        <v>20</v>
      </c>
      <c r="C1218">
        <v>2020</v>
      </c>
      <c r="D1218" t="s">
        <v>9</v>
      </c>
      <c r="E1218">
        <v>84609</v>
      </c>
      <c r="F1218">
        <v>0</v>
      </c>
    </row>
    <row r="1219" spans="1:6" x14ac:dyDescent="0.3">
      <c r="A1219" t="s">
        <v>1266</v>
      </c>
      <c r="B1219" t="s">
        <v>20</v>
      </c>
      <c r="C1219">
        <v>2020</v>
      </c>
      <c r="D1219" t="s">
        <v>9</v>
      </c>
      <c r="E1219">
        <v>56488</v>
      </c>
      <c r="F1219">
        <v>0</v>
      </c>
    </row>
    <row r="1220" spans="1:6" x14ac:dyDescent="0.3">
      <c r="A1220" t="s">
        <v>1267</v>
      </c>
      <c r="B1220" t="s">
        <v>20</v>
      </c>
      <c r="C1220">
        <v>2020</v>
      </c>
      <c r="D1220" t="s">
        <v>9</v>
      </c>
      <c r="E1220">
        <v>100</v>
      </c>
      <c r="F1220">
        <v>0</v>
      </c>
    </row>
    <row r="1221" spans="1:6" x14ac:dyDescent="0.3">
      <c r="A1221" t="s">
        <v>1268</v>
      </c>
      <c r="B1221" t="s">
        <v>20</v>
      </c>
      <c r="C1221">
        <v>2020</v>
      </c>
      <c r="D1221" t="s">
        <v>9</v>
      </c>
      <c r="E1221">
        <v>25000</v>
      </c>
      <c r="F1221">
        <v>0</v>
      </c>
    </row>
    <row r="1222" spans="1:6" x14ac:dyDescent="0.3">
      <c r="A1222" t="s">
        <v>1269</v>
      </c>
      <c r="B1222" t="s">
        <v>20</v>
      </c>
      <c r="C1222">
        <v>2020</v>
      </c>
      <c r="D1222" t="s">
        <v>9</v>
      </c>
      <c r="E1222">
        <v>110000</v>
      </c>
      <c r="F1222">
        <v>0</v>
      </c>
    </row>
    <row r="1223" spans="1:6" x14ac:dyDescent="0.3">
      <c r="A1223" t="s">
        <v>1270</v>
      </c>
      <c r="B1223" t="s">
        <v>20</v>
      </c>
      <c r="C1223">
        <v>2020</v>
      </c>
      <c r="D1223" t="s">
        <v>9</v>
      </c>
      <c r="E1223">
        <v>2000</v>
      </c>
      <c r="F1223">
        <v>0</v>
      </c>
    </row>
    <row r="1224" spans="1:6" x14ac:dyDescent="0.3">
      <c r="A1224" t="s">
        <v>1271</v>
      </c>
      <c r="B1224" t="s">
        <v>20</v>
      </c>
      <c r="C1224">
        <v>2020</v>
      </c>
      <c r="D1224" t="s">
        <v>9</v>
      </c>
      <c r="E1224">
        <v>3805</v>
      </c>
      <c r="F1224">
        <v>0</v>
      </c>
    </row>
    <row r="1225" spans="1:6" x14ac:dyDescent="0.3">
      <c r="A1225" t="s">
        <v>1272</v>
      </c>
      <c r="B1225" t="s">
        <v>20</v>
      </c>
      <c r="C1225">
        <v>2020</v>
      </c>
      <c r="D1225" t="s">
        <v>9</v>
      </c>
      <c r="E1225">
        <v>1835</v>
      </c>
      <c r="F1225">
        <v>0</v>
      </c>
    </row>
    <row r="1226" spans="1:6" x14ac:dyDescent="0.3">
      <c r="A1226" t="s">
        <v>1273</v>
      </c>
      <c r="B1226" t="s">
        <v>20</v>
      </c>
      <c r="C1226">
        <v>2020</v>
      </c>
      <c r="D1226" t="s">
        <v>9</v>
      </c>
      <c r="E1226">
        <v>41837</v>
      </c>
      <c r="F1226">
        <v>0</v>
      </c>
    </row>
    <row r="1227" spans="1:6" x14ac:dyDescent="0.3">
      <c r="A1227" t="s">
        <v>1274</v>
      </c>
      <c r="B1227" t="s">
        <v>20</v>
      </c>
      <c r="C1227">
        <v>2020</v>
      </c>
      <c r="D1227" t="s">
        <v>9</v>
      </c>
      <c r="E1227">
        <v>12003</v>
      </c>
      <c r="F1227">
        <v>2100</v>
      </c>
    </row>
    <row r="1228" spans="1:6" x14ac:dyDescent="0.3">
      <c r="A1228" t="s">
        <v>1275</v>
      </c>
      <c r="B1228" t="s">
        <v>20</v>
      </c>
      <c r="C1228">
        <v>2020</v>
      </c>
      <c r="D1228" t="s">
        <v>9</v>
      </c>
      <c r="E1228">
        <v>10000</v>
      </c>
      <c r="F1228">
        <v>0</v>
      </c>
    </row>
    <row r="1229" spans="1:6" x14ac:dyDescent="0.3">
      <c r="A1229" t="s">
        <v>1276</v>
      </c>
      <c r="B1229" t="s">
        <v>20</v>
      </c>
      <c r="C1229">
        <v>2020</v>
      </c>
      <c r="D1229" t="s">
        <v>9</v>
      </c>
      <c r="E1229">
        <v>23461</v>
      </c>
      <c r="F1229">
        <v>0</v>
      </c>
    </row>
    <row r="1230" spans="1:6" x14ac:dyDescent="0.3">
      <c r="A1230" t="s">
        <v>1277</v>
      </c>
      <c r="B1230" t="s">
        <v>20</v>
      </c>
      <c r="C1230">
        <v>2020</v>
      </c>
      <c r="D1230" t="s">
        <v>9</v>
      </c>
      <c r="E1230">
        <v>14534</v>
      </c>
      <c r="F1230">
        <v>10000</v>
      </c>
    </row>
    <row r="1231" spans="1:6" x14ac:dyDescent="0.3">
      <c r="A1231" t="s">
        <v>1278</v>
      </c>
      <c r="B1231" t="s">
        <v>20</v>
      </c>
      <c r="C1231">
        <v>2020</v>
      </c>
      <c r="D1231" t="s">
        <v>9</v>
      </c>
      <c r="E1231">
        <v>10000</v>
      </c>
      <c r="F1231">
        <v>0</v>
      </c>
    </row>
    <row r="1232" spans="1:6" x14ac:dyDescent="0.3">
      <c r="A1232" t="s">
        <v>1279</v>
      </c>
      <c r="B1232" t="s">
        <v>20</v>
      </c>
      <c r="C1232">
        <v>2020</v>
      </c>
      <c r="D1232" t="s">
        <v>9</v>
      </c>
      <c r="E1232">
        <v>110000</v>
      </c>
      <c r="F1232">
        <v>0</v>
      </c>
    </row>
    <row r="1233" spans="1:6" x14ac:dyDescent="0.3">
      <c r="A1233" t="s">
        <v>1280</v>
      </c>
      <c r="B1233" t="s">
        <v>20</v>
      </c>
      <c r="C1233">
        <v>2020</v>
      </c>
      <c r="D1233" t="s">
        <v>9</v>
      </c>
      <c r="E1233">
        <v>1852</v>
      </c>
      <c r="F1233">
        <v>0</v>
      </c>
    </row>
    <row r="1234" spans="1:6" x14ac:dyDescent="0.3">
      <c r="A1234" t="s">
        <v>1281</v>
      </c>
      <c r="B1234" t="s">
        <v>20</v>
      </c>
      <c r="C1234">
        <v>2020</v>
      </c>
      <c r="D1234" t="s">
        <v>9</v>
      </c>
      <c r="E1234">
        <v>18200</v>
      </c>
      <c r="F1234">
        <v>0</v>
      </c>
    </row>
    <row r="1235" spans="1:6" x14ac:dyDescent="0.3">
      <c r="A1235" t="s">
        <v>1282</v>
      </c>
      <c r="B1235" t="s">
        <v>20</v>
      </c>
      <c r="C1235">
        <v>2021</v>
      </c>
      <c r="D1235" t="s">
        <v>14</v>
      </c>
      <c r="E1235">
        <v>100653</v>
      </c>
      <c r="F1235">
        <v>58700</v>
      </c>
    </row>
    <row r="1236" spans="1:6" x14ac:dyDescent="0.3">
      <c r="A1236" t="s">
        <v>1283</v>
      </c>
      <c r="B1236" t="s">
        <v>20</v>
      </c>
      <c r="C1236">
        <v>2021</v>
      </c>
      <c r="D1236" t="s">
        <v>14</v>
      </c>
      <c r="E1236">
        <v>5979</v>
      </c>
      <c r="F1236">
        <v>0</v>
      </c>
    </row>
    <row r="1237" spans="1:6" x14ac:dyDescent="0.3">
      <c r="A1237" t="s">
        <v>1284</v>
      </c>
      <c r="B1237" t="s">
        <v>20</v>
      </c>
      <c r="C1237">
        <v>2021</v>
      </c>
      <c r="D1237" t="s">
        <v>14</v>
      </c>
      <c r="E1237">
        <v>750</v>
      </c>
      <c r="F1237">
        <v>0</v>
      </c>
    </row>
    <row r="1238" spans="1:6" x14ac:dyDescent="0.3">
      <c r="A1238" t="s">
        <v>1285</v>
      </c>
      <c r="B1238" t="s">
        <v>20</v>
      </c>
      <c r="C1238">
        <v>2021</v>
      </c>
      <c r="D1238" t="s">
        <v>14</v>
      </c>
      <c r="E1238">
        <v>4532</v>
      </c>
      <c r="F1238">
        <v>0</v>
      </c>
    </row>
    <row r="1239" spans="1:6" x14ac:dyDescent="0.3">
      <c r="A1239" t="s">
        <v>1286</v>
      </c>
      <c r="B1239" t="s">
        <v>20</v>
      </c>
      <c r="C1239">
        <v>2021</v>
      </c>
      <c r="D1239" t="s">
        <v>14</v>
      </c>
      <c r="E1239">
        <v>1737</v>
      </c>
      <c r="F1239">
        <v>0</v>
      </c>
    </row>
    <row r="1240" spans="1:6" x14ac:dyDescent="0.3">
      <c r="A1240" t="s">
        <v>1287</v>
      </c>
      <c r="B1240" t="s">
        <v>20</v>
      </c>
      <c r="C1240">
        <v>2021</v>
      </c>
      <c r="D1240" t="s">
        <v>9</v>
      </c>
      <c r="E1240">
        <v>126025</v>
      </c>
      <c r="F1240">
        <v>0</v>
      </c>
    </row>
    <row r="1241" spans="1:6" x14ac:dyDescent="0.3">
      <c r="A1241" t="s">
        <v>1288</v>
      </c>
      <c r="B1241" t="s">
        <v>20</v>
      </c>
      <c r="C1241">
        <v>2021</v>
      </c>
      <c r="D1241" t="s">
        <v>9</v>
      </c>
      <c r="E1241">
        <v>10000</v>
      </c>
      <c r="F1241">
        <v>0</v>
      </c>
    </row>
    <row r="1242" spans="1:6" x14ac:dyDescent="0.3">
      <c r="A1242" t="s">
        <v>1289</v>
      </c>
      <c r="B1242" t="s">
        <v>20</v>
      </c>
      <c r="C1242">
        <v>2021</v>
      </c>
      <c r="D1242" t="s">
        <v>9</v>
      </c>
      <c r="E1242">
        <v>25400</v>
      </c>
      <c r="F1242">
        <v>0</v>
      </c>
    </row>
    <row r="1243" spans="1:6" x14ac:dyDescent="0.3">
      <c r="A1243" t="s">
        <v>1290</v>
      </c>
      <c r="B1243" t="s">
        <v>20</v>
      </c>
      <c r="C1243">
        <v>2021</v>
      </c>
      <c r="D1243" t="s">
        <v>9</v>
      </c>
      <c r="E1243">
        <v>228650</v>
      </c>
      <c r="F1243">
        <v>50000</v>
      </c>
    </row>
    <row r="1244" spans="1:6" x14ac:dyDescent="0.3">
      <c r="A1244" t="s">
        <v>1291</v>
      </c>
      <c r="B1244" t="s">
        <v>20</v>
      </c>
      <c r="C1244">
        <v>2021</v>
      </c>
      <c r="D1244" t="s">
        <v>9</v>
      </c>
      <c r="E1244">
        <v>90590</v>
      </c>
      <c r="F1244">
        <v>0</v>
      </c>
    </row>
    <row r="1245" spans="1:6" x14ac:dyDescent="0.3">
      <c r="A1245" t="s">
        <v>1292</v>
      </c>
      <c r="B1245" t="s">
        <v>20</v>
      </c>
      <c r="C1245">
        <v>2021</v>
      </c>
      <c r="D1245" t="s">
        <v>9</v>
      </c>
      <c r="E1245">
        <v>1974</v>
      </c>
      <c r="F1245">
        <v>0</v>
      </c>
    </row>
    <row r="1246" spans="1:6" x14ac:dyDescent="0.3">
      <c r="A1246" t="s">
        <v>1293</v>
      </c>
      <c r="B1246" t="s">
        <v>20</v>
      </c>
      <c r="C1246">
        <v>2021</v>
      </c>
      <c r="D1246" t="s">
        <v>9</v>
      </c>
      <c r="E1246">
        <v>75506</v>
      </c>
      <c r="F1246">
        <v>0</v>
      </c>
    </row>
    <row r="1247" spans="1:6" x14ac:dyDescent="0.3">
      <c r="A1247" t="s">
        <v>1294</v>
      </c>
      <c r="B1247" t="s">
        <v>20</v>
      </c>
      <c r="C1247">
        <v>2021</v>
      </c>
      <c r="D1247" t="s">
        <v>9</v>
      </c>
      <c r="E1247">
        <v>59800</v>
      </c>
      <c r="F1247">
        <v>0</v>
      </c>
    </row>
    <row r="1248" spans="1:6" x14ac:dyDescent="0.3">
      <c r="A1248" t="s">
        <v>1295</v>
      </c>
      <c r="B1248" t="s">
        <v>20</v>
      </c>
      <c r="C1248">
        <v>2021</v>
      </c>
      <c r="D1248" t="s">
        <v>9</v>
      </c>
      <c r="E1248">
        <v>6408</v>
      </c>
      <c r="F1248">
        <v>0</v>
      </c>
    </row>
    <row r="1249" spans="1:6" x14ac:dyDescent="0.3">
      <c r="A1249" t="s">
        <v>1296</v>
      </c>
      <c r="B1249" t="s">
        <v>20</v>
      </c>
      <c r="C1249">
        <v>2021</v>
      </c>
      <c r="D1249" t="s">
        <v>9</v>
      </c>
      <c r="E1249">
        <v>62900</v>
      </c>
      <c r="F1249">
        <v>0</v>
      </c>
    </row>
    <row r="1250" spans="1:6" x14ac:dyDescent="0.3">
      <c r="A1250" t="s">
        <v>1297</v>
      </c>
      <c r="B1250" t="s">
        <v>20</v>
      </c>
      <c r="C1250">
        <v>2021</v>
      </c>
      <c r="D1250" t="s">
        <v>9</v>
      </c>
      <c r="E1250">
        <v>11839</v>
      </c>
      <c r="F1250">
        <v>0</v>
      </c>
    </row>
    <row r="1251" spans="1:6" x14ac:dyDescent="0.3">
      <c r="A1251" t="s">
        <v>1298</v>
      </c>
      <c r="B1251" t="s">
        <v>20</v>
      </c>
      <c r="C1251">
        <v>2021</v>
      </c>
      <c r="D1251" t="s">
        <v>9</v>
      </c>
      <c r="E1251">
        <v>79095</v>
      </c>
      <c r="F1251">
        <v>0</v>
      </c>
    </row>
    <row r="1252" spans="1:6" x14ac:dyDescent="0.3">
      <c r="A1252" t="s">
        <v>1299</v>
      </c>
      <c r="B1252" t="s">
        <v>20</v>
      </c>
      <c r="C1252">
        <v>2021</v>
      </c>
      <c r="D1252" t="s">
        <v>9</v>
      </c>
      <c r="E1252">
        <v>2226</v>
      </c>
      <c r="F1252">
        <v>0</v>
      </c>
    </row>
    <row r="1253" spans="1:6" x14ac:dyDescent="0.3">
      <c r="A1253" t="s">
        <v>1300</v>
      </c>
      <c r="B1253" t="s">
        <v>20</v>
      </c>
      <c r="C1253">
        <v>2021</v>
      </c>
      <c r="D1253" t="s">
        <v>9</v>
      </c>
      <c r="E1253">
        <v>1275</v>
      </c>
      <c r="F1253">
        <v>0</v>
      </c>
    </row>
    <row r="1254" spans="1:6" x14ac:dyDescent="0.3">
      <c r="A1254" t="s">
        <v>1301</v>
      </c>
      <c r="B1254" t="s">
        <v>20</v>
      </c>
      <c r="C1254">
        <v>2021</v>
      </c>
      <c r="D1254" t="s">
        <v>9</v>
      </c>
      <c r="E1254">
        <v>11028</v>
      </c>
      <c r="F1254">
        <v>0</v>
      </c>
    </row>
    <row r="1255" spans="1:6" x14ac:dyDescent="0.3">
      <c r="A1255" t="s">
        <v>1302</v>
      </c>
      <c r="B1255" t="s">
        <v>20</v>
      </c>
      <c r="C1255">
        <v>2021</v>
      </c>
      <c r="D1255" t="s">
        <v>9</v>
      </c>
      <c r="E1255">
        <v>78738</v>
      </c>
      <c r="F1255">
        <v>0</v>
      </c>
    </row>
    <row r="1256" spans="1:6" x14ac:dyDescent="0.3">
      <c r="A1256" t="s">
        <v>1303</v>
      </c>
      <c r="B1256" t="s">
        <v>20</v>
      </c>
      <c r="C1256">
        <v>2021</v>
      </c>
      <c r="D1256" t="s">
        <v>9</v>
      </c>
      <c r="E1256">
        <v>43000</v>
      </c>
      <c r="F1256">
        <v>0</v>
      </c>
    </row>
    <row r="1257" spans="1:6" x14ac:dyDescent="0.3">
      <c r="A1257" t="s">
        <v>1304</v>
      </c>
      <c r="B1257" t="s">
        <v>20</v>
      </c>
      <c r="C1257">
        <v>2021</v>
      </c>
      <c r="D1257" t="s">
        <v>9</v>
      </c>
      <c r="E1257">
        <v>27500</v>
      </c>
      <c r="F1257">
        <v>0</v>
      </c>
    </row>
    <row r="1258" spans="1:6" x14ac:dyDescent="0.3">
      <c r="A1258" t="s">
        <v>1305</v>
      </c>
      <c r="B1258" t="s">
        <v>20</v>
      </c>
      <c r="C1258">
        <v>2021</v>
      </c>
      <c r="D1258" t="s">
        <v>2689</v>
      </c>
      <c r="E1258">
        <v>509625</v>
      </c>
      <c r="F1258">
        <v>800000</v>
      </c>
    </row>
    <row r="1259" spans="1:6" x14ac:dyDescent="0.3">
      <c r="A1259" t="s">
        <v>1306</v>
      </c>
      <c r="B1259" t="s">
        <v>20</v>
      </c>
      <c r="C1259">
        <v>2022</v>
      </c>
      <c r="D1259" t="s">
        <v>14</v>
      </c>
      <c r="E1259">
        <v>302</v>
      </c>
      <c r="F1259">
        <v>0</v>
      </c>
    </row>
    <row r="1260" spans="1:6" x14ac:dyDescent="0.3">
      <c r="A1260" t="s">
        <v>1307</v>
      </c>
      <c r="B1260" t="s">
        <v>20</v>
      </c>
      <c r="C1260">
        <v>2022</v>
      </c>
      <c r="D1260" t="s">
        <v>14</v>
      </c>
      <c r="E1260">
        <v>15390</v>
      </c>
      <c r="F1260">
        <v>23000</v>
      </c>
    </row>
    <row r="1261" spans="1:6" x14ac:dyDescent="0.3">
      <c r="A1261" t="s">
        <v>1308</v>
      </c>
      <c r="B1261" t="s">
        <v>20</v>
      </c>
      <c r="C1261">
        <v>2022</v>
      </c>
      <c r="D1261" t="s">
        <v>14</v>
      </c>
      <c r="E1261">
        <v>24903</v>
      </c>
      <c r="F1261">
        <v>39000</v>
      </c>
    </row>
    <row r="1262" spans="1:6" x14ac:dyDescent="0.3">
      <c r="A1262" t="s">
        <v>1309</v>
      </c>
      <c r="B1262" t="s">
        <v>20</v>
      </c>
      <c r="C1262">
        <v>2022</v>
      </c>
      <c r="D1262" t="s">
        <v>14</v>
      </c>
      <c r="E1262">
        <v>6003</v>
      </c>
      <c r="F1262">
        <v>0</v>
      </c>
    </row>
    <row r="1263" spans="1:6" x14ac:dyDescent="0.3">
      <c r="A1263" t="s">
        <v>1310</v>
      </c>
      <c r="B1263" t="s">
        <v>20</v>
      </c>
      <c r="C1263">
        <v>2022</v>
      </c>
      <c r="D1263" t="s">
        <v>14</v>
      </c>
      <c r="E1263">
        <v>2204645</v>
      </c>
      <c r="F1263">
        <v>0</v>
      </c>
    </row>
    <row r="1264" spans="1:6" x14ac:dyDescent="0.3">
      <c r="A1264" t="s">
        <v>1311</v>
      </c>
      <c r="B1264" t="s">
        <v>20</v>
      </c>
      <c r="C1264">
        <v>2022</v>
      </c>
      <c r="D1264" t="s">
        <v>9</v>
      </c>
      <c r="E1264">
        <v>6500</v>
      </c>
      <c r="F1264">
        <v>0</v>
      </c>
    </row>
    <row r="1265" spans="1:6" x14ac:dyDescent="0.3">
      <c r="A1265" t="s">
        <v>1312</v>
      </c>
      <c r="B1265" t="s">
        <v>20</v>
      </c>
      <c r="C1265">
        <v>2022</v>
      </c>
      <c r="D1265" t="s">
        <v>9</v>
      </c>
      <c r="E1265">
        <v>14700</v>
      </c>
      <c r="F1265">
        <v>12000</v>
      </c>
    </row>
    <row r="1266" spans="1:6" x14ac:dyDescent="0.3">
      <c r="A1266" t="s">
        <v>1313</v>
      </c>
      <c r="B1266" t="s">
        <v>20</v>
      </c>
      <c r="C1266">
        <v>2022</v>
      </c>
      <c r="D1266" t="s">
        <v>9</v>
      </c>
      <c r="E1266">
        <v>31800</v>
      </c>
      <c r="F1266">
        <v>62000</v>
      </c>
    </row>
    <row r="1267" spans="1:6" x14ac:dyDescent="0.3">
      <c r="A1267" t="s">
        <v>1314</v>
      </c>
      <c r="B1267" t="s">
        <v>20</v>
      </c>
      <c r="C1267">
        <v>2022</v>
      </c>
      <c r="D1267" t="s">
        <v>9</v>
      </c>
      <c r="E1267">
        <v>16003</v>
      </c>
      <c r="F1267">
        <v>0</v>
      </c>
    </row>
    <row r="1268" spans="1:6" x14ac:dyDescent="0.3">
      <c r="A1268" t="s">
        <v>1315</v>
      </c>
      <c r="B1268" t="s">
        <v>20</v>
      </c>
      <c r="C1268">
        <v>2022</v>
      </c>
      <c r="D1268" t="s">
        <v>9</v>
      </c>
      <c r="E1268">
        <v>17201</v>
      </c>
      <c r="F1268">
        <v>0</v>
      </c>
    </row>
    <row r="1269" spans="1:6" x14ac:dyDescent="0.3">
      <c r="A1269" t="s">
        <v>1316</v>
      </c>
      <c r="B1269" t="s">
        <v>20</v>
      </c>
      <c r="C1269">
        <v>2022</v>
      </c>
      <c r="D1269" t="s">
        <v>9</v>
      </c>
      <c r="E1269">
        <v>3126</v>
      </c>
      <c r="F1269">
        <v>0</v>
      </c>
    </row>
    <row r="1270" spans="1:6" x14ac:dyDescent="0.3">
      <c r="A1270" t="s">
        <v>1317</v>
      </c>
      <c r="B1270" t="s">
        <v>20</v>
      </c>
      <c r="C1270">
        <v>2022</v>
      </c>
      <c r="D1270" t="s">
        <v>9</v>
      </c>
      <c r="E1270">
        <v>40002</v>
      </c>
      <c r="F1270">
        <v>0</v>
      </c>
    </row>
    <row r="1271" spans="1:6" x14ac:dyDescent="0.3">
      <c r="A1271" t="s">
        <v>1318</v>
      </c>
      <c r="B1271" t="s">
        <v>20</v>
      </c>
      <c r="C1271">
        <v>2022</v>
      </c>
      <c r="D1271" t="s">
        <v>9</v>
      </c>
      <c r="E1271">
        <v>203</v>
      </c>
      <c r="F1271">
        <v>0</v>
      </c>
    </row>
    <row r="1272" spans="1:6" x14ac:dyDescent="0.3">
      <c r="A1272" t="s">
        <v>1319</v>
      </c>
      <c r="B1272" t="s">
        <v>20</v>
      </c>
      <c r="C1272">
        <v>2022</v>
      </c>
      <c r="D1272" t="s">
        <v>9</v>
      </c>
      <c r="E1272">
        <v>4580</v>
      </c>
      <c r="F1272">
        <v>0</v>
      </c>
    </row>
    <row r="1273" spans="1:6" x14ac:dyDescent="0.3">
      <c r="A1273" t="s">
        <v>1320</v>
      </c>
      <c r="B1273" t="s">
        <v>20</v>
      </c>
      <c r="C1273">
        <v>2022</v>
      </c>
      <c r="D1273" t="s">
        <v>9</v>
      </c>
      <c r="E1273">
        <v>7000</v>
      </c>
      <c r="F1273">
        <v>0</v>
      </c>
    </row>
    <row r="1274" spans="1:6" x14ac:dyDescent="0.3">
      <c r="A1274" t="s">
        <v>1321</v>
      </c>
      <c r="B1274" t="s">
        <v>20</v>
      </c>
      <c r="C1274">
        <v>2022</v>
      </c>
      <c r="D1274" t="s">
        <v>9</v>
      </c>
      <c r="E1274">
        <v>12500</v>
      </c>
      <c r="F1274">
        <v>0</v>
      </c>
    </row>
    <row r="1275" spans="1:6" x14ac:dyDescent="0.3">
      <c r="A1275" t="s">
        <v>1322</v>
      </c>
      <c r="B1275" t="s">
        <v>20</v>
      </c>
      <c r="C1275">
        <v>2022</v>
      </c>
      <c r="D1275" t="s">
        <v>9</v>
      </c>
      <c r="E1275">
        <v>196745</v>
      </c>
      <c r="F1275">
        <v>0</v>
      </c>
    </row>
    <row r="1276" spans="1:6" x14ac:dyDescent="0.3">
      <c r="A1276" t="s">
        <v>1323</v>
      </c>
      <c r="B1276" t="s">
        <v>20</v>
      </c>
      <c r="C1276">
        <v>2022</v>
      </c>
      <c r="D1276" t="s">
        <v>9</v>
      </c>
      <c r="E1276">
        <v>3210</v>
      </c>
      <c r="F1276">
        <v>0</v>
      </c>
    </row>
    <row r="1277" spans="1:6" x14ac:dyDescent="0.3">
      <c r="A1277" t="s">
        <v>1324</v>
      </c>
      <c r="B1277" t="s">
        <v>20</v>
      </c>
      <c r="C1277">
        <v>2023</v>
      </c>
      <c r="D1277" t="s">
        <v>7</v>
      </c>
      <c r="E1277">
        <v>18750000</v>
      </c>
      <c r="F1277">
        <v>0</v>
      </c>
    </row>
    <row r="1278" spans="1:6" x14ac:dyDescent="0.3">
      <c r="A1278" t="s">
        <v>1325</v>
      </c>
      <c r="B1278" t="s">
        <v>20</v>
      </c>
      <c r="C1278">
        <v>2023</v>
      </c>
      <c r="D1278" t="s">
        <v>14</v>
      </c>
      <c r="E1278">
        <v>4421</v>
      </c>
      <c r="F1278">
        <v>0</v>
      </c>
    </row>
    <row r="1279" spans="1:6" x14ac:dyDescent="0.3">
      <c r="A1279" t="s">
        <v>1326</v>
      </c>
      <c r="B1279" t="s">
        <v>20</v>
      </c>
      <c r="C1279">
        <v>2023</v>
      </c>
      <c r="D1279" t="s">
        <v>14</v>
      </c>
      <c r="E1279">
        <v>2136</v>
      </c>
      <c r="F1279">
        <v>0</v>
      </c>
    </row>
    <row r="1280" spans="1:6" x14ac:dyDescent="0.3">
      <c r="A1280" t="s">
        <v>1327</v>
      </c>
      <c r="B1280" t="s">
        <v>20</v>
      </c>
      <c r="C1280">
        <v>2023</v>
      </c>
      <c r="D1280" t="s">
        <v>14</v>
      </c>
      <c r="E1280">
        <v>1120</v>
      </c>
      <c r="F1280">
        <v>0</v>
      </c>
    </row>
    <row r="1281" spans="1:6" x14ac:dyDescent="0.3">
      <c r="A1281" t="s">
        <v>1328</v>
      </c>
      <c r="B1281" t="s">
        <v>20</v>
      </c>
      <c r="C1281">
        <v>2023</v>
      </c>
      <c r="D1281" t="s">
        <v>9</v>
      </c>
      <c r="E1281">
        <v>100000</v>
      </c>
      <c r="F1281">
        <v>0</v>
      </c>
    </row>
    <row r="1282" spans="1:6" x14ac:dyDescent="0.3">
      <c r="A1282" t="s">
        <v>1329</v>
      </c>
      <c r="B1282" t="s">
        <v>20</v>
      </c>
      <c r="C1282">
        <v>2023</v>
      </c>
      <c r="D1282" t="s">
        <v>9</v>
      </c>
      <c r="E1282">
        <v>16700</v>
      </c>
      <c r="F1282">
        <v>0</v>
      </c>
    </row>
    <row r="1283" spans="1:6" x14ac:dyDescent="0.3">
      <c r="A1283" t="s">
        <v>1330</v>
      </c>
      <c r="B1283" t="s">
        <v>20</v>
      </c>
      <c r="C1283">
        <v>2023</v>
      </c>
      <c r="D1283" t="s">
        <v>9</v>
      </c>
      <c r="E1283">
        <v>517</v>
      </c>
      <c r="F1283">
        <v>0</v>
      </c>
    </row>
    <row r="1284" spans="1:6" x14ac:dyDescent="0.3">
      <c r="A1284" t="s">
        <v>1331</v>
      </c>
      <c r="B1284" t="s">
        <v>20</v>
      </c>
      <c r="C1284">
        <v>2023</v>
      </c>
      <c r="D1284" t="s">
        <v>9</v>
      </c>
      <c r="E1284">
        <v>14500</v>
      </c>
      <c r="F1284">
        <v>0</v>
      </c>
    </row>
    <row r="1285" spans="1:6" x14ac:dyDescent="0.3">
      <c r="A1285" t="s">
        <v>1332</v>
      </c>
      <c r="B1285" t="s">
        <v>20</v>
      </c>
      <c r="C1285">
        <v>2023</v>
      </c>
      <c r="D1285" t="s">
        <v>9</v>
      </c>
      <c r="E1285">
        <v>17750</v>
      </c>
      <c r="F1285">
        <v>0</v>
      </c>
    </row>
    <row r="1286" spans="1:6" x14ac:dyDescent="0.3">
      <c r="A1286" t="s">
        <v>1333</v>
      </c>
      <c r="B1286" t="s">
        <v>20</v>
      </c>
      <c r="C1286">
        <v>2023</v>
      </c>
      <c r="D1286" t="s">
        <v>2689</v>
      </c>
      <c r="E1286">
        <v>653</v>
      </c>
      <c r="F1286">
        <v>0</v>
      </c>
    </row>
    <row r="1287" spans="1:6" x14ac:dyDescent="0.3">
      <c r="A1287" t="s">
        <v>1334</v>
      </c>
      <c r="B1287" t="s">
        <v>20</v>
      </c>
      <c r="C1287">
        <v>2023</v>
      </c>
      <c r="D1287" t="s">
        <v>2689</v>
      </c>
      <c r="E1287">
        <v>337</v>
      </c>
      <c r="F1287">
        <v>0</v>
      </c>
    </row>
    <row r="1288" spans="1:6" x14ac:dyDescent="0.3">
      <c r="A1288" t="s">
        <v>1335</v>
      </c>
      <c r="B1288" t="s">
        <v>20</v>
      </c>
      <c r="C1288">
        <v>2024</v>
      </c>
      <c r="D1288" t="s">
        <v>14</v>
      </c>
      <c r="E1288">
        <v>144522</v>
      </c>
      <c r="F1288">
        <v>40000</v>
      </c>
    </row>
    <row r="1289" spans="1:6" x14ac:dyDescent="0.3">
      <c r="A1289" t="s">
        <v>1336</v>
      </c>
      <c r="B1289" t="s">
        <v>20</v>
      </c>
      <c r="C1289">
        <v>2024</v>
      </c>
      <c r="D1289" t="s">
        <v>14</v>
      </c>
      <c r="E1289">
        <v>2812</v>
      </c>
      <c r="F1289">
        <v>0</v>
      </c>
    </row>
    <row r="1290" spans="1:6" x14ac:dyDescent="0.3">
      <c r="A1290" t="s">
        <v>1337</v>
      </c>
      <c r="B1290" t="s">
        <v>20</v>
      </c>
      <c r="C1290">
        <v>2024</v>
      </c>
      <c r="D1290" t="s">
        <v>14</v>
      </c>
      <c r="E1290">
        <v>2875</v>
      </c>
      <c r="F1290">
        <v>30000</v>
      </c>
    </row>
    <row r="1291" spans="1:6" x14ac:dyDescent="0.3">
      <c r="A1291" t="s">
        <v>1338</v>
      </c>
      <c r="B1291" t="s">
        <v>20</v>
      </c>
      <c r="C1291">
        <v>2024</v>
      </c>
      <c r="D1291" t="s">
        <v>9</v>
      </c>
      <c r="E1291">
        <v>25502</v>
      </c>
      <c r="F1291">
        <v>0</v>
      </c>
    </row>
    <row r="1292" spans="1:6" x14ac:dyDescent="0.3">
      <c r="A1292" t="s">
        <v>1339</v>
      </c>
      <c r="B1292" t="s">
        <v>20</v>
      </c>
      <c r="C1292">
        <v>2024</v>
      </c>
      <c r="D1292" t="s">
        <v>9</v>
      </c>
      <c r="E1292">
        <v>3132</v>
      </c>
      <c r="F1292">
        <v>0</v>
      </c>
    </row>
    <row r="1293" spans="1:6" x14ac:dyDescent="0.3">
      <c r="A1293" t="s">
        <v>1340</v>
      </c>
      <c r="B1293" t="s">
        <v>20</v>
      </c>
      <c r="C1293">
        <v>2024</v>
      </c>
      <c r="D1293" t="s">
        <v>9</v>
      </c>
      <c r="E1293">
        <v>51812</v>
      </c>
      <c r="F1293">
        <v>0</v>
      </c>
    </row>
    <row r="1294" spans="1:6" x14ac:dyDescent="0.3">
      <c r="A1294" t="s">
        <v>1341</v>
      </c>
      <c r="B1294" t="s">
        <v>20</v>
      </c>
      <c r="C1294">
        <v>2024</v>
      </c>
      <c r="D1294" t="s">
        <v>9</v>
      </c>
      <c r="E1294">
        <v>3337</v>
      </c>
      <c r="F1294">
        <v>0</v>
      </c>
    </row>
    <row r="1295" spans="1:6" x14ac:dyDescent="0.3">
      <c r="A1295" t="s">
        <v>1342</v>
      </c>
      <c r="B1295" t="s">
        <v>20</v>
      </c>
      <c r="C1295">
        <v>2024</v>
      </c>
      <c r="D1295" t="s">
        <v>9</v>
      </c>
      <c r="E1295">
        <v>15400</v>
      </c>
      <c r="F1295">
        <v>0</v>
      </c>
    </row>
    <row r="1296" spans="1:6" x14ac:dyDescent="0.3">
      <c r="A1296" t="s">
        <v>1343</v>
      </c>
      <c r="B1296" t="s">
        <v>20</v>
      </c>
      <c r="C1296">
        <v>2024</v>
      </c>
      <c r="D1296" t="s">
        <v>9</v>
      </c>
      <c r="E1296">
        <v>615</v>
      </c>
      <c r="F1296">
        <v>0</v>
      </c>
    </row>
    <row r="1297" spans="1:6" x14ac:dyDescent="0.3">
      <c r="A1297" t="s">
        <v>1344</v>
      </c>
      <c r="B1297" t="s">
        <v>20</v>
      </c>
      <c r="C1297">
        <v>2024</v>
      </c>
      <c r="D1297" t="s">
        <v>9</v>
      </c>
      <c r="E1297">
        <v>1000</v>
      </c>
      <c r="F1297">
        <v>0</v>
      </c>
    </row>
    <row r="1298" spans="1:6" x14ac:dyDescent="0.3">
      <c r="A1298" t="s">
        <v>1345</v>
      </c>
      <c r="B1298" t="s">
        <v>20</v>
      </c>
      <c r="C1298">
        <v>2024</v>
      </c>
      <c r="D1298" t="s">
        <v>9</v>
      </c>
      <c r="E1298">
        <v>10160</v>
      </c>
      <c r="F1298">
        <v>0</v>
      </c>
    </row>
    <row r="1299" spans="1:6" x14ac:dyDescent="0.3">
      <c r="A1299" t="s">
        <v>1346</v>
      </c>
      <c r="B1299" t="s">
        <v>18</v>
      </c>
      <c r="C1299">
        <v>2001</v>
      </c>
      <c r="D1299" t="s">
        <v>14</v>
      </c>
      <c r="E1299">
        <v>1000</v>
      </c>
      <c r="F1299">
        <v>0</v>
      </c>
    </row>
    <row r="1300" spans="1:6" x14ac:dyDescent="0.3">
      <c r="A1300" t="s">
        <v>1347</v>
      </c>
      <c r="B1300" t="s">
        <v>18</v>
      </c>
      <c r="C1300">
        <v>2001</v>
      </c>
      <c r="D1300" t="s">
        <v>9</v>
      </c>
      <c r="E1300">
        <v>1300</v>
      </c>
      <c r="F1300">
        <v>0</v>
      </c>
    </row>
    <row r="1301" spans="1:6" x14ac:dyDescent="0.3">
      <c r="A1301" t="s">
        <v>1348</v>
      </c>
      <c r="B1301" t="s">
        <v>18</v>
      </c>
      <c r="C1301">
        <v>2001</v>
      </c>
      <c r="D1301" t="s">
        <v>9</v>
      </c>
      <c r="E1301">
        <v>1034</v>
      </c>
      <c r="F1301">
        <v>25000</v>
      </c>
    </row>
    <row r="1302" spans="1:6" x14ac:dyDescent="0.3">
      <c r="A1302" t="s">
        <v>1349</v>
      </c>
      <c r="B1302" t="s">
        <v>18</v>
      </c>
      <c r="C1302">
        <v>2001</v>
      </c>
      <c r="D1302" t="s">
        <v>9</v>
      </c>
      <c r="E1302">
        <v>1200200</v>
      </c>
      <c r="F1302">
        <v>78800</v>
      </c>
    </row>
    <row r="1303" spans="1:6" x14ac:dyDescent="0.3">
      <c r="A1303" t="s">
        <v>1350</v>
      </c>
      <c r="B1303" t="s">
        <v>18</v>
      </c>
      <c r="C1303">
        <v>2001</v>
      </c>
      <c r="D1303" t="s">
        <v>9</v>
      </c>
      <c r="E1303">
        <v>3000</v>
      </c>
      <c r="F1303">
        <v>0</v>
      </c>
    </row>
    <row r="1304" spans="1:6" x14ac:dyDescent="0.3">
      <c r="A1304" t="s">
        <v>1351</v>
      </c>
      <c r="B1304" t="s">
        <v>18</v>
      </c>
      <c r="C1304">
        <v>2002</v>
      </c>
      <c r="D1304" t="s">
        <v>14</v>
      </c>
      <c r="E1304">
        <v>780</v>
      </c>
      <c r="F1304">
        <v>0</v>
      </c>
    </row>
    <row r="1305" spans="1:6" x14ac:dyDescent="0.3">
      <c r="A1305" t="s">
        <v>1352</v>
      </c>
      <c r="B1305" t="s">
        <v>18</v>
      </c>
      <c r="C1305">
        <v>2002</v>
      </c>
      <c r="D1305" t="s">
        <v>14</v>
      </c>
      <c r="E1305">
        <v>20056</v>
      </c>
      <c r="F1305">
        <v>0</v>
      </c>
    </row>
    <row r="1306" spans="1:6" x14ac:dyDescent="0.3">
      <c r="A1306" t="s">
        <v>1353</v>
      </c>
      <c r="B1306" t="s">
        <v>18</v>
      </c>
      <c r="C1306">
        <v>2002</v>
      </c>
      <c r="D1306" t="s">
        <v>14</v>
      </c>
      <c r="E1306">
        <v>111300</v>
      </c>
      <c r="F1306">
        <v>300000</v>
      </c>
    </row>
    <row r="1307" spans="1:6" x14ac:dyDescent="0.3">
      <c r="A1307" t="s">
        <v>1354</v>
      </c>
      <c r="B1307" t="s">
        <v>18</v>
      </c>
      <c r="C1307">
        <v>2002</v>
      </c>
      <c r="D1307" t="s">
        <v>14</v>
      </c>
      <c r="E1307">
        <v>15015</v>
      </c>
      <c r="F1307">
        <v>0</v>
      </c>
    </row>
    <row r="1308" spans="1:6" x14ac:dyDescent="0.3">
      <c r="A1308" t="s">
        <v>1355</v>
      </c>
      <c r="B1308" t="s">
        <v>18</v>
      </c>
      <c r="C1308">
        <v>2002</v>
      </c>
      <c r="D1308" t="s">
        <v>14</v>
      </c>
      <c r="E1308">
        <v>5</v>
      </c>
      <c r="F1308">
        <v>0</v>
      </c>
    </row>
    <row r="1309" spans="1:6" x14ac:dyDescent="0.3">
      <c r="A1309" t="s">
        <v>1356</v>
      </c>
      <c r="B1309" t="s">
        <v>18</v>
      </c>
      <c r="C1309">
        <v>2002</v>
      </c>
      <c r="D1309" t="s">
        <v>9</v>
      </c>
      <c r="E1309">
        <v>4500</v>
      </c>
      <c r="F1309">
        <v>59060</v>
      </c>
    </row>
    <row r="1310" spans="1:6" x14ac:dyDescent="0.3">
      <c r="A1310" t="s">
        <v>1357</v>
      </c>
      <c r="B1310" t="s">
        <v>18</v>
      </c>
      <c r="C1310">
        <v>2002</v>
      </c>
      <c r="D1310" t="s">
        <v>9</v>
      </c>
      <c r="E1310">
        <v>0</v>
      </c>
      <c r="F1310">
        <v>0</v>
      </c>
    </row>
    <row r="1311" spans="1:6" x14ac:dyDescent="0.3">
      <c r="A1311" t="s">
        <v>1358</v>
      </c>
      <c r="B1311" t="s">
        <v>18</v>
      </c>
      <c r="C1311">
        <v>2002</v>
      </c>
      <c r="D1311" t="s">
        <v>9</v>
      </c>
      <c r="E1311">
        <v>200000</v>
      </c>
      <c r="F1311">
        <v>4000</v>
      </c>
    </row>
    <row r="1312" spans="1:6" x14ac:dyDescent="0.3">
      <c r="A1312" t="s">
        <v>1359</v>
      </c>
      <c r="B1312" t="s">
        <v>18</v>
      </c>
      <c r="C1312">
        <v>2003</v>
      </c>
      <c r="D1312" t="s">
        <v>14</v>
      </c>
      <c r="E1312">
        <v>10080</v>
      </c>
      <c r="F1312">
        <v>0</v>
      </c>
    </row>
    <row r="1313" spans="1:6" x14ac:dyDescent="0.3">
      <c r="A1313" t="s">
        <v>1360</v>
      </c>
      <c r="B1313" t="s">
        <v>18</v>
      </c>
      <c r="C1313">
        <v>2003</v>
      </c>
      <c r="D1313" t="s">
        <v>14</v>
      </c>
      <c r="E1313">
        <v>1091</v>
      </c>
      <c r="F1313">
        <v>0</v>
      </c>
    </row>
    <row r="1314" spans="1:6" x14ac:dyDescent="0.3">
      <c r="A1314" t="s">
        <v>1361</v>
      </c>
      <c r="B1314" t="s">
        <v>18</v>
      </c>
      <c r="C1314">
        <v>2003</v>
      </c>
      <c r="D1314" t="s">
        <v>14</v>
      </c>
      <c r="E1314">
        <v>17525</v>
      </c>
      <c r="F1314">
        <v>21666</v>
      </c>
    </row>
    <row r="1315" spans="1:6" x14ac:dyDescent="0.3">
      <c r="A1315" t="s">
        <v>1362</v>
      </c>
      <c r="B1315" t="s">
        <v>18</v>
      </c>
      <c r="C1315">
        <v>2003</v>
      </c>
      <c r="D1315" t="s">
        <v>14</v>
      </c>
      <c r="E1315">
        <v>267628</v>
      </c>
      <c r="F1315">
        <v>500000</v>
      </c>
    </row>
    <row r="1316" spans="1:6" x14ac:dyDescent="0.3">
      <c r="A1316" t="s">
        <v>1363</v>
      </c>
      <c r="B1316" t="s">
        <v>18</v>
      </c>
      <c r="C1316">
        <v>2003</v>
      </c>
      <c r="D1316" t="s">
        <v>14</v>
      </c>
      <c r="E1316">
        <v>725</v>
      </c>
      <c r="F1316">
        <v>0</v>
      </c>
    </row>
    <row r="1317" spans="1:6" x14ac:dyDescent="0.3">
      <c r="A1317" t="s">
        <v>1364</v>
      </c>
      <c r="B1317" t="s">
        <v>18</v>
      </c>
      <c r="C1317">
        <v>2003</v>
      </c>
      <c r="D1317" t="s">
        <v>9</v>
      </c>
      <c r="E1317">
        <v>1370</v>
      </c>
      <c r="F1317">
        <v>838</v>
      </c>
    </row>
    <row r="1318" spans="1:6" x14ac:dyDescent="0.3">
      <c r="A1318" t="s">
        <v>1365</v>
      </c>
      <c r="B1318" t="s">
        <v>18</v>
      </c>
      <c r="C1318">
        <v>2004</v>
      </c>
      <c r="D1318" t="s">
        <v>14</v>
      </c>
      <c r="E1318">
        <v>498</v>
      </c>
      <c r="F1318">
        <v>165000</v>
      </c>
    </row>
    <row r="1319" spans="1:6" x14ac:dyDescent="0.3">
      <c r="A1319" t="s">
        <v>1366</v>
      </c>
      <c r="B1319" t="s">
        <v>18</v>
      </c>
      <c r="C1319">
        <v>2004</v>
      </c>
      <c r="D1319" t="s">
        <v>9</v>
      </c>
      <c r="E1319">
        <v>4043</v>
      </c>
      <c r="F1319">
        <v>0</v>
      </c>
    </row>
    <row r="1320" spans="1:6" x14ac:dyDescent="0.3">
      <c r="A1320" t="s">
        <v>1367</v>
      </c>
      <c r="B1320" t="s">
        <v>18</v>
      </c>
      <c r="C1320">
        <v>2004</v>
      </c>
      <c r="D1320" t="s">
        <v>2689</v>
      </c>
      <c r="E1320">
        <v>2500</v>
      </c>
      <c r="F1320">
        <v>240</v>
      </c>
    </row>
    <row r="1321" spans="1:6" x14ac:dyDescent="0.3">
      <c r="A1321" t="s">
        <v>1368</v>
      </c>
      <c r="B1321" t="s">
        <v>18</v>
      </c>
      <c r="C1321">
        <v>2005</v>
      </c>
      <c r="D1321" t="s">
        <v>14</v>
      </c>
      <c r="E1321">
        <v>110</v>
      </c>
      <c r="F1321">
        <v>0</v>
      </c>
    </row>
    <row r="1322" spans="1:6" x14ac:dyDescent="0.3">
      <c r="A1322" t="s">
        <v>1369</v>
      </c>
      <c r="B1322" t="s">
        <v>18</v>
      </c>
      <c r="C1322">
        <v>2005</v>
      </c>
      <c r="D1322" t="s">
        <v>14</v>
      </c>
      <c r="E1322">
        <v>94766</v>
      </c>
      <c r="F1322">
        <v>80000</v>
      </c>
    </row>
    <row r="1323" spans="1:6" x14ac:dyDescent="0.3">
      <c r="A1323" t="s">
        <v>1370</v>
      </c>
      <c r="B1323" t="s">
        <v>18</v>
      </c>
      <c r="C1323">
        <v>2005</v>
      </c>
      <c r="D1323" t="s">
        <v>14</v>
      </c>
      <c r="E1323">
        <v>100</v>
      </c>
      <c r="F1323">
        <v>0</v>
      </c>
    </row>
    <row r="1324" spans="1:6" x14ac:dyDescent="0.3">
      <c r="A1324" t="s">
        <v>1371</v>
      </c>
      <c r="B1324" t="s">
        <v>18</v>
      </c>
      <c r="C1324">
        <v>2005</v>
      </c>
      <c r="D1324" t="s">
        <v>14</v>
      </c>
      <c r="E1324">
        <v>21912</v>
      </c>
      <c r="F1324">
        <v>0</v>
      </c>
    </row>
    <row r="1325" spans="1:6" x14ac:dyDescent="0.3">
      <c r="A1325" t="s">
        <v>1372</v>
      </c>
      <c r="B1325" t="s">
        <v>18</v>
      </c>
      <c r="C1325">
        <v>2005</v>
      </c>
      <c r="D1325" t="s">
        <v>9</v>
      </c>
      <c r="E1325">
        <v>3000</v>
      </c>
      <c r="F1325">
        <v>0</v>
      </c>
    </row>
    <row r="1326" spans="1:6" x14ac:dyDescent="0.3">
      <c r="A1326" t="s">
        <v>1373</v>
      </c>
      <c r="B1326" t="s">
        <v>18</v>
      </c>
      <c r="C1326">
        <v>2005</v>
      </c>
      <c r="D1326" t="s">
        <v>9</v>
      </c>
      <c r="E1326">
        <v>0</v>
      </c>
      <c r="F1326">
        <v>0</v>
      </c>
    </row>
    <row r="1327" spans="1:6" x14ac:dyDescent="0.3">
      <c r="A1327" t="s">
        <v>1374</v>
      </c>
      <c r="B1327" t="s">
        <v>18</v>
      </c>
      <c r="C1327">
        <v>2005</v>
      </c>
      <c r="D1327" t="s">
        <v>9</v>
      </c>
      <c r="E1327">
        <v>1750</v>
      </c>
      <c r="F1327">
        <v>0</v>
      </c>
    </row>
    <row r="1328" spans="1:6" x14ac:dyDescent="0.3">
      <c r="A1328" t="s">
        <v>1375</v>
      </c>
      <c r="B1328" t="s">
        <v>18</v>
      </c>
      <c r="C1328">
        <v>2005</v>
      </c>
      <c r="D1328" t="s">
        <v>9</v>
      </c>
      <c r="E1328">
        <v>0</v>
      </c>
      <c r="F1328">
        <v>0</v>
      </c>
    </row>
    <row r="1329" spans="1:6" x14ac:dyDescent="0.3">
      <c r="A1329" t="s">
        <v>1376</v>
      </c>
      <c r="B1329" t="s">
        <v>18</v>
      </c>
      <c r="C1329">
        <v>2005</v>
      </c>
      <c r="D1329" t="s">
        <v>2689</v>
      </c>
      <c r="E1329">
        <v>8000</v>
      </c>
      <c r="F1329">
        <v>0</v>
      </c>
    </row>
    <row r="1330" spans="1:6" x14ac:dyDescent="0.3">
      <c r="A1330" t="s">
        <v>1377</v>
      </c>
      <c r="B1330" t="s">
        <v>18</v>
      </c>
      <c r="C1330">
        <v>2006</v>
      </c>
      <c r="D1330" t="s">
        <v>14</v>
      </c>
      <c r="E1330">
        <v>7006</v>
      </c>
      <c r="F1330">
        <v>0</v>
      </c>
    </row>
    <row r="1331" spans="1:6" x14ac:dyDescent="0.3">
      <c r="A1331" t="s">
        <v>1378</v>
      </c>
      <c r="B1331" t="s">
        <v>18</v>
      </c>
      <c r="C1331">
        <v>2006</v>
      </c>
      <c r="D1331" t="s">
        <v>14</v>
      </c>
      <c r="E1331">
        <v>161418</v>
      </c>
      <c r="F1331">
        <v>42262</v>
      </c>
    </row>
    <row r="1332" spans="1:6" x14ac:dyDescent="0.3">
      <c r="A1332" t="s">
        <v>1379</v>
      </c>
      <c r="B1332" t="s">
        <v>18</v>
      </c>
      <c r="C1332">
        <v>2006</v>
      </c>
      <c r="D1332" t="s">
        <v>14</v>
      </c>
      <c r="E1332">
        <v>70</v>
      </c>
      <c r="F1332">
        <v>0</v>
      </c>
    </row>
    <row r="1333" spans="1:6" x14ac:dyDescent="0.3">
      <c r="A1333" t="s">
        <v>1380</v>
      </c>
      <c r="B1333" t="s">
        <v>18</v>
      </c>
      <c r="C1333">
        <v>2006</v>
      </c>
      <c r="D1333" t="s">
        <v>9</v>
      </c>
      <c r="E1333">
        <v>2800</v>
      </c>
      <c r="F1333">
        <v>16000</v>
      </c>
    </row>
    <row r="1334" spans="1:6" x14ac:dyDescent="0.3">
      <c r="A1334" t="s">
        <v>1381</v>
      </c>
      <c r="B1334" t="s">
        <v>18</v>
      </c>
      <c r="C1334">
        <v>2007</v>
      </c>
      <c r="D1334" t="s">
        <v>9</v>
      </c>
      <c r="E1334">
        <v>0</v>
      </c>
      <c r="F1334">
        <v>22000</v>
      </c>
    </row>
    <row r="1335" spans="1:6" x14ac:dyDescent="0.3">
      <c r="A1335" t="s">
        <v>1382</v>
      </c>
      <c r="B1335" t="s">
        <v>18</v>
      </c>
      <c r="C1335">
        <v>2007</v>
      </c>
      <c r="D1335" t="s">
        <v>2689</v>
      </c>
      <c r="E1335">
        <v>185009</v>
      </c>
      <c r="F1335">
        <v>0</v>
      </c>
    </row>
    <row r="1336" spans="1:6" x14ac:dyDescent="0.3">
      <c r="A1336" t="s">
        <v>1383</v>
      </c>
      <c r="B1336" t="s">
        <v>18</v>
      </c>
      <c r="C1336">
        <v>2008</v>
      </c>
      <c r="D1336" t="s">
        <v>14</v>
      </c>
      <c r="E1336">
        <v>170</v>
      </c>
      <c r="F1336">
        <v>0</v>
      </c>
    </row>
    <row r="1337" spans="1:6" x14ac:dyDescent="0.3">
      <c r="A1337" t="s">
        <v>1384</v>
      </c>
      <c r="B1337" t="s">
        <v>18</v>
      </c>
      <c r="C1337">
        <v>2008</v>
      </c>
      <c r="D1337" t="s">
        <v>14</v>
      </c>
      <c r="E1337">
        <v>20545</v>
      </c>
      <c r="F1337">
        <v>0</v>
      </c>
    </row>
    <row r="1338" spans="1:6" x14ac:dyDescent="0.3">
      <c r="A1338" t="s">
        <v>1385</v>
      </c>
      <c r="B1338" t="s">
        <v>18</v>
      </c>
      <c r="C1338">
        <v>2008</v>
      </c>
      <c r="D1338" t="s">
        <v>9</v>
      </c>
      <c r="E1338">
        <v>200</v>
      </c>
      <c r="F1338">
        <v>0</v>
      </c>
    </row>
    <row r="1339" spans="1:6" x14ac:dyDescent="0.3">
      <c r="A1339" t="s">
        <v>1386</v>
      </c>
      <c r="B1339" t="s">
        <v>18</v>
      </c>
      <c r="C1339">
        <v>2008</v>
      </c>
      <c r="D1339" t="s">
        <v>9</v>
      </c>
      <c r="E1339">
        <v>1280</v>
      </c>
      <c r="F1339">
        <v>0</v>
      </c>
    </row>
    <row r="1340" spans="1:6" x14ac:dyDescent="0.3">
      <c r="A1340" t="s">
        <v>1387</v>
      </c>
      <c r="B1340" t="s">
        <v>18</v>
      </c>
      <c r="C1340">
        <v>2008</v>
      </c>
      <c r="D1340" t="s">
        <v>2689</v>
      </c>
      <c r="E1340">
        <v>0</v>
      </c>
      <c r="F1340">
        <v>0</v>
      </c>
    </row>
    <row r="1341" spans="1:6" x14ac:dyDescent="0.3">
      <c r="A1341" t="s">
        <v>1388</v>
      </c>
      <c r="B1341" t="s">
        <v>18</v>
      </c>
      <c r="C1341">
        <v>2009</v>
      </c>
      <c r="D1341" t="s">
        <v>14</v>
      </c>
      <c r="E1341">
        <v>269</v>
      </c>
      <c r="F1341">
        <v>0</v>
      </c>
    </row>
    <row r="1342" spans="1:6" x14ac:dyDescent="0.3">
      <c r="A1342" t="s">
        <v>1389</v>
      </c>
      <c r="B1342" t="s">
        <v>18</v>
      </c>
      <c r="C1342">
        <v>2010</v>
      </c>
      <c r="D1342" t="s">
        <v>14</v>
      </c>
      <c r="E1342">
        <v>750</v>
      </c>
      <c r="F1342">
        <v>0</v>
      </c>
    </row>
    <row r="1343" spans="1:6" x14ac:dyDescent="0.3">
      <c r="A1343" t="s">
        <v>1390</v>
      </c>
      <c r="B1343" t="s">
        <v>18</v>
      </c>
      <c r="C1343">
        <v>2010</v>
      </c>
      <c r="D1343" t="s">
        <v>14</v>
      </c>
      <c r="E1343">
        <v>274</v>
      </c>
      <c r="F1343">
        <v>0</v>
      </c>
    </row>
    <row r="1344" spans="1:6" x14ac:dyDescent="0.3">
      <c r="A1344" t="s">
        <v>1391</v>
      </c>
      <c r="B1344" t="s">
        <v>18</v>
      </c>
      <c r="C1344">
        <v>2010</v>
      </c>
      <c r="D1344" t="s">
        <v>14</v>
      </c>
      <c r="E1344">
        <v>104</v>
      </c>
      <c r="F1344">
        <v>0</v>
      </c>
    </row>
    <row r="1345" spans="1:6" x14ac:dyDescent="0.3">
      <c r="A1345" t="s">
        <v>1392</v>
      </c>
      <c r="B1345" t="s">
        <v>18</v>
      </c>
      <c r="C1345">
        <v>2010</v>
      </c>
      <c r="D1345" t="s">
        <v>14</v>
      </c>
      <c r="E1345">
        <v>25</v>
      </c>
      <c r="F1345">
        <v>0</v>
      </c>
    </row>
    <row r="1346" spans="1:6" x14ac:dyDescent="0.3">
      <c r="A1346" t="s">
        <v>1393</v>
      </c>
      <c r="B1346" t="s">
        <v>18</v>
      </c>
      <c r="C1346">
        <v>2010</v>
      </c>
      <c r="D1346" t="s">
        <v>14</v>
      </c>
      <c r="E1346">
        <v>3600</v>
      </c>
      <c r="F1346">
        <v>0</v>
      </c>
    </row>
    <row r="1347" spans="1:6" x14ac:dyDescent="0.3">
      <c r="A1347" t="s">
        <v>1394</v>
      </c>
      <c r="B1347" t="s">
        <v>18</v>
      </c>
      <c r="C1347">
        <v>2012</v>
      </c>
      <c r="D1347" t="s">
        <v>14</v>
      </c>
      <c r="E1347">
        <v>61546</v>
      </c>
      <c r="F1347">
        <v>500000</v>
      </c>
    </row>
    <row r="1348" spans="1:6" x14ac:dyDescent="0.3">
      <c r="A1348" t="s">
        <v>1395</v>
      </c>
      <c r="B1348" t="s">
        <v>18</v>
      </c>
      <c r="C1348">
        <v>2012</v>
      </c>
      <c r="D1348" t="s">
        <v>14</v>
      </c>
      <c r="E1348">
        <v>5523</v>
      </c>
      <c r="F1348">
        <v>0</v>
      </c>
    </row>
    <row r="1349" spans="1:6" x14ac:dyDescent="0.3">
      <c r="A1349" t="s">
        <v>1396</v>
      </c>
      <c r="B1349" t="s">
        <v>18</v>
      </c>
      <c r="C1349">
        <v>2012</v>
      </c>
      <c r="D1349" t="s">
        <v>14</v>
      </c>
      <c r="E1349">
        <v>238</v>
      </c>
      <c r="F1349">
        <v>0</v>
      </c>
    </row>
    <row r="1350" spans="1:6" x14ac:dyDescent="0.3">
      <c r="A1350" t="s">
        <v>1397</v>
      </c>
      <c r="B1350" t="s">
        <v>18</v>
      </c>
      <c r="C1350">
        <v>2012</v>
      </c>
      <c r="D1350" t="s">
        <v>9</v>
      </c>
      <c r="E1350">
        <v>1000</v>
      </c>
      <c r="F1350">
        <v>0</v>
      </c>
    </row>
    <row r="1351" spans="1:6" x14ac:dyDescent="0.3">
      <c r="A1351" t="s">
        <v>1398</v>
      </c>
      <c r="B1351" t="s">
        <v>18</v>
      </c>
      <c r="C1351">
        <v>2013</v>
      </c>
      <c r="D1351" t="s">
        <v>14</v>
      </c>
      <c r="E1351">
        <v>4350</v>
      </c>
      <c r="F1351">
        <v>600000</v>
      </c>
    </row>
    <row r="1352" spans="1:6" x14ac:dyDescent="0.3">
      <c r="A1352" t="s">
        <v>1399</v>
      </c>
      <c r="B1352" t="s">
        <v>18</v>
      </c>
      <c r="C1352">
        <v>2013</v>
      </c>
      <c r="D1352" t="s">
        <v>14</v>
      </c>
      <c r="E1352">
        <v>27</v>
      </c>
      <c r="F1352">
        <v>0</v>
      </c>
    </row>
    <row r="1353" spans="1:6" x14ac:dyDescent="0.3">
      <c r="A1353" t="s">
        <v>1400</v>
      </c>
      <c r="B1353" t="s">
        <v>18</v>
      </c>
      <c r="C1353">
        <v>2013</v>
      </c>
      <c r="D1353" t="s">
        <v>14</v>
      </c>
      <c r="E1353">
        <v>1620</v>
      </c>
      <c r="F1353">
        <v>0</v>
      </c>
    </row>
    <row r="1354" spans="1:6" x14ac:dyDescent="0.3">
      <c r="A1354" t="s">
        <v>1401</v>
      </c>
      <c r="B1354" t="s">
        <v>18</v>
      </c>
      <c r="C1354">
        <v>2014</v>
      </c>
      <c r="D1354" t="s">
        <v>14</v>
      </c>
      <c r="E1354">
        <v>330</v>
      </c>
      <c r="F1354">
        <v>2000</v>
      </c>
    </row>
    <row r="1355" spans="1:6" x14ac:dyDescent="0.3">
      <c r="A1355" t="s">
        <v>1402</v>
      </c>
      <c r="B1355" t="s">
        <v>18</v>
      </c>
      <c r="C1355">
        <v>2014</v>
      </c>
      <c r="D1355" t="s">
        <v>14</v>
      </c>
      <c r="E1355">
        <v>12250</v>
      </c>
      <c r="F1355">
        <v>43000</v>
      </c>
    </row>
    <row r="1356" spans="1:6" x14ac:dyDescent="0.3">
      <c r="A1356" t="s">
        <v>1403</v>
      </c>
      <c r="B1356" t="s">
        <v>18</v>
      </c>
      <c r="C1356">
        <v>2014</v>
      </c>
      <c r="D1356" t="s">
        <v>9</v>
      </c>
      <c r="E1356">
        <v>440000</v>
      </c>
      <c r="F1356">
        <v>49000</v>
      </c>
    </row>
    <row r="1357" spans="1:6" x14ac:dyDescent="0.3">
      <c r="A1357" t="s">
        <v>1404</v>
      </c>
      <c r="B1357" t="s">
        <v>18</v>
      </c>
      <c r="C1357">
        <v>2015</v>
      </c>
      <c r="D1357" t="s">
        <v>9</v>
      </c>
      <c r="E1357">
        <v>2000</v>
      </c>
      <c r="F1357">
        <v>60000</v>
      </c>
    </row>
    <row r="1358" spans="1:6" x14ac:dyDescent="0.3">
      <c r="A1358" t="s">
        <v>1405</v>
      </c>
      <c r="B1358" t="s">
        <v>18</v>
      </c>
      <c r="C1358">
        <v>2015</v>
      </c>
      <c r="D1358" t="s">
        <v>9</v>
      </c>
      <c r="E1358">
        <v>2700</v>
      </c>
      <c r="F1358">
        <v>60000</v>
      </c>
    </row>
    <row r="1359" spans="1:6" x14ac:dyDescent="0.3">
      <c r="A1359" t="s">
        <v>1406</v>
      </c>
      <c r="B1359" t="s">
        <v>18</v>
      </c>
      <c r="C1359">
        <v>2015</v>
      </c>
      <c r="D1359" t="s">
        <v>9</v>
      </c>
      <c r="E1359">
        <v>4030</v>
      </c>
      <c r="F1359">
        <v>0</v>
      </c>
    </row>
    <row r="1360" spans="1:6" x14ac:dyDescent="0.3">
      <c r="A1360" t="s">
        <v>1407</v>
      </c>
      <c r="B1360" t="s">
        <v>18</v>
      </c>
      <c r="C1360">
        <v>2015</v>
      </c>
      <c r="D1360" t="s">
        <v>9</v>
      </c>
      <c r="E1360">
        <v>0</v>
      </c>
      <c r="F1360">
        <v>0</v>
      </c>
    </row>
    <row r="1361" spans="1:6" x14ac:dyDescent="0.3">
      <c r="A1361" t="s">
        <v>1408</v>
      </c>
      <c r="B1361" t="s">
        <v>18</v>
      </c>
      <c r="C1361">
        <v>2015</v>
      </c>
      <c r="D1361" t="s">
        <v>9</v>
      </c>
      <c r="E1361">
        <v>17700</v>
      </c>
      <c r="F1361">
        <v>516000</v>
      </c>
    </row>
    <row r="1362" spans="1:6" x14ac:dyDescent="0.3">
      <c r="A1362" t="s">
        <v>1409</v>
      </c>
      <c r="B1362" t="s">
        <v>18</v>
      </c>
      <c r="C1362">
        <v>2016</v>
      </c>
      <c r="D1362" t="s">
        <v>2689</v>
      </c>
      <c r="E1362">
        <v>2000</v>
      </c>
      <c r="F1362">
        <v>0</v>
      </c>
    </row>
    <row r="1363" spans="1:6" x14ac:dyDescent="0.3">
      <c r="A1363" t="s">
        <v>1410</v>
      </c>
      <c r="B1363" t="s">
        <v>18</v>
      </c>
      <c r="C1363">
        <v>2017</v>
      </c>
      <c r="D1363" t="s">
        <v>14</v>
      </c>
      <c r="E1363">
        <v>2262</v>
      </c>
      <c r="F1363">
        <v>2000</v>
      </c>
    </row>
    <row r="1364" spans="1:6" x14ac:dyDescent="0.3">
      <c r="A1364" t="s">
        <v>1411</v>
      </c>
      <c r="B1364" t="s">
        <v>18</v>
      </c>
      <c r="C1364">
        <v>2017</v>
      </c>
      <c r="D1364" t="s">
        <v>14</v>
      </c>
      <c r="E1364">
        <v>209000</v>
      </c>
      <c r="F1364">
        <v>740000</v>
      </c>
    </row>
    <row r="1365" spans="1:6" x14ac:dyDescent="0.3">
      <c r="A1365" t="s">
        <v>1412</v>
      </c>
      <c r="B1365" t="s">
        <v>18</v>
      </c>
      <c r="C1365">
        <v>2017</v>
      </c>
      <c r="D1365" t="s">
        <v>14</v>
      </c>
      <c r="E1365">
        <v>120</v>
      </c>
      <c r="F1365">
        <v>0</v>
      </c>
    </row>
    <row r="1366" spans="1:6" x14ac:dyDescent="0.3">
      <c r="A1366" t="s">
        <v>1413</v>
      </c>
      <c r="B1366" t="s">
        <v>18</v>
      </c>
      <c r="C1366">
        <v>2017</v>
      </c>
      <c r="D1366" t="s">
        <v>9</v>
      </c>
      <c r="E1366">
        <v>0</v>
      </c>
      <c r="F1366">
        <v>353000</v>
      </c>
    </row>
    <row r="1367" spans="1:6" x14ac:dyDescent="0.3">
      <c r="A1367" t="s">
        <v>1414</v>
      </c>
      <c r="B1367" t="s">
        <v>18</v>
      </c>
      <c r="C1367">
        <v>2017</v>
      </c>
      <c r="D1367" t="s">
        <v>9</v>
      </c>
      <c r="E1367">
        <v>2000</v>
      </c>
      <c r="F1367">
        <v>35000</v>
      </c>
    </row>
    <row r="1368" spans="1:6" x14ac:dyDescent="0.3">
      <c r="A1368" t="s">
        <v>1415</v>
      </c>
      <c r="B1368" t="s">
        <v>18</v>
      </c>
      <c r="C1368">
        <v>2018</v>
      </c>
      <c r="D1368" t="s">
        <v>14</v>
      </c>
      <c r="E1368">
        <v>5042</v>
      </c>
      <c r="F1368">
        <v>10000</v>
      </c>
    </row>
    <row r="1369" spans="1:6" x14ac:dyDescent="0.3">
      <c r="A1369" t="s">
        <v>1416</v>
      </c>
      <c r="B1369" t="s">
        <v>18</v>
      </c>
      <c r="C1369">
        <v>2018</v>
      </c>
      <c r="D1369" t="s">
        <v>14</v>
      </c>
      <c r="E1369">
        <v>13255</v>
      </c>
      <c r="F1369">
        <v>0</v>
      </c>
    </row>
    <row r="1370" spans="1:6" x14ac:dyDescent="0.3">
      <c r="A1370" t="s">
        <v>1417</v>
      </c>
      <c r="B1370" t="s">
        <v>18</v>
      </c>
      <c r="C1370">
        <v>2018</v>
      </c>
      <c r="D1370" t="s">
        <v>14</v>
      </c>
      <c r="E1370">
        <v>716</v>
      </c>
      <c r="F1370">
        <v>10000</v>
      </c>
    </row>
    <row r="1371" spans="1:6" x14ac:dyDescent="0.3">
      <c r="A1371" t="s">
        <v>1418</v>
      </c>
      <c r="B1371" t="s">
        <v>18</v>
      </c>
      <c r="C1371">
        <v>2018</v>
      </c>
      <c r="D1371" t="s">
        <v>9</v>
      </c>
      <c r="E1371">
        <v>7135</v>
      </c>
      <c r="F1371">
        <v>166000</v>
      </c>
    </row>
    <row r="1372" spans="1:6" x14ac:dyDescent="0.3">
      <c r="A1372" t="s">
        <v>1419</v>
      </c>
      <c r="B1372" t="s">
        <v>18</v>
      </c>
      <c r="C1372">
        <v>2019</v>
      </c>
      <c r="D1372" t="s">
        <v>14</v>
      </c>
      <c r="E1372">
        <v>2100</v>
      </c>
      <c r="F1372">
        <v>0</v>
      </c>
    </row>
    <row r="1373" spans="1:6" x14ac:dyDescent="0.3">
      <c r="A1373" t="s">
        <v>1420</v>
      </c>
      <c r="B1373" t="s">
        <v>18</v>
      </c>
      <c r="C1373">
        <v>2019</v>
      </c>
      <c r="D1373" t="s">
        <v>14</v>
      </c>
      <c r="E1373">
        <v>23084</v>
      </c>
      <c r="F1373">
        <v>90000</v>
      </c>
    </row>
    <row r="1374" spans="1:6" x14ac:dyDescent="0.3">
      <c r="A1374" t="s">
        <v>1421</v>
      </c>
      <c r="B1374" t="s">
        <v>18</v>
      </c>
      <c r="C1374">
        <v>2019</v>
      </c>
      <c r="D1374" t="s">
        <v>9</v>
      </c>
      <c r="E1374">
        <v>20</v>
      </c>
      <c r="F1374">
        <v>80000</v>
      </c>
    </row>
    <row r="1375" spans="1:6" x14ac:dyDescent="0.3">
      <c r="A1375" t="s">
        <v>1422</v>
      </c>
      <c r="B1375" t="s">
        <v>18</v>
      </c>
      <c r="C1375">
        <v>2019</v>
      </c>
      <c r="D1375" t="s">
        <v>9</v>
      </c>
      <c r="E1375">
        <v>10001076</v>
      </c>
      <c r="F1375">
        <v>2500000</v>
      </c>
    </row>
    <row r="1376" spans="1:6" x14ac:dyDescent="0.3">
      <c r="A1376" t="s">
        <v>1423</v>
      </c>
      <c r="B1376" t="s">
        <v>18</v>
      </c>
      <c r="C1376">
        <v>2019</v>
      </c>
      <c r="D1376" t="s">
        <v>9</v>
      </c>
      <c r="E1376">
        <v>106</v>
      </c>
      <c r="F1376">
        <v>0</v>
      </c>
    </row>
    <row r="1377" spans="1:6" x14ac:dyDescent="0.3">
      <c r="A1377" t="s">
        <v>1424</v>
      </c>
      <c r="B1377" t="s">
        <v>18</v>
      </c>
      <c r="C1377">
        <v>2020</v>
      </c>
      <c r="D1377" t="s">
        <v>14</v>
      </c>
      <c r="E1377">
        <v>15075</v>
      </c>
      <c r="F1377">
        <v>0</v>
      </c>
    </row>
    <row r="1378" spans="1:6" x14ac:dyDescent="0.3">
      <c r="A1378" t="s">
        <v>1425</v>
      </c>
      <c r="B1378" t="s">
        <v>18</v>
      </c>
      <c r="C1378">
        <v>2020</v>
      </c>
      <c r="D1378" t="s">
        <v>9</v>
      </c>
      <c r="E1378">
        <v>196152</v>
      </c>
      <c r="F1378">
        <v>808000</v>
      </c>
    </row>
    <row r="1379" spans="1:6" x14ac:dyDescent="0.3">
      <c r="A1379" t="s">
        <v>1426</v>
      </c>
      <c r="B1379" t="s">
        <v>18</v>
      </c>
      <c r="C1379">
        <v>2020</v>
      </c>
      <c r="D1379" t="s">
        <v>9</v>
      </c>
      <c r="E1379">
        <v>24000</v>
      </c>
      <c r="F1379">
        <v>0</v>
      </c>
    </row>
    <row r="1380" spans="1:6" x14ac:dyDescent="0.3">
      <c r="A1380" t="s">
        <v>1427</v>
      </c>
      <c r="B1380" t="s">
        <v>18</v>
      </c>
      <c r="C1380">
        <v>2020</v>
      </c>
      <c r="D1380" t="s">
        <v>9</v>
      </c>
      <c r="E1380">
        <v>22</v>
      </c>
      <c r="F1380">
        <v>1500000</v>
      </c>
    </row>
    <row r="1381" spans="1:6" x14ac:dyDescent="0.3">
      <c r="A1381" t="s">
        <v>1428</v>
      </c>
      <c r="B1381" t="s">
        <v>18</v>
      </c>
      <c r="C1381">
        <v>2020</v>
      </c>
      <c r="D1381" t="s">
        <v>9</v>
      </c>
      <c r="E1381">
        <v>2501</v>
      </c>
      <c r="F1381">
        <v>0</v>
      </c>
    </row>
    <row r="1382" spans="1:6" x14ac:dyDescent="0.3">
      <c r="A1382" t="s">
        <v>1429</v>
      </c>
      <c r="B1382" t="s">
        <v>18</v>
      </c>
      <c r="C1382">
        <v>2020</v>
      </c>
      <c r="D1382" t="s">
        <v>9</v>
      </c>
      <c r="E1382">
        <v>4900</v>
      </c>
      <c r="F1382">
        <v>0</v>
      </c>
    </row>
    <row r="1383" spans="1:6" x14ac:dyDescent="0.3">
      <c r="A1383" t="s">
        <v>1430</v>
      </c>
      <c r="B1383" t="s">
        <v>18</v>
      </c>
      <c r="C1383">
        <v>2020</v>
      </c>
      <c r="D1383" t="s">
        <v>9</v>
      </c>
      <c r="E1383">
        <v>1000</v>
      </c>
      <c r="F1383">
        <v>50000</v>
      </c>
    </row>
    <row r="1384" spans="1:6" x14ac:dyDescent="0.3">
      <c r="A1384" t="s">
        <v>1431</v>
      </c>
      <c r="B1384" t="s">
        <v>18</v>
      </c>
      <c r="C1384">
        <v>2021</v>
      </c>
      <c r="D1384" t="s">
        <v>7</v>
      </c>
      <c r="E1384">
        <v>4900000</v>
      </c>
      <c r="F1384">
        <v>0</v>
      </c>
    </row>
    <row r="1385" spans="1:6" x14ac:dyDescent="0.3">
      <c r="A1385" t="s">
        <v>1432</v>
      </c>
      <c r="B1385" t="s">
        <v>18</v>
      </c>
      <c r="C1385">
        <v>2021</v>
      </c>
      <c r="D1385" t="s">
        <v>14</v>
      </c>
      <c r="E1385">
        <v>257724</v>
      </c>
      <c r="F1385">
        <v>10000</v>
      </c>
    </row>
    <row r="1386" spans="1:6" x14ac:dyDescent="0.3">
      <c r="A1386" t="s">
        <v>1433</v>
      </c>
      <c r="B1386" t="s">
        <v>18</v>
      </c>
      <c r="C1386">
        <v>2021</v>
      </c>
      <c r="D1386" t="s">
        <v>14</v>
      </c>
      <c r="E1386">
        <v>3543</v>
      </c>
      <c r="F1386">
        <v>0</v>
      </c>
    </row>
    <row r="1387" spans="1:6" x14ac:dyDescent="0.3">
      <c r="A1387" t="s">
        <v>1434</v>
      </c>
      <c r="B1387" t="s">
        <v>18</v>
      </c>
      <c r="C1387">
        <v>2021</v>
      </c>
      <c r="D1387" t="s">
        <v>14</v>
      </c>
      <c r="E1387">
        <v>36588</v>
      </c>
      <c r="F1387">
        <v>165000</v>
      </c>
    </row>
    <row r="1388" spans="1:6" x14ac:dyDescent="0.3">
      <c r="A1388" t="s">
        <v>1435</v>
      </c>
      <c r="B1388" t="s">
        <v>18</v>
      </c>
      <c r="C1388">
        <v>2021</v>
      </c>
      <c r="D1388" t="s">
        <v>9</v>
      </c>
      <c r="E1388">
        <v>1810</v>
      </c>
      <c r="F1388">
        <v>0</v>
      </c>
    </row>
    <row r="1389" spans="1:6" x14ac:dyDescent="0.3">
      <c r="A1389" t="s">
        <v>1436</v>
      </c>
      <c r="B1389" t="s">
        <v>18</v>
      </c>
      <c r="C1389">
        <v>2021</v>
      </c>
      <c r="D1389" t="s">
        <v>2689</v>
      </c>
      <c r="E1389">
        <v>2600</v>
      </c>
      <c r="F1389">
        <v>0</v>
      </c>
    </row>
    <row r="1390" spans="1:6" x14ac:dyDescent="0.3">
      <c r="A1390" t="s">
        <v>1437</v>
      </c>
      <c r="B1390" t="s">
        <v>18</v>
      </c>
      <c r="C1390">
        <v>2021</v>
      </c>
      <c r="D1390" t="s">
        <v>2689</v>
      </c>
      <c r="E1390">
        <v>122</v>
      </c>
      <c r="F1390">
        <v>0</v>
      </c>
    </row>
    <row r="1391" spans="1:6" x14ac:dyDescent="0.3">
      <c r="A1391" t="s">
        <v>1438</v>
      </c>
      <c r="B1391" t="s">
        <v>18</v>
      </c>
      <c r="C1391">
        <v>2022</v>
      </c>
      <c r="D1391" t="s">
        <v>14</v>
      </c>
      <c r="E1391">
        <v>22300</v>
      </c>
      <c r="F1391">
        <v>143000</v>
      </c>
    </row>
    <row r="1392" spans="1:6" x14ac:dyDescent="0.3">
      <c r="A1392" t="s">
        <v>1439</v>
      </c>
      <c r="B1392" t="s">
        <v>18</v>
      </c>
      <c r="C1392">
        <v>2022</v>
      </c>
      <c r="D1392" t="s">
        <v>14</v>
      </c>
      <c r="E1392">
        <v>12565</v>
      </c>
      <c r="F1392">
        <v>0</v>
      </c>
    </row>
    <row r="1393" spans="1:6" x14ac:dyDescent="0.3">
      <c r="A1393" t="s">
        <v>1440</v>
      </c>
      <c r="B1393" t="s">
        <v>18</v>
      </c>
      <c r="C1393">
        <v>2022</v>
      </c>
      <c r="D1393" t="s">
        <v>9</v>
      </c>
      <c r="E1393">
        <v>20014</v>
      </c>
      <c r="F1393">
        <v>0</v>
      </c>
    </row>
    <row r="1394" spans="1:6" x14ac:dyDescent="0.3">
      <c r="A1394" t="s">
        <v>1441</v>
      </c>
      <c r="B1394" t="s">
        <v>18</v>
      </c>
      <c r="C1394">
        <v>2022</v>
      </c>
      <c r="D1394" t="s">
        <v>9</v>
      </c>
      <c r="E1394">
        <v>18001</v>
      </c>
      <c r="F1394">
        <v>0</v>
      </c>
    </row>
    <row r="1395" spans="1:6" x14ac:dyDescent="0.3">
      <c r="A1395" t="s">
        <v>1442</v>
      </c>
      <c r="B1395" t="s">
        <v>18</v>
      </c>
      <c r="C1395">
        <v>2022</v>
      </c>
      <c r="D1395" t="s">
        <v>9</v>
      </c>
      <c r="E1395">
        <v>126775</v>
      </c>
      <c r="F1395">
        <v>201000</v>
      </c>
    </row>
    <row r="1396" spans="1:6" x14ac:dyDescent="0.3">
      <c r="A1396" t="s">
        <v>1443</v>
      </c>
      <c r="B1396" t="s">
        <v>18</v>
      </c>
      <c r="C1396">
        <v>2023</v>
      </c>
      <c r="D1396" t="s">
        <v>14</v>
      </c>
      <c r="E1396">
        <v>41678</v>
      </c>
      <c r="F1396">
        <v>50000</v>
      </c>
    </row>
    <row r="1397" spans="1:6" x14ac:dyDescent="0.3">
      <c r="A1397" t="s">
        <v>1444</v>
      </c>
      <c r="B1397" t="s">
        <v>18</v>
      </c>
      <c r="C1397">
        <v>2023</v>
      </c>
      <c r="D1397" t="s">
        <v>14</v>
      </c>
      <c r="E1397">
        <v>262404</v>
      </c>
      <c r="F1397">
        <v>255000</v>
      </c>
    </row>
    <row r="1398" spans="1:6" x14ac:dyDescent="0.3">
      <c r="A1398" t="s">
        <v>1445</v>
      </c>
      <c r="B1398" t="s">
        <v>18</v>
      </c>
      <c r="C1398">
        <v>2023</v>
      </c>
      <c r="D1398" t="s">
        <v>14</v>
      </c>
      <c r="E1398">
        <v>239</v>
      </c>
      <c r="F1398">
        <v>0</v>
      </c>
    </row>
    <row r="1399" spans="1:6" x14ac:dyDescent="0.3">
      <c r="A1399" t="s">
        <v>1446</v>
      </c>
      <c r="B1399" t="s">
        <v>18</v>
      </c>
      <c r="C1399">
        <v>2023</v>
      </c>
      <c r="D1399" t="s">
        <v>2689</v>
      </c>
      <c r="E1399">
        <v>400</v>
      </c>
      <c r="F1399">
        <v>0</v>
      </c>
    </row>
    <row r="1400" spans="1:6" x14ac:dyDescent="0.3">
      <c r="A1400" t="s">
        <v>1447</v>
      </c>
      <c r="B1400" t="s">
        <v>18</v>
      </c>
      <c r="C1400">
        <v>2023</v>
      </c>
      <c r="D1400" t="s">
        <v>2689</v>
      </c>
      <c r="E1400">
        <v>1050</v>
      </c>
      <c r="F1400">
        <v>0</v>
      </c>
    </row>
    <row r="1401" spans="1:6" x14ac:dyDescent="0.3">
      <c r="A1401" t="s">
        <v>1448</v>
      </c>
      <c r="B1401" t="s">
        <v>18</v>
      </c>
      <c r="C1401">
        <v>2023</v>
      </c>
      <c r="D1401" t="s">
        <v>2689</v>
      </c>
      <c r="E1401">
        <v>2017</v>
      </c>
      <c r="F1401">
        <v>0</v>
      </c>
    </row>
    <row r="1402" spans="1:6" x14ac:dyDescent="0.3">
      <c r="A1402" t="s">
        <v>1449</v>
      </c>
      <c r="B1402" t="s">
        <v>18</v>
      </c>
      <c r="C1402">
        <v>2024</v>
      </c>
      <c r="D1402" t="s">
        <v>14</v>
      </c>
      <c r="E1402">
        <v>120</v>
      </c>
      <c r="F1402">
        <v>0</v>
      </c>
    </row>
    <row r="1403" spans="1:6" x14ac:dyDescent="0.3">
      <c r="A1403" t="s">
        <v>1450</v>
      </c>
      <c r="B1403" t="s">
        <v>18</v>
      </c>
      <c r="C1403">
        <v>2024</v>
      </c>
      <c r="D1403" t="s">
        <v>9</v>
      </c>
      <c r="E1403">
        <v>258387</v>
      </c>
      <c r="F1403">
        <v>0</v>
      </c>
    </row>
    <row r="1404" spans="1:6" x14ac:dyDescent="0.3">
      <c r="A1404" t="s">
        <v>1451</v>
      </c>
      <c r="B1404" t="s">
        <v>18</v>
      </c>
      <c r="C1404">
        <v>2024</v>
      </c>
      <c r="D1404" t="s">
        <v>9</v>
      </c>
      <c r="E1404">
        <v>46000</v>
      </c>
      <c r="F1404">
        <v>0</v>
      </c>
    </row>
    <row r="1405" spans="1:6" x14ac:dyDescent="0.3">
      <c r="A1405" t="s">
        <v>1452</v>
      </c>
      <c r="B1405" t="s">
        <v>18</v>
      </c>
      <c r="C1405">
        <v>2024</v>
      </c>
      <c r="D1405" t="s">
        <v>9</v>
      </c>
      <c r="E1405">
        <v>450</v>
      </c>
      <c r="F1405">
        <v>0</v>
      </c>
    </row>
    <row r="1406" spans="1:6" x14ac:dyDescent="0.3">
      <c r="A1406" t="s">
        <v>1453</v>
      </c>
      <c r="B1406" t="s">
        <v>18</v>
      </c>
      <c r="C1406">
        <v>2024</v>
      </c>
      <c r="D1406" t="s">
        <v>9</v>
      </c>
      <c r="E1406">
        <v>0</v>
      </c>
      <c r="F1406">
        <v>0</v>
      </c>
    </row>
    <row r="1407" spans="1:6" x14ac:dyDescent="0.3">
      <c r="A1407" t="s">
        <v>1454</v>
      </c>
      <c r="B1407" t="s">
        <v>28</v>
      </c>
      <c r="C1407">
        <v>2001</v>
      </c>
      <c r="D1407" t="s">
        <v>2689</v>
      </c>
      <c r="E1407">
        <v>200</v>
      </c>
      <c r="F1407">
        <v>55487</v>
      </c>
    </row>
    <row r="1408" spans="1:6" x14ac:dyDescent="0.3">
      <c r="A1408" t="s">
        <v>1455</v>
      </c>
      <c r="B1408" t="s">
        <v>28</v>
      </c>
      <c r="C1408">
        <v>2002</v>
      </c>
      <c r="D1408" t="s">
        <v>9</v>
      </c>
      <c r="E1408">
        <v>25000</v>
      </c>
      <c r="F1408">
        <v>20000</v>
      </c>
    </row>
    <row r="1409" spans="1:6" x14ac:dyDescent="0.3">
      <c r="A1409" t="s">
        <v>1456</v>
      </c>
      <c r="B1409" t="s">
        <v>28</v>
      </c>
      <c r="C1409">
        <v>2002</v>
      </c>
      <c r="D1409" t="s">
        <v>2689</v>
      </c>
      <c r="E1409">
        <v>1500</v>
      </c>
      <c r="F1409">
        <v>30</v>
      </c>
    </row>
    <row r="1410" spans="1:6" x14ac:dyDescent="0.3">
      <c r="A1410" t="s">
        <v>1457</v>
      </c>
      <c r="B1410" t="s">
        <v>28</v>
      </c>
      <c r="C1410">
        <v>2002</v>
      </c>
      <c r="D1410" t="s">
        <v>2689</v>
      </c>
      <c r="E1410">
        <v>0</v>
      </c>
      <c r="F1410">
        <v>1000</v>
      </c>
    </row>
    <row r="1411" spans="1:6" x14ac:dyDescent="0.3">
      <c r="A1411" t="s">
        <v>1458</v>
      </c>
      <c r="B1411" t="s">
        <v>28</v>
      </c>
      <c r="C1411">
        <v>2004</v>
      </c>
      <c r="D1411" t="s">
        <v>2689</v>
      </c>
      <c r="E1411">
        <v>126</v>
      </c>
      <c r="F1411">
        <v>300000</v>
      </c>
    </row>
    <row r="1412" spans="1:6" x14ac:dyDescent="0.3">
      <c r="A1412" t="s">
        <v>1459</v>
      </c>
      <c r="B1412" t="s">
        <v>28</v>
      </c>
      <c r="C1412">
        <v>2004</v>
      </c>
      <c r="D1412" t="s">
        <v>2689</v>
      </c>
      <c r="E1412">
        <v>350000</v>
      </c>
      <c r="F1412">
        <v>595000</v>
      </c>
    </row>
    <row r="1413" spans="1:6" x14ac:dyDescent="0.3">
      <c r="A1413" t="s">
        <v>1460</v>
      </c>
      <c r="B1413" t="s">
        <v>28</v>
      </c>
      <c r="C1413">
        <v>2005</v>
      </c>
      <c r="D1413" t="s">
        <v>2689</v>
      </c>
      <c r="E1413">
        <v>8000</v>
      </c>
      <c r="F1413">
        <v>30000</v>
      </c>
    </row>
    <row r="1414" spans="1:6" x14ac:dyDescent="0.3">
      <c r="A1414" t="s">
        <v>1461</v>
      </c>
      <c r="B1414" t="s">
        <v>28</v>
      </c>
      <c r="C1414">
        <v>2005</v>
      </c>
      <c r="D1414" t="s">
        <v>2689</v>
      </c>
      <c r="E1414">
        <v>2296</v>
      </c>
      <c r="F1414">
        <v>1000</v>
      </c>
    </row>
    <row r="1415" spans="1:6" x14ac:dyDescent="0.3">
      <c r="A1415" t="s">
        <v>1462</v>
      </c>
      <c r="B1415" t="s">
        <v>28</v>
      </c>
      <c r="C1415">
        <v>2005</v>
      </c>
      <c r="D1415" t="s">
        <v>2689</v>
      </c>
      <c r="E1415">
        <v>100</v>
      </c>
      <c r="F1415">
        <v>3500</v>
      </c>
    </row>
    <row r="1416" spans="1:6" x14ac:dyDescent="0.3">
      <c r="A1416" t="s">
        <v>1463</v>
      </c>
      <c r="B1416" t="s">
        <v>28</v>
      </c>
      <c r="C1416">
        <v>2006</v>
      </c>
      <c r="D1416" t="s">
        <v>9</v>
      </c>
      <c r="E1416">
        <v>5000</v>
      </c>
      <c r="F1416">
        <v>0</v>
      </c>
    </row>
    <row r="1417" spans="1:6" x14ac:dyDescent="0.3">
      <c r="A1417" t="s">
        <v>1464</v>
      </c>
      <c r="B1417" t="s">
        <v>28</v>
      </c>
      <c r="C1417">
        <v>2007</v>
      </c>
      <c r="D1417" t="s">
        <v>2689</v>
      </c>
      <c r="E1417">
        <v>33188</v>
      </c>
      <c r="F1417">
        <v>300000</v>
      </c>
    </row>
    <row r="1418" spans="1:6" x14ac:dyDescent="0.3">
      <c r="A1418" t="s">
        <v>1465</v>
      </c>
      <c r="B1418" t="s">
        <v>28</v>
      </c>
      <c r="C1418">
        <v>2007</v>
      </c>
      <c r="D1418" t="s">
        <v>2689</v>
      </c>
      <c r="E1418">
        <v>0</v>
      </c>
      <c r="F1418">
        <v>0</v>
      </c>
    </row>
    <row r="1419" spans="1:6" x14ac:dyDescent="0.3">
      <c r="A1419" t="s">
        <v>1466</v>
      </c>
      <c r="B1419" t="s">
        <v>28</v>
      </c>
      <c r="C1419">
        <v>2008</v>
      </c>
      <c r="D1419" t="s">
        <v>2689</v>
      </c>
      <c r="E1419">
        <v>0</v>
      </c>
      <c r="F1419">
        <v>0</v>
      </c>
    </row>
    <row r="1420" spans="1:6" x14ac:dyDescent="0.3">
      <c r="A1420" t="s">
        <v>1467</v>
      </c>
      <c r="B1420" t="s">
        <v>28</v>
      </c>
      <c r="C1420">
        <v>2008</v>
      </c>
      <c r="D1420" t="s">
        <v>2689</v>
      </c>
      <c r="E1420">
        <v>4000</v>
      </c>
      <c r="F1420">
        <v>66198</v>
      </c>
    </row>
    <row r="1421" spans="1:6" x14ac:dyDescent="0.3">
      <c r="A1421" t="s">
        <v>1468</v>
      </c>
      <c r="B1421" t="s">
        <v>28</v>
      </c>
      <c r="C1421">
        <v>2010</v>
      </c>
      <c r="D1421" t="s">
        <v>2689</v>
      </c>
      <c r="E1421">
        <v>2506</v>
      </c>
      <c r="F1421">
        <v>150000</v>
      </c>
    </row>
    <row r="1422" spans="1:6" x14ac:dyDescent="0.3">
      <c r="A1422" t="s">
        <v>1469</v>
      </c>
      <c r="B1422" t="s">
        <v>28</v>
      </c>
      <c r="C1422">
        <v>2012</v>
      </c>
      <c r="D1422" t="s">
        <v>2689</v>
      </c>
      <c r="E1422">
        <v>215850</v>
      </c>
      <c r="F1422">
        <v>16542</v>
      </c>
    </row>
    <row r="1423" spans="1:6" x14ac:dyDescent="0.3">
      <c r="A1423" t="s">
        <v>1470</v>
      </c>
      <c r="B1423" t="s">
        <v>28</v>
      </c>
      <c r="C1423">
        <v>2014</v>
      </c>
      <c r="D1423" t="s">
        <v>7</v>
      </c>
      <c r="E1423">
        <v>91545</v>
      </c>
      <c r="F1423">
        <v>10000</v>
      </c>
    </row>
    <row r="1424" spans="1:6" x14ac:dyDescent="0.3">
      <c r="A1424" t="s">
        <v>1471</v>
      </c>
      <c r="B1424" t="s">
        <v>28</v>
      </c>
      <c r="C1424">
        <v>2016</v>
      </c>
      <c r="D1424" t="s">
        <v>2689</v>
      </c>
      <c r="E1424">
        <v>125000</v>
      </c>
      <c r="F1424">
        <v>0</v>
      </c>
    </row>
    <row r="1425" spans="1:6" x14ac:dyDescent="0.3">
      <c r="A1425" t="s">
        <v>1472</v>
      </c>
      <c r="B1425" t="s">
        <v>28</v>
      </c>
      <c r="C1425">
        <v>2017</v>
      </c>
      <c r="D1425" t="s">
        <v>2689</v>
      </c>
      <c r="E1425">
        <v>5000</v>
      </c>
      <c r="F1425">
        <v>0</v>
      </c>
    </row>
    <row r="1426" spans="1:6" x14ac:dyDescent="0.3">
      <c r="A1426" t="s">
        <v>1473</v>
      </c>
      <c r="B1426" t="s">
        <v>28</v>
      </c>
      <c r="C1426">
        <v>2024</v>
      </c>
      <c r="D1426" t="s">
        <v>2689</v>
      </c>
      <c r="E1426">
        <v>160060</v>
      </c>
      <c r="F1426">
        <v>1000000</v>
      </c>
    </row>
    <row r="1427" spans="1:6" x14ac:dyDescent="0.3">
      <c r="A1427" t="s">
        <v>1474</v>
      </c>
      <c r="B1427" t="s">
        <v>28</v>
      </c>
      <c r="C1427">
        <v>2024</v>
      </c>
      <c r="D1427" t="s">
        <v>2689</v>
      </c>
      <c r="E1427">
        <v>0</v>
      </c>
      <c r="F1427">
        <v>8000</v>
      </c>
    </row>
    <row r="1428" spans="1:6" x14ac:dyDescent="0.3">
      <c r="A1428" t="s">
        <v>1475</v>
      </c>
      <c r="B1428" t="s">
        <v>34</v>
      </c>
      <c r="C1428">
        <v>2002</v>
      </c>
      <c r="D1428" t="s">
        <v>9</v>
      </c>
      <c r="E1428">
        <v>150008</v>
      </c>
      <c r="F1428">
        <v>0</v>
      </c>
    </row>
    <row r="1429" spans="1:6" x14ac:dyDescent="0.3">
      <c r="A1429" t="s">
        <v>1476</v>
      </c>
      <c r="B1429" t="s">
        <v>34</v>
      </c>
      <c r="C1429">
        <v>2002</v>
      </c>
      <c r="D1429" t="s">
        <v>9</v>
      </c>
      <c r="E1429">
        <v>20000</v>
      </c>
      <c r="F1429">
        <v>0</v>
      </c>
    </row>
    <row r="1430" spans="1:6" x14ac:dyDescent="0.3">
      <c r="A1430" t="s">
        <v>1477</v>
      </c>
      <c r="B1430" t="s">
        <v>34</v>
      </c>
      <c r="C1430">
        <v>2002</v>
      </c>
      <c r="D1430" t="s">
        <v>9</v>
      </c>
      <c r="E1430">
        <v>2000</v>
      </c>
      <c r="F1430">
        <v>0</v>
      </c>
    </row>
    <row r="1431" spans="1:6" x14ac:dyDescent="0.3">
      <c r="A1431" t="s">
        <v>1478</v>
      </c>
      <c r="B1431" t="s">
        <v>34</v>
      </c>
      <c r="C1431">
        <v>2002</v>
      </c>
      <c r="D1431" t="s">
        <v>9</v>
      </c>
      <c r="E1431">
        <v>3000</v>
      </c>
      <c r="F1431">
        <v>0</v>
      </c>
    </row>
    <row r="1432" spans="1:6" x14ac:dyDescent="0.3">
      <c r="A1432" t="s">
        <v>1479</v>
      </c>
      <c r="B1432" t="s">
        <v>34</v>
      </c>
      <c r="C1432">
        <v>2003</v>
      </c>
      <c r="D1432" t="s">
        <v>9</v>
      </c>
      <c r="E1432">
        <v>60000</v>
      </c>
      <c r="F1432">
        <v>0</v>
      </c>
    </row>
    <row r="1433" spans="1:6" x14ac:dyDescent="0.3">
      <c r="A1433" t="s">
        <v>1480</v>
      </c>
      <c r="B1433" t="s">
        <v>34</v>
      </c>
      <c r="C1433">
        <v>2003</v>
      </c>
      <c r="D1433" t="s">
        <v>9</v>
      </c>
      <c r="E1433">
        <v>300</v>
      </c>
      <c r="F1433">
        <v>0</v>
      </c>
    </row>
    <row r="1434" spans="1:6" x14ac:dyDescent="0.3">
      <c r="A1434" t="s">
        <v>1481</v>
      </c>
      <c r="B1434" t="s">
        <v>34</v>
      </c>
      <c r="C1434">
        <v>2004</v>
      </c>
      <c r="D1434" t="s">
        <v>7</v>
      </c>
      <c r="E1434">
        <v>2300000</v>
      </c>
      <c r="F1434">
        <v>0</v>
      </c>
    </row>
    <row r="1435" spans="1:6" x14ac:dyDescent="0.3">
      <c r="A1435" t="s">
        <v>1482</v>
      </c>
      <c r="B1435" t="s">
        <v>34</v>
      </c>
      <c r="C1435">
        <v>2004</v>
      </c>
      <c r="D1435" t="s">
        <v>14</v>
      </c>
      <c r="E1435">
        <v>0</v>
      </c>
      <c r="F1435">
        <v>100000</v>
      </c>
    </row>
    <row r="1436" spans="1:6" x14ac:dyDescent="0.3">
      <c r="A1436" t="s">
        <v>1483</v>
      </c>
      <c r="B1436" t="s">
        <v>34</v>
      </c>
      <c r="C1436">
        <v>2004</v>
      </c>
      <c r="D1436" t="s">
        <v>9</v>
      </c>
      <c r="E1436">
        <v>2000</v>
      </c>
      <c r="F1436">
        <v>0</v>
      </c>
    </row>
    <row r="1437" spans="1:6" x14ac:dyDescent="0.3">
      <c r="A1437" t="s">
        <v>1484</v>
      </c>
      <c r="B1437" t="s">
        <v>34</v>
      </c>
      <c r="C1437">
        <v>2004</v>
      </c>
      <c r="D1437" t="s">
        <v>9</v>
      </c>
      <c r="E1437">
        <v>10000</v>
      </c>
      <c r="F1437">
        <v>0</v>
      </c>
    </row>
    <row r="1438" spans="1:6" x14ac:dyDescent="0.3">
      <c r="A1438" t="s">
        <v>1485</v>
      </c>
      <c r="B1438" t="s">
        <v>34</v>
      </c>
      <c r="C1438">
        <v>2005</v>
      </c>
      <c r="D1438" t="s">
        <v>7</v>
      </c>
      <c r="E1438">
        <v>3500000</v>
      </c>
      <c r="F1438">
        <v>0</v>
      </c>
    </row>
    <row r="1439" spans="1:6" x14ac:dyDescent="0.3">
      <c r="A1439" t="s">
        <v>1486</v>
      </c>
      <c r="B1439" t="s">
        <v>34</v>
      </c>
      <c r="C1439">
        <v>2005</v>
      </c>
      <c r="D1439" t="s">
        <v>9</v>
      </c>
      <c r="E1439">
        <v>25000</v>
      </c>
      <c r="F1439">
        <v>500</v>
      </c>
    </row>
    <row r="1440" spans="1:6" x14ac:dyDescent="0.3">
      <c r="A1440" t="s">
        <v>1487</v>
      </c>
      <c r="B1440" t="s">
        <v>34</v>
      </c>
      <c r="C1440">
        <v>2005</v>
      </c>
      <c r="D1440" t="s">
        <v>9</v>
      </c>
      <c r="E1440">
        <v>10000</v>
      </c>
      <c r="F1440">
        <v>0</v>
      </c>
    </row>
    <row r="1441" spans="1:6" x14ac:dyDescent="0.3">
      <c r="A1441" t="s">
        <v>1488</v>
      </c>
      <c r="B1441" t="s">
        <v>34</v>
      </c>
      <c r="C1441">
        <v>2005</v>
      </c>
      <c r="D1441" t="s">
        <v>9</v>
      </c>
      <c r="E1441">
        <v>1200</v>
      </c>
      <c r="F1441">
        <v>0</v>
      </c>
    </row>
    <row r="1442" spans="1:6" x14ac:dyDescent="0.3">
      <c r="A1442" t="s">
        <v>1489</v>
      </c>
      <c r="B1442" t="s">
        <v>34</v>
      </c>
      <c r="C1442">
        <v>2006</v>
      </c>
      <c r="D1442" t="s">
        <v>9</v>
      </c>
      <c r="E1442">
        <v>17300</v>
      </c>
      <c r="F1442">
        <v>0</v>
      </c>
    </row>
    <row r="1443" spans="1:6" x14ac:dyDescent="0.3">
      <c r="A1443" t="s">
        <v>1490</v>
      </c>
      <c r="B1443" t="s">
        <v>34</v>
      </c>
      <c r="C1443">
        <v>2006</v>
      </c>
      <c r="D1443" t="s">
        <v>9</v>
      </c>
      <c r="E1443">
        <v>13000</v>
      </c>
      <c r="F1443">
        <v>0</v>
      </c>
    </row>
    <row r="1444" spans="1:6" x14ac:dyDescent="0.3">
      <c r="A1444" t="s">
        <v>1491</v>
      </c>
      <c r="B1444" t="s">
        <v>34</v>
      </c>
      <c r="C1444">
        <v>2006</v>
      </c>
      <c r="D1444" t="s">
        <v>9</v>
      </c>
      <c r="E1444">
        <v>30000</v>
      </c>
      <c r="F1444">
        <v>0</v>
      </c>
    </row>
    <row r="1445" spans="1:6" x14ac:dyDescent="0.3">
      <c r="A1445" t="s">
        <v>1492</v>
      </c>
      <c r="B1445" t="s">
        <v>34</v>
      </c>
      <c r="C1445">
        <v>2006</v>
      </c>
      <c r="D1445" t="s">
        <v>9</v>
      </c>
      <c r="E1445">
        <v>723000</v>
      </c>
      <c r="F1445">
        <v>0</v>
      </c>
    </row>
    <row r="1446" spans="1:6" x14ac:dyDescent="0.3">
      <c r="A1446" t="s">
        <v>1493</v>
      </c>
      <c r="B1446" t="s">
        <v>34</v>
      </c>
      <c r="C1446">
        <v>2007</v>
      </c>
      <c r="D1446" t="s">
        <v>9</v>
      </c>
      <c r="E1446">
        <v>651</v>
      </c>
      <c r="F1446">
        <v>0</v>
      </c>
    </row>
    <row r="1447" spans="1:6" x14ac:dyDescent="0.3">
      <c r="A1447" t="s">
        <v>1494</v>
      </c>
      <c r="B1447" t="s">
        <v>34</v>
      </c>
      <c r="C1447">
        <v>2007</v>
      </c>
      <c r="D1447" t="s">
        <v>9</v>
      </c>
      <c r="E1447">
        <v>40000</v>
      </c>
      <c r="F1447">
        <v>0</v>
      </c>
    </row>
    <row r="1448" spans="1:6" x14ac:dyDescent="0.3">
      <c r="A1448" t="s">
        <v>1495</v>
      </c>
      <c r="B1448" t="s">
        <v>34</v>
      </c>
      <c r="C1448">
        <v>2007</v>
      </c>
      <c r="D1448" t="s">
        <v>9</v>
      </c>
      <c r="E1448">
        <v>2000</v>
      </c>
      <c r="F1448">
        <v>0</v>
      </c>
    </row>
    <row r="1449" spans="1:6" x14ac:dyDescent="0.3">
      <c r="A1449" t="s">
        <v>1496</v>
      </c>
      <c r="B1449" t="s">
        <v>34</v>
      </c>
      <c r="C1449">
        <v>2008</v>
      </c>
      <c r="D1449" t="s">
        <v>7</v>
      </c>
      <c r="E1449">
        <v>3800000</v>
      </c>
      <c r="F1449">
        <v>0</v>
      </c>
    </row>
    <row r="1450" spans="1:6" x14ac:dyDescent="0.3">
      <c r="A1450" t="s">
        <v>1497</v>
      </c>
      <c r="B1450" t="s">
        <v>34</v>
      </c>
      <c r="C1450">
        <v>2008</v>
      </c>
      <c r="D1450" t="s">
        <v>9</v>
      </c>
      <c r="E1450">
        <v>700</v>
      </c>
      <c r="F1450">
        <v>0</v>
      </c>
    </row>
    <row r="1451" spans="1:6" x14ac:dyDescent="0.3">
      <c r="A1451" t="s">
        <v>1498</v>
      </c>
      <c r="B1451" t="s">
        <v>34</v>
      </c>
      <c r="C1451">
        <v>2008</v>
      </c>
      <c r="D1451" t="s">
        <v>9</v>
      </c>
      <c r="E1451">
        <v>10000</v>
      </c>
      <c r="F1451">
        <v>0</v>
      </c>
    </row>
    <row r="1452" spans="1:6" x14ac:dyDescent="0.3">
      <c r="A1452" t="s">
        <v>1499</v>
      </c>
      <c r="B1452" t="s">
        <v>34</v>
      </c>
      <c r="C1452">
        <v>2008</v>
      </c>
      <c r="D1452" t="s">
        <v>9</v>
      </c>
      <c r="E1452">
        <v>8658</v>
      </c>
      <c r="F1452">
        <v>0</v>
      </c>
    </row>
    <row r="1453" spans="1:6" x14ac:dyDescent="0.3">
      <c r="A1453" t="s">
        <v>1500</v>
      </c>
      <c r="B1453" t="s">
        <v>34</v>
      </c>
      <c r="C1453">
        <v>2008</v>
      </c>
      <c r="D1453" t="s">
        <v>9</v>
      </c>
      <c r="E1453">
        <v>6000</v>
      </c>
      <c r="F1453">
        <v>0</v>
      </c>
    </row>
    <row r="1454" spans="1:6" x14ac:dyDescent="0.3">
      <c r="A1454" t="s">
        <v>1501</v>
      </c>
      <c r="B1454" t="s">
        <v>34</v>
      </c>
      <c r="C1454">
        <v>2008</v>
      </c>
      <c r="D1454" t="s">
        <v>9</v>
      </c>
      <c r="E1454">
        <v>6310</v>
      </c>
      <c r="F1454">
        <v>0</v>
      </c>
    </row>
    <row r="1455" spans="1:6" x14ac:dyDescent="0.3">
      <c r="A1455" t="s">
        <v>1502</v>
      </c>
      <c r="B1455" t="s">
        <v>34</v>
      </c>
      <c r="C1455">
        <v>2008</v>
      </c>
      <c r="D1455" t="s">
        <v>9</v>
      </c>
      <c r="E1455">
        <v>30770</v>
      </c>
      <c r="F1455">
        <v>0</v>
      </c>
    </row>
    <row r="1456" spans="1:6" x14ac:dyDescent="0.3">
      <c r="A1456" t="s">
        <v>1503</v>
      </c>
      <c r="B1456" t="s">
        <v>34</v>
      </c>
      <c r="C1456">
        <v>2009</v>
      </c>
      <c r="D1456" t="s">
        <v>9</v>
      </c>
      <c r="E1456">
        <v>44850</v>
      </c>
      <c r="F1456">
        <v>0</v>
      </c>
    </row>
    <row r="1457" spans="1:6" x14ac:dyDescent="0.3">
      <c r="A1457" t="s">
        <v>1504</v>
      </c>
      <c r="B1457" t="s">
        <v>34</v>
      </c>
      <c r="C1457">
        <v>2009</v>
      </c>
      <c r="D1457" t="s">
        <v>9</v>
      </c>
      <c r="E1457">
        <v>91350</v>
      </c>
      <c r="F1457">
        <v>0</v>
      </c>
    </row>
    <row r="1458" spans="1:6" x14ac:dyDescent="0.3">
      <c r="A1458" t="s">
        <v>1505</v>
      </c>
      <c r="B1458" t="s">
        <v>34</v>
      </c>
      <c r="C1458">
        <v>2010</v>
      </c>
      <c r="D1458" t="s">
        <v>9</v>
      </c>
      <c r="E1458">
        <v>141164</v>
      </c>
      <c r="F1458">
        <v>0</v>
      </c>
    </row>
    <row r="1459" spans="1:6" x14ac:dyDescent="0.3">
      <c r="A1459" t="s">
        <v>1506</v>
      </c>
      <c r="B1459" t="s">
        <v>34</v>
      </c>
      <c r="C1459">
        <v>2010</v>
      </c>
      <c r="D1459" t="s">
        <v>9</v>
      </c>
      <c r="E1459">
        <v>70000</v>
      </c>
      <c r="F1459">
        <v>0</v>
      </c>
    </row>
    <row r="1460" spans="1:6" x14ac:dyDescent="0.3">
      <c r="A1460" t="s">
        <v>1507</v>
      </c>
      <c r="B1460" t="s">
        <v>34</v>
      </c>
      <c r="C1460">
        <v>2011</v>
      </c>
      <c r="D1460" t="s">
        <v>7</v>
      </c>
      <c r="E1460">
        <v>4300000</v>
      </c>
      <c r="F1460">
        <v>0</v>
      </c>
    </row>
    <row r="1461" spans="1:6" x14ac:dyDescent="0.3">
      <c r="A1461" t="s">
        <v>1508</v>
      </c>
      <c r="B1461" t="s">
        <v>34</v>
      </c>
      <c r="C1461">
        <v>2011</v>
      </c>
      <c r="D1461" t="s">
        <v>7</v>
      </c>
      <c r="E1461">
        <v>3750000</v>
      </c>
      <c r="F1461">
        <v>0</v>
      </c>
    </row>
    <row r="1462" spans="1:6" x14ac:dyDescent="0.3">
      <c r="A1462" t="s">
        <v>1509</v>
      </c>
      <c r="B1462" t="s">
        <v>34</v>
      </c>
      <c r="C1462">
        <v>2011</v>
      </c>
      <c r="D1462" t="s">
        <v>9</v>
      </c>
      <c r="E1462">
        <v>4000</v>
      </c>
      <c r="F1462">
        <v>0</v>
      </c>
    </row>
    <row r="1463" spans="1:6" x14ac:dyDescent="0.3">
      <c r="A1463" t="s">
        <v>1510</v>
      </c>
      <c r="B1463" t="s">
        <v>34</v>
      </c>
      <c r="C1463">
        <v>2011</v>
      </c>
      <c r="D1463" t="s">
        <v>9</v>
      </c>
      <c r="E1463">
        <v>5000</v>
      </c>
      <c r="F1463">
        <v>0</v>
      </c>
    </row>
    <row r="1464" spans="1:6" x14ac:dyDescent="0.3">
      <c r="A1464" t="s">
        <v>1511</v>
      </c>
      <c r="B1464" t="s">
        <v>34</v>
      </c>
      <c r="C1464">
        <v>2011</v>
      </c>
      <c r="D1464" t="s">
        <v>9</v>
      </c>
      <c r="E1464">
        <v>91692</v>
      </c>
      <c r="F1464">
        <v>0</v>
      </c>
    </row>
    <row r="1465" spans="1:6" x14ac:dyDescent="0.3">
      <c r="A1465" t="s">
        <v>1512</v>
      </c>
      <c r="B1465" t="s">
        <v>34</v>
      </c>
      <c r="C1465">
        <v>2012</v>
      </c>
      <c r="D1465" t="s">
        <v>9</v>
      </c>
      <c r="E1465">
        <v>280670</v>
      </c>
      <c r="F1465">
        <v>100000</v>
      </c>
    </row>
    <row r="1466" spans="1:6" x14ac:dyDescent="0.3">
      <c r="A1466" t="s">
        <v>1513</v>
      </c>
      <c r="B1466" t="s">
        <v>34</v>
      </c>
      <c r="C1466">
        <v>2013</v>
      </c>
      <c r="D1466" t="s">
        <v>9</v>
      </c>
      <c r="E1466">
        <v>100020</v>
      </c>
      <c r="F1466">
        <v>36000</v>
      </c>
    </row>
    <row r="1467" spans="1:6" x14ac:dyDescent="0.3">
      <c r="A1467" t="s">
        <v>1514</v>
      </c>
      <c r="B1467" t="s">
        <v>34</v>
      </c>
      <c r="C1467">
        <v>2013</v>
      </c>
      <c r="D1467" t="s">
        <v>9</v>
      </c>
      <c r="E1467">
        <v>5000</v>
      </c>
      <c r="F1467">
        <v>0</v>
      </c>
    </row>
    <row r="1468" spans="1:6" x14ac:dyDescent="0.3">
      <c r="A1468" t="s">
        <v>1515</v>
      </c>
      <c r="B1468" t="s">
        <v>34</v>
      </c>
      <c r="C1468">
        <v>2013</v>
      </c>
      <c r="D1468" t="s">
        <v>9</v>
      </c>
      <c r="E1468">
        <v>10780</v>
      </c>
      <c r="F1468">
        <v>0</v>
      </c>
    </row>
    <row r="1469" spans="1:6" x14ac:dyDescent="0.3">
      <c r="A1469" t="s">
        <v>1516</v>
      </c>
      <c r="B1469" t="s">
        <v>34</v>
      </c>
      <c r="C1469">
        <v>2013</v>
      </c>
      <c r="D1469" t="s">
        <v>9</v>
      </c>
      <c r="E1469">
        <v>0</v>
      </c>
      <c r="F1469">
        <v>0</v>
      </c>
    </row>
    <row r="1470" spans="1:6" x14ac:dyDescent="0.3">
      <c r="A1470" t="s">
        <v>1517</v>
      </c>
      <c r="B1470" t="s">
        <v>34</v>
      </c>
      <c r="C1470">
        <v>2014</v>
      </c>
      <c r="D1470" t="s">
        <v>7</v>
      </c>
      <c r="E1470">
        <v>1600000</v>
      </c>
      <c r="F1470">
        <v>0</v>
      </c>
    </row>
    <row r="1471" spans="1:6" x14ac:dyDescent="0.3">
      <c r="A1471" t="s">
        <v>1518</v>
      </c>
      <c r="B1471" t="s">
        <v>34</v>
      </c>
      <c r="C1471">
        <v>2015</v>
      </c>
      <c r="D1471" t="s">
        <v>9</v>
      </c>
      <c r="E1471">
        <v>1500</v>
      </c>
      <c r="F1471">
        <v>0</v>
      </c>
    </row>
    <row r="1472" spans="1:6" x14ac:dyDescent="0.3">
      <c r="A1472" t="s">
        <v>1519</v>
      </c>
      <c r="B1472" t="s">
        <v>34</v>
      </c>
      <c r="C1472">
        <v>2015</v>
      </c>
      <c r="D1472" t="s">
        <v>9</v>
      </c>
      <c r="E1472">
        <v>3000</v>
      </c>
      <c r="F1472">
        <v>0</v>
      </c>
    </row>
    <row r="1473" spans="1:6" x14ac:dyDescent="0.3">
      <c r="A1473" t="s">
        <v>1520</v>
      </c>
      <c r="B1473" t="s">
        <v>34</v>
      </c>
      <c r="C1473">
        <v>2015</v>
      </c>
      <c r="D1473" t="s">
        <v>9</v>
      </c>
      <c r="E1473">
        <v>240799</v>
      </c>
      <c r="F1473">
        <v>0</v>
      </c>
    </row>
    <row r="1474" spans="1:6" x14ac:dyDescent="0.3">
      <c r="A1474" t="s">
        <v>1521</v>
      </c>
      <c r="B1474" t="s">
        <v>34</v>
      </c>
      <c r="C1474">
        <v>2016</v>
      </c>
      <c r="D1474" t="s">
        <v>7</v>
      </c>
      <c r="E1474">
        <v>3400000</v>
      </c>
      <c r="F1474">
        <v>0</v>
      </c>
    </row>
    <row r="1475" spans="1:6" x14ac:dyDescent="0.3">
      <c r="A1475" t="s">
        <v>1522</v>
      </c>
      <c r="B1475" t="s">
        <v>34</v>
      </c>
      <c r="C1475">
        <v>2016</v>
      </c>
      <c r="D1475" t="s">
        <v>9</v>
      </c>
      <c r="E1475">
        <v>1000</v>
      </c>
      <c r="F1475">
        <v>0</v>
      </c>
    </row>
    <row r="1476" spans="1:6" x14ac:dyDescent="0.3">
      <c r="A1476" t="s">
        <v>1523</v>
      </c>
      <c r="B1476" t="s">
        <v>34</v>
      </c>
      <c r="C1476">
        <v>2016</v>
      </c>
      <c r="D1476" t="s">
        <v>9</v>
      </c>
      <c r="E1476">
        <v>10000</v>
      </c>
      <c r="F1476">
        <v>0</v>
      </c>
    </row>
    <row r="1477" spans="1:6" x14ac:dyDescent="0.3">
      <c r="A1477" t="s">
        <v>1524</v>
      </c>
      <c r="B1477" t="s">
        <v>34</v>
      </c>
      <c r="C1477">
        <v>2017</v>
      </c>
      <c r="D1477" t="s">
        <v>9</v>
      </c>
      <c r="E1477">
        <v>25000</v>
      </c>
      <c r="F1477">
        <v>0</v>
      </c>
    </row>
    <row r="1478" spans="1:6" x14ac:dyDescent="0.3">
      <c r="A1478" t="s">
        <v>1525</v>
      </c>
      <c r="B1478" t="s">
        <v>34</v>
      </c>
      <c r="C1478">
        <v>2018</v>
      </c>
      <c r="D1478" t="s">
        <v>9</v>
      </c>
      <c r="E1478">
        <v>0</v>
      </c>
      <c r="F1478">
        <v>0</v>
      </c>
    </row>
    <row r="1479" spans="1:6" x14ac:dyDescent="0.3">
      <c r="A1479" t="s">
        <v>1526</v>
      </c>
      <c r="B1479" t="s">
        <v>34</v>
      </c>
      <c r="C1479">
        <v>2018</v>
      </c>
      <c r="D1479" t="s">
        <v>9</v>
      </c>
      <c r="E1479">
        <v>211188</v>
      </c>
      <c r="F1479">
        <v>350000</v>
      </c>
    </row>
    <row r="1480" spans="1:6" x14ac:dyDescent="0.3">
      <c r="A1480" t="s">
        <v>1527</v>
      </c>
      <c r="B1480" t="s">
        <v>34</v>
      </c>
      <c r="C1480">
        <v>2018</v>
      </c>
      <c r="D1480" t="s">
        <v>9</v>
      </c>
      <c r="E1480">
        <v>0</v>
      </c>
      <c r="F1480">
        <v>0</v>
      </c>
    </row>
    <row r="1481" spans="1:6" x14ac:dyDescent="0.3">
      <c r="A1481" t="s">
        <v>1528</v>
      </c>
      <c r="B1481" t="s">
        <v>34</v>
      </c>
      <c r="C1481">
        <v>2019</v>
      </c>
      <c r="D1481" t="s">
        <v>7</v>
      </c>
      <c r="E1481">
        <v>2600000</v>
      </c>
      <c r="F1481">
        <v>0</v>
      </c>
    </row>
    <row r="1482" spans="1:6" x14ac:dyDescent="0.3">
      <c r="A1482" t="s">
        <v>1529</v>
      </c>
      <c r="B1482" t="s">
        <v>34</v>
      </c>
      <c r="C1482">
        <v>2019</v>
      </c>
      <c r="D1482" t="s">
        <v>9</v>
      </c>
      <c r="E1482">
        <v>233339</v>
      </c>
      <c r="F1482">
        <v>0</v>
      </c>
    </row>
    <row r="1483" spans="1:6" x14ac:dyDescent="0.3">
      <c r="A1483" t="s">
        <v>1530</v>
      </c>
      <c r="B1483" t="s">
        <v>34</v>
      </c>
      <c r="C1483">
        <v>2020</v>
      </c>
      <c r="D1483" t="s">
        <v>7</v>
      </c>
      <c r="E1483">
        <v>4500000</v>
      </c>
      <c r="F1483">
        <v>250000</v>
      </c>
    </row>
    <row r="1484" spans="1:6" x14ac:dyDescent="0.3">
      <c r="A1484" t="s">
        <v>1531</v>
      </c>
      <c r="B1484" t="s">
        <v>34</v>
      </c>
      <c r="C1484">
        <v>2020</v>
      </c>
      <c r="D1484" t="s">
        <v>9</v>
      </c>
      <c r="E1484">
        <v>810655</v>
      </c>
      <c r="F1484">
        <v>10000</v>
      </c>
    </row>
    <row r="1485" spans="1:6" x14ac:dyDescent="0.3">
      <c r="A1485" t="s">
        <v>1532</v>
      </c>
      <c r="B1485" t="s">
        <v>34</v>
      </c>
      <c r="C1485">
        <v>2021</v>
      </c>
      <c r="D1485" t="s">
        <v>9</v>
      </c>
      <c r="E1485">
        <v>300000</v>
      </c>
      <c r="F1485">
        <v>0</v>
      </c>
    </row>
    <row r="1486" spans="1:6" x14ac:dyDescent="0.3">
      <c r="A1486" t="s">
        <v>1533</v>
      </c>
      <c r="B1486" t="s">
        <v>34</v>
      </c>
      <c r="C1486">
        <v>2023</v>
      </c>
      <c r="D1486" t="s">
        <v>9</v>
      </c>
      <c r="E1486">
        <v>139164</v>
      </c>
      <c r="F1486">
        <v>0</v>
      </c>
    </row>
    <row r="1487" spans="1:6" x14ac:dyDescent="0.3">
      <c r="A1487" t="s">
        <v>1534</v>
      </c>
      <c r="B1487" t="s">
        <v>34</v>
      </c>
      <c r="C1487">
        <v>2023</v>
      </c>
      <c r="D1487" t="s">
        <v>9</v>
      </c>
      <c r="E1487">
        <v>22500</v>
      </c>
      <c r="F1487">
        <v>0</v>
      </c>
    </row>
    <row r="1488" spans="1:6" x14ac:dyDescent="0.3">
      <c r="A1488" t="s">
        <v>1535</v>
      </c>
      <c r="B1488" t="s">
        <v>34</v>
      </c>
      <c r="C1488">
        <v>2023</v>
      </c>
      <c r="D1488" t="s">
        <v>9</v>
      </c>
      <c r="E1488">
        <v>695497</v>
      </c>
      <c r="F1488">
        <v>0</v>
      </c>
    </row>
    <row r="1489" spans="1:6" x14ac:dyDescent="0.3">
      <c r="A1489" t="s">
        <v>1536</v>
      </c>
      <c r="B1489" t="s">
        <v>34</v>
      </c>
      <c r="C1489">
        <v>2024</v>
      </c>
      <c r="D1489" t="s">
        <v>9</v>
      </c>
      <c r="E1489">
        <v>306708</v>
      </c>
      <c r="F1489">
        <v>0</v>
      </c>
    </row>
    <row r="1490" spans="1:6" x14ac:dyDescent="0.3">
      <c r="A1490" t="s">
        <v>1537</v>
      </c>
      <c r="B1490" t="s">
        <v>34</v>
      </c>
      <c r="C1490">
        <v>2024</v>
      </c>
      <c r="D1490" t="s">
        <v>9</v>
      </c>
      <c r="E1490">
        <v>15002</v>
      </c>
      <c r="F1490">
        <v>0</v>
      </c>
    </row>
    <row r="1491" spans="1:6" x14ac:dyDescent="0.3">
      <c r="A1491" t="s">
        <v>1538</v>
      </c>
      <c r="B1491" t="s">
        <v>34</v>
      </c>
      <c r="C1491">
        <v>2024</v>
      </c>
      <c r="D1491" t="s">
        <v>9</v>
      </c>
      <c r="E1491">
        <v>0</v>
      </c>
      <c r="F1491">
        <v>0</v>
      </c>
    </row>
    <row r="1492" spans="1:6" x14ac:dyDescent="0.3">
      <c r="A1492" t="s">
        <v>1539</v>
      </c>
      <c r="B1492" t="s">
        <v>34</v>
      </c>
      <c r="C1492">
        <v>2024</v>
      </c>
      <c r="D1492" t="s">
        <v>9</v>
      </c>
      <c r="E1492">
        <v>3970</v>
      </c>
      <c r="F1492">
        <v>0</v>
      </c>
    </row>
    <row r="1493" spans="1:6" x14ac:dyDescent="0.3">
      <c r="A1493" t="s">
        <v>1540</v>
      </c>
      <c r="B1493" t="s">
        <v>48</v>
      </c>
      <c r="C1493">
        <v>2005</v>
      </c>
      <c r="D1493" t="s">
        <v>9</v>
      </c>
      <c r="E1493">
        <v>2050</v>
      </c>
      <c r="F1493">
        <v>2660</v>
      </c>
    </row>
    <row r="1494" spans="1:6" x14ac:dyDescent="0.3">
      <c r="A1494" t="s">
        <v>1541</v>
      </c>
      <c r="B1494" t="s">
        <v>48</v>
      </c>
      <c r="C1494">
        <v>2006</v>
      </c>
      <c r="D1494" t="s">
        <v>14</v>
      </c>
      <c r="E1494">
        <v>12050</v>
      </c>
      <c r="F1494">
        <v>0</v>
      </c>
    </row>
    <row r="1495" spans="1:6" x14ac:dyDescent="0.3">
      <c r="A1495" t="s">
        <v>1542</v>
      </c>
      <c r="B1495" t="s">
        <v>48</v>
      </c>
      <c r="C1495">
        <v>2006</v>
      </c>
      <c r="D1495" t="s">
        <v>2689</v>
      </c>
      <c r="E1495">
        <v>9075</v>
      </c>
      <c r="F1495">
        <v>0</v>
      </c>
    </row>
    <row r="1496" spans="1:6" x14ac:dyDescent="0.3">
      <c r="A1496" t="s">
        <v>1543</v>
      </c>
      <c r="B1496" t="s">
        <v>48</v>
      </c>
      <c r="C1496">
        <v>2007</v>
      </c>
      <c r="D1496" t="s">
        <v>9</v>
      </c>
      <c r="E1496">
        <v>845</v>
      </c>
      <c r="F1496">
        <v>200</v>
      </c>
    </row>
    <row r="1497" spans="1:6" x14ac:dyDescent="0.3">
      <c r="A1497" t="s">
        <v>1544</v>
      </c>
      <c r="B1497" t="s">
        <v>48</v>
      </c>
      <c r="C1497">
        <v>2008</v>
      </c>
      <c r="D1497" t="s">
        <v>14</v>
      </c>
      <c r="E1497">
        <v>3000</v>
      </c>
      <c r="F1497">
        <v>0</v>
      </c>
    </row>
    <row r="1498" spans="1:6" x14ac:dyDescent="0.3">
      <c r="A1498" t="s">
        <v>1545</v>
      </c>
      <c r="B1498" t="s">
        <v>48</v>
      </c>
      <c r="C1498">
        <v>2008</v>
      </c>
      <c r="D1498" t="s">
        <v>14</v>
      </c>
      <c r="E1498">
        <v>1197</v>
      </c>
      <c r="F1498">
        <v>0</v>
      </c>
    </row>
    <row r="1499" spans="1:6" x14ac:dyDescent="0.3">
      <c r="A1499" t="s">
        <v>1546</v>
      </c>
      <c r="B1499" t="s">
        <v>48</v>
      </c>
      <c r="C1499">
        <v>2009</v>
      </c>
      <c r="D1499" t="s">
        <v>7</v>
      </c>
      <c r="E1499">
        <v>2000000</v>
      </c>
      <c r="F1499">
        <v>0</v>
      </c>
    </row>
    <row r="1500" spans="1:6" x14ac:dyDescent="0.3">
      <c r="A1500" t="s">
        <v>1547</v>
      </c>
      <c r="B1500" t="s">
        <v>48</v>
      </c>
      <c r="C1500">
        <v>2011</v>
      </c>
      <c r="D1500" t="s">
        <v>14</v>
      </c>
      <c r="E1500">
        <v>0</v>
      </c>
      <c r="F1500">
        <v>0</v>
      </c>
    </row>
    <row r="1501" spans="1:6" x14ac:dyDescent="0.3">
      <c r="A1501" t="s">
        <v>1548</v>
      </c>
      <c r="B1501" t="s">
        <v>48</v>
      </c>
      <c r="C1501">
        <v>2012</v>
      </c>
      <c r="D1501" t="s">
        <v>9</v>
      </c>
      <c r="E1501">
        <v>11000</v>
      </c>
      <c r="F1501">
        <v>0</v>
      </c>
    </row>
    <row r="1502" spans="1:6" x14ac:dyDescent="0.3">
      <c r="A1502" t="s">
        <v>1549</v>
      </c>
      <c r="B1502" t="s">
        <v>48</v>
      </c>
      <c r="C1502">
        <v>2014</v>
      </c>
      <c r="D1502" t="s">
        <v>2689</v>
      </c>
      <c r="E1502">
        <v>0</v>
      </c>
      <c r="F1502">
        <v>0</v>
      </c>
    </row>
    <row r="1503" spans="1:6" x14ac:dyDescent="0.3">
      <c r="A1503" t="s">
        <v>1550</v>
      </c>
      <c r="B1503" t="s">
        <v>48</v>
      </c>
      <c r="C1503">
        <v>2015</v>
      </c>
      <c r="D1503" t="s">
        <v>14</v>
      </c>
      <c r="E1503">
        <v>16780</v>
      </c>
      <c r="F1503">
        <v>12000</v>
      </c>
    </row>
    <row r="1504" spans="1:6" x14ac:dyDescent="0.3">
      <c r="A1504" t="s">
        <v>1551</v>
      </c>
      <c r="B1504" t="s">
        <v>48</v>
      </c>
      <c r="C1504">
        <v>2017</v>
      </c>
      <c r="D1504" t="s">
        <v>14</v>
      </c>
      <c r="E1504">
        <v>5000</v>
      </c>
      <c r="F1504">
        <v>0</v>
      </c>
    </row>
    <row r="1505" spans="1:6" x14ac:dyDescent="0.3">
      <c r="A1505" t="s">
        <v>1552</v>
      </c>
      <c r="B1505" t="s">
        <v>48</v>
      </c>
      <c r="C1505">
        <v>2024</v>
      </c>
      <c r="D1505" t="s">
        <v>9</v>
      </c>
      <c r="E1505">
        <v>103901</v>
      </c>
      <c r="F1505">
        <v>0</v>
      </c>
    </row>
    <row r="1506" spans="1:6" x14ac:dyDescent="0.3">
      <c r="A1506" t="s">
        <v>1553</v>
      </c>
      <c r="B1506" t="s">
        <v>48</v>
      </c>
      <c r="C1506">
        <v>2024</v>
      </c>
      <c r="D1506" t="s">
        <v>9</v>
      </c>
      <c r="E1506">
        <v>500</v>
      </c>
      <c r="F1506">
        <v>0</v>
      </c>
    </row>
    <row r="1507" spans="1:6" x14ac:dyDescent="0.3">
      <c r="A1507" t="s">
        <v>1554</v>
      </c>
      <c r="B1507" t="s">
        <v>48</v>
      </c>
      <c r="C1507">
        <v>2024</v>
      </c>
      <c r="D1507" t="s">
        <v>9</v>
      </c>
      <c r="E1507">
        <v>3000</v>
      </c>
      <c r="F1507">
        <v>0</v>
      </c>
    </row>
    <row r="1508" spans="1:6" x14ac:dyDescent="0.3">
      <c r="A1508" t="s">
        <v>1555</v>
      </c>
      <c r="B1508" t="s">
        <v>22</v>
      </c>
      <c r="C1508">
        <v>2002</v>
      </c>
      <c r="D1508" t="s">
        <v>7</v>
      </c>
      <c r="E1508">
        <v>600000</v>
      </c>
      <c r="F1508">
        <v>0</v>
      </c>
    </row>
    <row r="1509" spans="1:6" x14ac:dyDescent="0.3">
      <c r="A1509" t="s">
        <v>1556</v>
      </c>
      <c r="B1509" t="s">
        <v>22</v>
      </c>
      <c r="C1509">
        <v>2002</v>
      </c>
      <c r="D1509" t="s">
        <v>2689</v>
      </c>
      <c r="E1509">
        <v>1900</v>
      </c>
      <c r="F1509">
        <v>181</v>
      </c>
    </row>
    <row r="1510" spans="1:6" x14ac:dyDescent="0.3">
      <c r="A1510" t="s">
        <v>1557</v>
      </c>
      <c r="B1510" t="s">
        <v>22</v>
      </c>
      <c r="C1510">
        <v>2002</v>
      </c>
      <c r="D1510" t="s">
        <v>2689</v>
      </c>
      <c r="E1510">
        <v>526200</v>
      </c>
      <c r="F1510">
        <v>0</v>
      </c>
    </row>
    <row r="1511" spans="1:6" x14ac:dyDescent="0.3">
      <c r="A1511" t="s">
        <v>1558</v>
      </c>
      <c r="B1511" t="s">
        <v>22</v>
      </c>
      <c r="C1511">
        <v>2003</v>
      </c>
      <c r="D1511" t="s">
        <v>9</v>
      </c>
      <c r="E1511">
        <v>23370</v>
      </c>
      <c r="F1511">
        <v>150000</v>
      </c>
    </row>
    <row r="1512" spans="1:6" x14ac:dyDescent="0.3">
      <c r="A1512" t="s">
        <v>1559</v>
      </c>
      <c r="B1512" t="s">
        <v>22</v>
      </c>
      <c r="C1512">
        <v>2003</v>
      </c>
      <c r="D1512" t="s">
        <v>2689</v>
      </c>
      <c r="E1512">
        <v>500</v>
      </c>
      <c r="F1512">
        <v>0</v>
      </c>
    </row>
    <row r="1513" spans="1:6" x14ac:dyDescent="0.3">
      <c r="A1513" t="s">
        <v>1560</v>
      </c>
      <c r="B1513" t="s">
        <v>22</v>
      </c>
      <c r="C1513">
        <v>2003</v>
      </c>
      <c r="D1513" t="s">
        <v>2689</v>
      </c>
      <c r="E1513">
        <v>162086</v>
      </c>
      <c r="F1513">
        <v>0</v>
      </c>
    </row>
    <row r="1514" spans="1:6" x14ac:dyDescent="0.3">
      <c r="A1514" t="s">
        <v>1561</v>
      </c>
      <c r="B1514" t="s">
        <v>22</v>
      </c>
      <c r="C1514">
        <v>2003</v>
      </c>
      <c r="D1514" t="s">
        <v>2689</v>
      </c>
      <c r="E1514">
        <v>164</v>
      </c>
      <c r="F1514">
        <v>0</v>
      </c>
    </row>
    <row r="1515" spans="1:6" x14ac:dyDescent="0.3">
      <c r="A1515" t="s">
        <v>1562</v>
      </c>
      <c r="B1515" t="s">
        <v>22</v>
      </c>
      <c r="C1515">
        <v>2004</v>
      </c>
      <c r="D1515" t="s">
        <v>2689</v>
      </c>
      <c r="E1515">
        <v>44290</v>
      </c>
      <c r="F1515">
        <v>0</v>
      </c>
    </row>
    <row r="1516" spans="1:6" x14ac:dyDescent="0.3">
      <c r="A1516" t="s">
        <v>1563</v>
      </c>
      <c r="B1516" t="s">
        <v>22</v>
      </c>
      <c r="C1516">
        <v>2004</v>
      </c>
      <c r="D1516" t="s">
        <v>2689</v>
      </c>
      <c r="E1516">
        <v>988139</v>
      </c>
      <c r="F1516">
        <v>250000</v>
      </c>
    </row>
    <row r="1517" spans="1:6" x14ac:dyDescent="0.3">
      <c r="A1517" t="s">
        <v>1564</v>
      </c>
      <c r="B1517" t="s">
        <v>22</v>
      </c>
      <c r="C1517">
        <v>2005</v>
      </c>
      <c r="D1517" t="s">
        <v>7</v>
      </c>
      <c r="E1517">
        <v>14000</v>
      </c>
      <c r="F1517">
        <v>0</v>
      </c>
    </row>
    <row r="1518" spans="1:6" x14ac:dyDescent="0.3">
      <c r="A1518" t="s">
        <v>1565</v>
      </c>
      <c r="B1518" t="s">
        <v>22</v>
      </c>
      <c r="C1518">
        <v>2005</v>
      </c>
      <c r="D1518" t="s">
        <v>9</v>
      </c>
      <c r="E1518">
        <v>58717</v>
      </c>
      <c r="F1518">
        <v>0</v>
      </c>
    </row>
    <row r="1519" spans="1:6" x14ac:dyDescent="0.3">
      <c r="A1519" t="s">
        <v>1566</v>
      </c>
      <c r="B1519" t="s">
        <v>22</v>
      </c>
      <c r="C1519">
        <v>2005</v>
      </c>
      <c r="D1519" t="s">
        <v>9</v>
      </c>
      <c r="E1519">
        <v>900</v>
      </c>
      <c r="F1519">
        <v>0</v>
      </c>
    </row>
    <row r="1520" spans="1:6" x14ac:dyDescent="0.3">
      <c r="A1520" t="s">
        <v>1567</v>
      </c>
      <c r="B1520" t="s">
        <v>22</v>
      </c>
      <c r="C1520">
        <v>2005</v>
      </c>
      <c r="D1520" t="s">
        <v>2689</v>
      </c>
      <c r="E1520">
        <v>7985</v>
      </c>
      <c r="F1520">
        <v>0</v>
      </c>
    </row>
    <row r="1521" spans="1:6" x14ac:dyDescent="0.3">
      <c r="A1521" t="s">
        <v>1568</v>
      </c>
      <c r="B1521" t="s">
        <v>22</v>
      </c>
      <c r="C1521">
        <v>2006</v>
      </c>
      <c r="D1521" t="s">
        <v>2689</v>
      </c>
      <c r="E1521">
        <v>6212</v>
      </c>
      <c r="F1521">
        <v>0</v>
      </c>
    </row>
    <row r="1522" spans="1:6" x14ac:dyDescent="0.3">
      <c r="A1522" t="s">
        <v>1569</v>
      </c>
      <c r="B1522" t="s">
        <v>22</v>
      </c>
      <c r="C1522">
        <v>2006</v>
      </c>
      <c r="D1522" t="s">
        <v>2689</v>
      </c>
      <c r="E1522">
        <v>304</v>
      </c>
      <c r="F1522">
        <v>0</v>
      </c>
    </row>
    <row r="1523" spans="1:6" x14ac:dyDescent="0.3">
      <c r="A1523" t="s">
        <v>1570</v>
      </c>
      <c r="B1523" t="s">
        <v>22</v>
      </c>
      <c r="C1523">
        <v>2007</v>
      </c>
      <c r="D1523" t="s">
        <v>9</v>
      </c>
      <c r="E1523">
        <v>33000</v>
      </c>
      <c r="F1523">
        <v>0</v>
      </c>
    </row>
    <row r="1524" spans="1:6" x14ac:dyDescent="0.3">
      <c r="A1524" t="s">
        <v>1571</v>
      </c>
      <c r="B1524" t="s">
        <v>22</v>
      </c>
      <c r="C1524">
        <v>2007</v>
      </c>
      <c r="D1524" t="s">
        <v>2689</v>
      </c>
      <c r="E1524">
        <v>7313</v>
      </c>
      <c r="F1524">
        <v>0</v>
      </c>
    </row>
    <row r="1525" spans="1:6" x14ac:dyDescent="0.3">
      <c r="A1525" t="s">
        <v>1572</v>
      </c>
      <c r="B1525" t="s">
        <v>22</v>
      </c>
      <c r="C1525">
        <v>2007</v>
      </c>
      <c r="D1525" t="s">
        <v>2689</v>
      </c>
      <c r="E1525">
        <v>215198</v>
      </c>
      <c r="F1525">
        <v>240000</v>
      </c>
    </row>
    <row r="1526" spans="1:6" x14ac:dyDescent="0.3">
      <c r="A1526" t="s">
        <v>1573</v>
      </c>
      <c r="B1526" t="s">
        <v>22</v>
      </c>
      <c r="C1526">
        <v>2008</v>
      </c>
      <c r="D1526" t="s">
        <v>7</v>
      </c>
      <c r="E1526">
        <v>720000</v>
      </c>
      <c r="F1526">
        <v>0</v>
      </c>
    </row>
    <row r="1527" spans="1:6" x14ac:dyDescent="0.3">
      <c r="A1527" t="s">
        <v>1574</v>
      </c>
      <c r="B1527" t="s">
        <v>22</v>
      </c>
      <c r="C1527">
        <v>2008</v>
      </c>
      <c r="D1527" t="s">
        <v>2689</v>
      </c>
      <c r="E1527">
        <v>8613</v>
      </c>
      <c r="F1527">
        <v>0</v>
      </c>
    </row>
    <row r="1528" spans="1:6" x14ac:dyDescent="0.3">
      <c r="A1528" t="s">
        <v>1575</v>
      </c>
      <c r="B1528" t="s">
        <v>22</v>
      </c>
      <c r="C1528">
        <v>2008</v>
      </c>
      <c r="D1528" t="s">
        <v>2689</v>
      </c>
      <c r="E1528">
        <v>524153</v>
      </c>
      <c r="F1528">
        <v>60000</v>
      </c>
    </row>
    <row r="1529" spans="1:6" x14ac:dyDescent="0.3">
      <c r="A1529" t="s">
        <v>1576</v>
      </c>
      <c r="B1529" t="s">
        <v>22</v>
      </c>
      <c r="C1529">
        <v>2008</v>
      </c>
      <c r="D1529" t="s">
        <v>2689</v>
      </c>
      <c r="E1529">
        <v>400</v>
      </c>
      <c r="F1529">
        <v>0</v>
      </c>
    </row>
    <row r="1530" spans="1:6" x14ac:dyDescent="0.3">
      <c r="A1530" t="s">
        <v>1577</v>
      </c>
      <c r="B1530" t="s">
        <v>22</v>
      </c>
      <c r="C1530">
        <v>2009</v>
      </c>
      <c r="D1530" t="s">
        <v>2689</v>
      </c>
      <c r="E1530">
        <v>62505</v>
      </c>
      <c r="F1530">
        <v>0</v>
      </c>
    </row>
    <row r="1531" spans="1:6" x14ac:dyDescent="0.3">
      <c r="A1531" t="s">
        <v>1578</v>
      </c>
      <c r="B1531" t="s">
        <v>22</v>
      </c>
      <c r="C1531">
        <v>2009</v>
      </c>
      <c r="D1531" t="s">
        <v>2689</v>
      </c>
      <c r="E1531">
        <v>3376</v>
      </c>
      <c r="F1531">
        <v>0</v>
      </c>
    </row>
    <row r="1532" spans="1:6" x14ac:dyDescent="0.3">
      <c r="A1532" t="s">
        <v>1579</v>
      </c>
      <c r="B1532" t="s">
        <v>22</v>
      </c>
      <c r="C1532">
        <v>2009</v>
      </c>
      <c r="D1532" t="s">
        <v>2689</v>
      </c>
      <c r="E1532">
        <v>64918</v>
      </c>
      <c r="F1532">
        <v>5000</v>
      </c>
    </row>
    <row r="1533" spans="1:6" x14ac:dyDescent="0.3">
      <c r="A1533" t="s">
        <v>1580</v>
      </c>
      <c r="B1533" t="s">
        <v>22</v>
      </c>
      <c r="C1533">
        <v>2010</v>
      </c>
      <c r="D1533" t="s">
        <v>2689</v>
      </c>
      <c r="E1533">
        <v>192132</v>
      </c>
      <c r="F1533">
        <v>0</v>
      </c>
    </row>
    <row r="1534" spans="1:6" x14ac:dyDescent="0.3">
      <c r="A1534" t="s">
        <v>1581</v>
      </c>
      <c r="B1534" t="s">
        <v>22</v>
      </c>
      <c r="C1534">
        <v>2011</v>
      </c>
      <c r="D1534" t="s">
        <v>2689</v>
      </c>
      <c r="E1534">
        <v>115215</v>
      </c>
      <c r="F1534">
        <v>0</v>
      </c>
    </row>
    <row r="1535" spans="1:6" x14ac:dyDescent="0.3">
      <c r="A1535" t="s">
        <v>1582</v>
      </c>
      <c r="B1535" t="s">
        <v>22</v>
      </c>
      <c r="C1535">
        <v>2012</v>
      </c>
      <c r="D1535" t="s">
        <v>2689</v>
      </c>
      <c r="E1535">
        <v>300</v>
      </c>
      <c r="F1535">
        <v>0</v>
      </c>
    </row>
    <row r="1536" spans="1:6" x14ac:dyDescent="0.3">
      <c r="A1536" t="s">
        <v>1583</v>
      </c>
      <c r="B1536" t="s">
        <v>22</v>
      </c>
      <c r="C1536">
        <v>2012</v>
      </c>
      <c r="D1536" t="s">
        <v>2689</v>
      </c>
      <c r="E1536">
        <v>250284</v>
      </c>
      <c r="F1536">
        <v>100000</v>
      </c>
    </row>
    <row r="1537" spans="1:6" x14ac:dyDescent="0.3">
      <c r="A1537" t="s">
        <v>1584</v>
      </c>
      <c r="B1537" t="s">
        <v>22</v>
      </c>
      <c r="C1537">
        <v>2012</v>
      </c>
      <c r="D1537" t="s">
        <v>2689</v>
      </c>
      <c r="E1537">
        <v>85015</v>
      </c>
      <c r="F1537">
        <v>0</v>
      </c>
    </row>
    <row r="1538" spans="1:6" x14ac:dyDescent="0.3">
      <c r="A1538" t="s">
        <v>1585</v>
      </c>
      <c r="B1538" t="s">
        <v>22</v>
      </c>
      <c r="C1538">
        <v>2013</v>
      </c>
      <c r="D1538" t="s">
        <v>2689</v>
      </c>
      <c r="E1538">
        <v>4598</v>
      </c>
      <c r="F1538">
        <v>0</v>
      </c>
    </row>
    <row r="1539" spans="1:6" x14ac:dyDescent="0.3">
      <c r="A1539" t="s">
        <v>1586</v>
      </c>
      <c r="B1539" t="s">
        <v>22</v>
      </c>
      <c r="C1539">
        <v>2013</v>
      </c>
      <c r="D1539" t="s">
        <v>2689</v>
      </c>
      <c r="E1539">
        <v>40281</v>
      </c>
      <c r="F1539">
        <v>25000</v>
      </c>
    </row>
    <row r="1540" spans="1:6" x14ac:dyDescent="0.3">
      <c r="A1540" t="s">
        <v>1587</v>
      </c>
      <c r="B1540" t="s">
        <v>22</v>
      </c>
      <c r="C1540">
        <v>2014</v>
      </c>
      <c r="D1540" t="s">
        <v>7</v>
      </c>
      <c r="E1540">
        <v>20000</v>
      </c>
      <c r="F1540">
        <v>0</v>
      </c>
    </row>
    <row r="1541" spans="1:6" x14ac:dyDescent="0.3">
      <c r="A1541" t="s">
        <v>1588</v>
      </c>
      <c r="B1541" t="s">
        <v>22</v>
      </c>
      <c r="C1541">
        <v>2014</v>
      </c>
      <c r="D1541" t="s">
        <v>2689</v>
      </c>
      <c r="E1541">
        <v>1736</v>
      </c>
      <c r="F1541">
        <v>0</v>
      </c>
    </row>
    <row r="1542" spans="1:6" x14ac:dyDescent="0.3">
      <c r="A1542" t="s">
        <v>1589</v>
      </c>
      <c r="B1542" t="s">
        <v>22</v>
      </c>
      <c r="C1542">
        <v>2015</v>
      </c>
      <c r="D1542" t="s">
        <v>9</v>
      </c>
      <c r="E1542">
        <v>24000</v>
      </c>
      <c r="F1542">
        <v>0</v>
      </c>
    </row>
    <row r="1543" spans="1:6" x14ac:dyDescent="0.3">
      <c r="A1543" t="s">
        <v>1590</v>
      </c>
      <c r="B1543" t="s">
        <v>22</v>
      </c>
      <c r="C1543">
        <v>2015</v>
      </c>
      <c r="D1543" t="s">
        <v>2689</v>
      </c>
      <c r="E1543">
        <v>174007</v>
      </c>
      <c r="F1543">
        <v>36000</v>
      </c>
    </row>
    <row r="1544" spans="1:6" x14ac:dyDescent="0.3">
      <c r="A1544" t="s">
        <v>1591</v>
      </c>
      <c r="B1544" t="s">
        <v>22</v>
      </c>
      <c r="C1544">
        <v>2015</v>
      </c>
      <c r="D1544" t="s">
        <v>2689</v>
      </c>
      <c r="E1544">
        <v>36880</v>
      </c>
      <c r="F1544">
        <v>10000</v>
      </c>
    </row>
    <row r="1545" spans="1:6" x14ac:dyDescent="0.3">
      <c r="A1545" t="s">
        <v>1592</v>
      </c>
      <c r="B1545" t="s">
        <v>22</v>
      </c>
      <c r="C1545">
        <v>2016</v>
      </c>
      <c r="D1545" t="s">
        <v>7</v>
      </c>
      <c r="E1545">
        <v>1140000</v>
      </c>
      <c r="F1545">
        <v>0</v>
      </c>
    </row>
    <row r="1546" spans="1:6" x14ac:dyDescent="0.3">
      <c r="A1546" t="s">
        <v>1593</v>
      </c>
      <c r="B1546" t="s">
        <v>22</v>
      </c>
      <c r="C1546">
        <v>2017</v>
      </c>
      <c r="D1546" t="s">
        <v>7</v>
      </c>
      <c r="E1546">
        <v>1260000</v>
      </c>
      <c r="F1546">
        <v>0</v>
      </c>
    </row>
    <row r="1547" spans="1:6" x14ac:dyDescent="0.3">
      <c r="A1547" t="s">
        <v>1594</v>
      </c>
      <c r="B1547" t="s">
        <v>22</v>
      </c>
      <c r="C1547">
        <v>2017</v>
      </c>
      <c r="D1547" t="s">
        <v>2689</v>
      </c>
      <c r="E1547">
        <v>434253</v>
      </c>
      <c r="F1547">
        <v>20000</v>
      </c>
    </row>
    <row r="1548" spans="1:6" x14ac:dyDescent="0.3">
      <c r="A1548" t="s">
        <v>1595</v>
      </c>
      <c r="B1548" t="s">
        <v>22</v>
      </c>
      <c r="C1548">
        <v>2018</v>
      </c>
      <c r="D1548" t="s">
        <v>2689</v>
      </c>
      <c r="E1548">
        <v>161318</v>
      </c>
      <c r="F1548">
        <v>0</v>
      </c>
    </row>
    <row r="1549" spans="1:6" x14ac:dyDescent="0.3">
      <c r="A1549" t="s">
        <v>1596</v>
      </c>
      <c r="B1549" t="s">
        <v>22</v>
      </c>
      <c r="C1549">
        <v>2018</v>
      </c>
      <c r="D1549" t="s">
        <v>2689</v>
      </c>
      <c r="E1549">
        <v>50872</v>
      </c>
      <c r="F1549">
        <v>0</v>
      </c>
    </row>
    <row r="1550" spans="1:6" x14ac:dyDescent="0.3">
      <c r="A1550" t="s">
        <v>1597</v>
      </c>
      <c r="B1550" t="s">
        <v>22</v>
      </c>
      <c r="C1550">
        <v>2019</v>
      </c>
      <c r="D1550" t="s">
        <v>9</v>
      </c>
      <c r="E1550">
        <v>0</v>
      </c>
      <c r="F1550">
        <v>0</v>
      </c>
    </row>
    <row r="1551" spans="1:6" x14ac:dyDescent="0.3">
      <c r="A1551" t="s">
        <v>1598</v>
      </c>
      <c r="B1551" t="s">
        <v>22</v>
      </c>
      <c r="C1551">
        <v>2019</v>
      </c>
      <c r="D1551" t="s">
        <v>2689</v>
      </c>
      <c r="E1551">
        <v>1100</v>
      </c>
      <c r="F1551">
        <v>0</v>
      </c>
    </row>
    <row r="1552" spans="1:6" x14ac:dyDescent="0.3">
      <c r="A1552" t="s">
        <v>1599</v>
      </c>
      <c r="B1552" t="s">
        <v>22</v>
      </c>
      <c r="C1552">
        <v>2019</v>
      </c>
      <c r="D1552" t="s">
        <v>2689</v>
      </c>
      <c r="E1552">
        <v>20293</v>
      </c>
      <c r="F1552">
        <v>25000</v>
      </c>
    </row>
    <row r="1553" spans="1:6" x14ac:dyDescent="0.3">
      <c r="A1553" t="s">
        <v>1600</v>
      </c>
      <c r="B1553" t="s">
        <v>22</v>
      </c>
      <c r="C1553">
        <v>2020</v>
      </c>
      <c r="D1553" t="s">
        <v>7</v>
      </c>
      <c r="E1553">
        <v>1680000</v>
      </c>
      <c r="F1553">
        <v>0</v>
      </c>
    </row>
    <row r="1554" spans="1:6" x14ac:dyDescent="0.3">
      <c r="A1554" t="s">
        <v>1601</v>
      </c>
      <c r="B1554" t="s">
        <v>22</v>
      </c>
      <c r="C1554">
        <v>2020</v>
      </c>
      <c r="D1554" t="s">
        <v>9</v>
      </c>
      <c r="E1554">
        <v>106846</v>
      </c>
      <c r="F1554">
        <v>0</v>
      </c>
    </row>
    <row r="1555" spans="1:6" x14ac:dyDescent="0.3">
      <c r="A1555" t="s">
        <v>1602</v>
      </c>
      <c r="B1555" t="s">
        <v>22</v>
      </c>
      <c r="C1555">
        <v>2020</v>
      </c>
      <c r="D1555" t="s">
        <v>2689</v>
      </c>
      <c r="E1555">
        <v>3200</v>
      </c>
      <c r="F1555">
        <v>0</v>
      </c>
    </row>
    <row r="1556" spans="1:6" x14ac:dyDescent="0.3">
      <c r="A1556" t="s">
        <v>1603</v>
      </c>
      <c r="B1556" t="s">
        <v>22</v>
      </c>
      <c r="C1556">
        <v>2021</v>
      </c>
      <c r="D1556" t="s">
        <v>9</v>
      </c>
      <c r="E1556">
        <v>1400</v>
      </c>
      <c r="F1556">
        <v>0</v>
      </c>
    </row>
    <row r="1557" spans="1:6" x14ac:dyDescent="0.3">
      <c r="A1557" t="s">
        <v>1604</v>
      </c>
      <c r="B1557" t="s">
        <v>22</v>
      </c>
      <c r="C1557">
        <v>2021</v>
      </c>
      <c r="D1557" t="s">
        <v>2689</v>
      </c>
      <c r="E1557">
        <v>1000</v>
      </c>
      <c r="F1557">
        <v>0</v>
      </c>
    </row>
    <row r="1558" spans="1:6" x14ac:dyDescent="0.3">
      <c r="A1558" t="s">
        <v>1605</v>
      </c>
      <c r="B1558" t="s">
        <v>22</v>
      </c>
      <c r="C1558">
        <v>2022</v>
      </c>
      <c r="D1558" t="s">
        <v>9</v>
      </c>
      <c r="E1558">
        <v>62114</v>
      </c>
      <c r="F1558">
        <v>0</v>
      </c>
    </row>
    <row r="1559" spans="1:6" x14ac:dyDescent="0.3">
      <c r="A1559" t="s">
        <v>1606</v>
      </c>
      <c r="B1559" t="s">
        <v>22</v>
      </c>
      <c r="C1559">
        <v>2022</v>
      </c>
      <c r="D1559" t="s">
        <v>2689</v>
      </c>
      <c r="E1559">
        <v>131555</v>
      </c>
      <c r="F1559">
        <v>0</v>
      </c>
    </row>
    <row r="1560" spans="1:6" x14ac:dyDescent="0.3">
      <c r="A1560" t="s">
        <v>1607</v>
      </c>
      <c r="B1560" t="s">
        <v>22</v>
      </c>
      <c r="C1560">
        <v>2022</v>
      </c>
      <c r="D1560" t="s">
        <v>2689</v>
      </c>
      <c r="E1560">
        <v>112115</v>
      </c>
      <c r="F1560">
        <v>0</v>
      </c>
    </row>
    <row r="1561" spans="1:6" x14ac:dyDescent="0.3">
      <c r="A1561" t="s">
        <v>1608</v>
      </c>
      <c r="B1561" t="s">
        <v>22</v>
      </c>
      <c r="C1561">
        <v>2022</v>
      </c>
      <c r="D1561" t="s">
        <v>2689</v>
      </c>
      <c r="E1561">
        <v>9900</v>
      </c>
      <c r="F1561">
        <v>0</v>
      </c>
    </row>
    <row r="1562" spans="1:6" x14ac:dyDescent="0.3">
      <c r="A1562" t="s">
        <v>1609</v>
      </c>
      <c r="B1562" t="s">
        <v>22</v>
      </c>
      <c r="C1562">
        <v>2022</v>
      </c>
      <c r="D1562" t="s">
        <v>2689</v>
      </c>
      <c r="E1562">
        <v>169000</v>
      </c>
      <c r="F1562">
        <v>16000</v>
      </c>
    </row>
    <row r="1563" spans="1:6" x14ac:dyDescent="0.3">
      <c r="A1563" t="s">
        <v>1610</v>
      </c>
      <c r="B1563" t="s">
        <v>22</v>
      </c>
      <c r="C1563">
        <v>2022</v>
      </c>
      <c r="D1563" t="s">
        <v>2689</v>
      </c>
      <c r="E1563">
        <v>900</v>
      </c>
      <c r="F1563">
        <v>0</v>
      </c>
    </row>
    <row r="1564" spans="1:6" x14ac:dyDescent="0.3">
      <c r="A1564" t="s">
        <v>1611</v>
      </c>
      <c r="B1564" t="s">
        <v>22</v>
      </c>
      <c r="C1564">
        <v>2022</v>
      </c>
      <c r="D1564" t="s">
        <v>2689</v>
      </c>
      <c r="E1564">
        <v>4800</v>
      </c>
      <c r="F1564">
        <v>0</v>
      </c>
    </row>
    <row r="1565" spans="1:6" x14ac:dyDescent="0.3">
      <c r="A1565" t="s">
        <v>1612</v>
      </c>
      <c r="B1565" t="s">
        <v>22</v>
      </c>
      <c r="C1565">
        <v>2023</v>
      </c>
      <c r="D1565" t="s">
        <v>2689</v>
      </c>
      <c r="E1565">
        <v>90870</v>
      </c>
      <c r="F1565">
        <v>20000</v>
      </c>
    </row>
    <row r="1566" spans="1:6" x14ac:dyDescent="0.3">
      <c r="A1566" t="s">
        <v>1613</v>
      </c>
      <c r="B1566" t="s">
        <v>22</v>
      </c>
      <c r="C1566">
        <v>2023</v>
      </c>
      <c r="D1566" t="s">
        <v>2689</v>
      </c>
      <c r="E1566">
        <v>299000</v>
      </c>
      <c r="F1566">
        <v>0</v>
      </c>
    </row>
    <row r="1567" spans="1:6" x14ac:dyDescent="0.3">
      <c r="A1567" t="s">
        <v>1614</v>
      </c>
      <c r="B1567" t="s">
        <v>22</v>
      </c>
      <c r="C1567">
        <v>2024</v>
      </c>
      <c r="D1567" t="s">
        <v>2689</v>
      </c>
      <c r="E1567">
        <v>25837</v>
      </c>
      <c r="F1567">
        <v>0</v>
      </c>
    </row>
    <row r="1568" spans="1:6" x14ac:dyDescent="0.3">
      <c r="A1568" t="s">
        <v>1615</v>
      </c>
      <c r="B1568" t="s">
        <v>22</v>
      </c>
      <c r="C1568">
        <v>2024</v>
      </c>
      <c r="D1568" t="s">
        <v>2689</v>
      </c>
      <c r="E1568">
        <v>89469</v>
      </c>
      <c r="F1568">
        <v>50000</v>
      </c>
    </row>
    <row r="1569" spans="1:6" x14ac:dyDescent="0.3">
      <c r="A1569" t="s">
        <v>1616</v>
      </c>
      <c r="B1569" t="s">
        <v>22</v>
      </c>
      <c r="C1569">
        <v>2024</v>
      </c>
      <c r="D1569" t="s">
        <v>2689</v>
      </c>
      <c r="E1569">
        <v>135838</v>
      </c>
      <c r="F1569">
        <v>0</v>
      </c>
    </row>
    <row r="1570" spans="1:6" x14ac:dyDescent="0.3">
      <c r="A1570" t="s">
        <v>1617</v>
      </c>
      <c r="B1570" t="s">
        <v>21</v>
      </c>
      <c r="C1570">
        <v>2001</v>
      </c>
      <c r="D1570" t="s">
        <v>9</v>
      </c>
      <c r="E1570">
        <v>0</v>
      </c>
      <c r="F1570">
        <v>0</v>
      </c>
    </row>
    <row r="1571" spans="1:6" x14ac:dyDescent="0.3">
      <c r="A1571" t="s">
        <v>1618</v>
      </c>
      <c r="B1571" t="s">
        <v>21</v>
      </c>
      <c r="C1571">
        <v>2001</v>
      </c>
      <c r="D1571" t="s">
        <v>2689</v>
      </c>
      <c r="E1571">
        <v>100</v>
      </c>
      <c r="F1571">
        <v>0</v>
      </c>
    </row>
    <row r="1572" spans="1:6" x14ac:dyDescent="0.3">
      <c r="A1572" t="s">
        <v>1619</v>
      </c>
      <c r="B1572" t="s">
        <v>21</v>
      </c>
      <c r="C1572">
        <v>2001</v>
      </c>
      <c r="D1572" t="s">
        <v>2689</v>
      </c>
      <c r="E1572">
        <v>3800</v>
      </c>
      <c r="F1572">
        <v>400000</v>
      </c>
    </row>
    <row r="1573" spans="1:6" x14ac:dyDescent="0.3">
      <c r="A1573" t="s">
        <v>1620</v>
      </c>
      <c r="B1573" t="s">
        <v>21</v>
      </c>
      <c r="C1573">
        <v>2001</v>
      </c>
      <c r="D1573" t="s">
        <v>2689</v>
      </c>
      <c r="E1573">
        <v>0</v>
      </c>
      <c r="F1573">
        <v>1000</v>
      </c>
    </row>
    <row r="1574" spans="1:6" x14ac:dyDescent="0.3">
      <c r="A1574" t="s">
        <v>1621</v>
      </c>
      <c r="B1574" t="s">
        <v>21</v>
      </c>
      <c r="C1574">
        <v>2001</v>
      </c>
      <c r="D1574" t="s">
        <v>2689</v>
      </c>
      <c r="E1574">
        <v>2500</v>
      </c>
      <c r="F1574">
        <v>0</v>
      </c>
    </row>
    <row r="1575" spans="1:6" x14ac:dyDescent="0.3">
      <c r="A1575" t="s">
        <v>1622</v>
      </c>
      <c r="B1575" t="s">
        <v>21</v>
      </c>
      <c r="C1575">
        <v>2002</v>
      </c>
      <c r="D1575" t="s">
        <v>7</v>
      </c>
      <c r="E1575">
        <v>0</v>
      </c>
      <c r="F1575">
        <v>210000</v>
      </c>
    </row>
    <row r="1576" spans="1:6" x14ac:dyDescent="0.3">
      <c r="A1576" t="s">
        <v>1623</v>
      </c>
      <c r="B1576" t="s">
        <v>21</v>
      </c>
      <c r="C1576">
        <v>2002</v>
      </c>
      <c r="D1576" t="s">
        <v>9</v>
      </c>
      <c r="E1576">
        <v>7000</v>
      </c>
      <c r="F1576">
        <v>0</v>
      </c>
    </row>
    <row r="1577" spans="1:6" x14ac:dyDescent="0.3">
      <c r="A1577" t="s">
        <v>1624</v>
      </c>
      <c r="B1577" t="s">
        <v>21</v>
      </c>
      <c r="C1577">
        <v>2002</v>
      </c>
      <c r="D1577" t="s">
        <v>9</v>
      </c>
      <c r="E1577">
        <v>0</v>
      </c>
      <c r="F1577">
        <v>0</v>
      </c>
    </row>
    <row r="1578" spans="1:6" x14ac:dyDescent="0.3">
      <c r="A1578" t="s">
        <v>1625</v>
      </c>
      <c r="B1578" t="s">
        <v>21</v>
      </c>
      <c r="C1578">
        <v>2002</v>
      </c>
      <c r="D1578" t="s">
        <v>2689</v>
      </c>
      <c r="E1578">
        <v>500030</v>
      </c>
      <c r="F1578">
        <v>640000</v>
      </c>
    </row>
    <row r="1579" spans="1:6" x14ac:dyDescent="0.3">
      <c r="A1579" t="s">
        <v>1626</v>
      </c>
      <c r="B1579" t="s">
        <v>21</v>
      </c>
      <c r="C1579">
        <v>2002</v>
      </c>
      <c r="D1579" t="s">
        <v>2689</v>
      </c>
      <c r="E1579">
        <v>500</v>
      </c>
      <c r="F1579">
        <v>0</v>
      </c>
    </row>
    <row r="1580" spans="1:6" x14ac:dyDescent="0.3">
      <c r="A1580" t="s">
        <v>1627</v>
      </c>
      <c r="B1580" t="s">
        <v>21</v>
      </c>
      <c r="C1580">
        <v>2002</v>
      </c>
      <c r="D1580" t="s">
        <v>2689</v>
      </c>
      <c r="E1580">
        <v>9000</v>
      </c>
      <c r="F1580">
        <v>200000</v>
      </c>
    </row>
    <row r="1581" spans="1:6" x14ac:dyDescent="0.3">
      <c r="A1581" t="s">
        <v>1628</v>
      </c>
      <c r="B1581" t="s">
        <v>21</v>
      </c>
      <c r="C1581">
        <v>2003</v>
      </c>
      <c r="D1581" t="s">
        <v>14</v>
      </c>
      <c r="E1581">
        <v>178603</v>
      </c>
      <c r="F1581">
        <v>116300</v>
      </c>
    </row>
    <row r="1582" spans="1:6" x14ac:dyDescent="0.3">
      <c r="A1582" t="s">
        <v>1629</v>
      </c>
      <c r="B1582" t="s">
        <v>21</v>
      </c>
      <c r="C1582">
        <v>2003</v>
      </c>
      <c r="D1582" t="s">
        <v>9</v>
      </c>
      <c r="E1582">
        <v>50000</v>
      </c>
      <c r="F1582">
        <v>0</v>
      </c>
    </row>
    <row r="1583" spans="1:6" x14ac:dyDescent="0.3">
      <c r="A1583" t="s">
        <v>1630</v>
      </c>
      <c r="B1583" t="s">
        <v>21</v>
      </c>
      <c r="C1583">
        <v>2003</v>
      </c>
      <c r="D1583" t="s">
        <v>9</v>
      </c>
      <c r="E1583">
        <v>800</v>
      </c>
      <c r="F1583">
        <v>0</v>
      </c>
    </row>
    <row r="1584" spans="1:6" x14ac:dyDescent="0.3">
      <c r="A1584" t="s">
        <v>1631</v>
      </c>
      <c r="B1584" t="s">
        <v>21</v>
      </c>
      <c r="C1584">
        <v>2003</v>
      </c>
      <c r="D1584" t="s">
        <v>9</v>
      </c>
      <c r="E1584">
        <v>3050</v>
      </c>
      <c r="F1584">
        <v>0</v>
      </c>
    </row>
    <row r="1585" spans="1:6" x14ac:dyDescent="0.3">
      <c r="A1585" t="s">
        <v>1632</v>
      </c>
      <c r="B1585" t="s">
        <v>21</v>
      </c>
      <c r="C1585">
        <v>2003</v>
      </c>
      <c r="D1585" t="s">
        <v>2689</v>
      </c>
      <c r="E1585">
        <v>6000</v>
      </c>
      <c r="F1585">
        <v>100000</v>
      </c>
    </row>
    <row r="1586" spans="1:6" x14ac:dyDescent="0.3">
      <c r="A1586" t="s">
        <v>1633</v>
      </c>
      <c r="B1586" t="s">
        <v>21</v>
      </c>
      <c r="C1586">
        <v>2003</v>
      </c>
      <c r="D1586" t="s">
        <v>2689</v>
      </c>
      <c r="E1586">
        <v>3000</v>
      </c>
      <c r="F1586">
        <v>0</v>
      </c>
    </row>
    <row r="1587" spans="1:6" x14ac:dyDescent="0.3">
      <c r="A1587" t="s">
        <v>1634</v>
      </c>
      <c r="B1587" t="s">
        <v>21</v>
      </c>
      <c r="C1587">
        <v>2004</v>
      </c>
      <c r="D1587" t="s">
        <v>9</v>
      </c>
      <c r="E1587">
        <v>3740</v>
      </c>
      <c r="F1587">
        <v>0</v>
      </c>
    </row>
    <row r="1588" spans="1:6" x14ac:dyDescent="0.3">
      <c r="A1588" t="s">
        <v>1635</v>
      </c>
      <c r="B1588" t="s">
        <v>21</v>
      </c>
      <c r="C1588">
        <v>2004</v>
      </c>
      <c r="D1588" t="s">
        <v>9</v>
      </c>
      <c r="E1588">
        <v>350</v>
      </c>
      <c r="F1588">
        <v>3600</v>
      </c>
    </row>
    <row r="1589" spans="1:6" x14ac:dyDescent="0.3">
      <c r="A1589" t="s">
        <v>1636</v>
      </c>
      <c r="B1589" t="s">
        <v>21</v>
      </c>
      <c r="C1589">
        <v>2005</v>
      </c>
      <c r="D1589" t="s">
        <v>9</v>
      </c>
      <c r="E1589">
        <v>1000</v>
      </c>
      <c r="F1589">
        <v>0</v>
      </c>
    </row>
    <row r="1590" spans="1:6" x14ac:dyDescent="0.3">
      <c r="A1590" t="s">
        <v>1637</v>
      </c>
      <c r="B1590" t="s">
        <v>21</v>
      </c>
      <c r="C1590">
        <v>2005</v>
      </c>
      <c r="D1590" t="s">
        <v>9</v>
      </c>
      <c r="E1590">
        <v>10000</v>
      </c>
      <c r="F1590">
        <v>0</v>
      </c>
    </row>
    <row r="1591" spans="1:6" x14ac:dyDescent="0.3">
      <c r="A1591" t="s">
        <v>1638</v>
      </c>
      <c r="B1591" t="s">
        <v>21</v>
      </c>
      <c r="C1591">
        <v>2005</v>
      </c>
      <c r="D1591" t="s">
        <v>9</v>
      </c>
      <c r="E1591">
        <v>3000</v>
      </c>
      <c r="F1591">
        <v>0</v>
      </c>
    </row>
    <row r="1592" spans="1:6" x14ac:dyDescent="0.3">
      <c r="A1592" t="s">
        <v>1639</v>
      </c>
      <c r="B1592" t="s">
        <v>21</v>
      </c>
      <c r="C1592">
        <v>2005</v>
      </c>
      <c r="D1592" t="s">
        <v>2689</v>
      </c>
      <c r="E1592">
        <v>0</v>
      </c>
      <c r="F1592">
        <v>400000</v>
      </c>
    </row>
    <row r="1593" spans="1:6" x14ac:dyDescent="0.3">
      <c r="A1593" t="s">
        <v>1640</v>
      </c>
      <c r="B1593" t="s">
        <v>21</v>
      </c>
      <c r="C1593">
        <v>2005</v>
      </c>
      <c r="D1593" t="s">
        <v>2689</v>
      </c>
      <c r="E1593">
        <v>15000</v>
      </c>
      <c r="F1593">
        <v>10000</v>
      </c>
    </row>
    <row r="1594" spans="1:6" x14ac:dyDescent="0.3">
      <c r="A1594" t="s">
        <v>1641</v>
      </c>
      <c r="B1594" t="s">
        <v>21</v>
      </c>
      <c r="C1594">
        <v>2005</v>
      </c>
      <c r="D1594" t="s">
        <v>2689</v>
      </c>
      <c r="E1594">
        <v>1954571</v>
      </c>
      <c r="F1594">
        <v>2500000</v>
      </c>
    </row>
    <row r="1595" spans="1:6" x14ac:dyDescent="0.3">
      <c r="A1595" t="s">
        <v>1642</v>
      </c>
      <c r="B1595" t="s">
        <v>21</v>
      </c>
      <c r="C1595">
        <v>2005</v>
      </c>
      <c r="D1595" t="s">
        <v>2689</v>
      </c>
      <c r="E1595">
        <v>1000000</v>
      </c>
      <c r="F1595">
        <v>5000000</v>
      </c>
    </row>
    <row r="1596" spans="1:6" x14ac:dyDescent="0.3">
      <c r="A1596" t="s">
        <v>1643</v>
      </c>
      <c r="B1596" t="s">
        <v>21</v>
      </c>
      <c r="C1596">
        <v>2006</v>
      </c>
      <c r="D1596" t="s">
        <v>9</v>
      </c>
      <c r="E1596">
        <v>0</v>
      </c>
      <c r="F1596">
        <v>0</v>
      </c>
    </row>
    <row r="1597" spans="1:6" x14ac:dyDescent="0.3">
      <c r="A1597" t="s">
        <v>1644</v>
      </c>
      <c r="B1597" t="s">
        <v>21</v>
      </c>
      <c r="C1597">
        <v>2006</v>
      </c>
      <c r="D1597" t="s">
        <v>2689</v>
      </c>
      <c r="E1597">
        <v>10000</v>
      </c>
      <c r="F1597">
        <v>0</v>
      </c>
    </row>
    <row r="1598" spans="1:6" x14ac:dyDescent="0.3">
      <c r="A1598" t="s">
        <v>1645</v>
      </c>
      <c r="B1598" t="s">
        <v>21</v>
      </c>
      <c r="C1598">
        <v>2006</v>
      </c>
      <c r="D1598" t="s">
        <v>2689</v>
      </c>
      <c r="E1598">
        <v>240700</v>
      </c>
      <c r="F1598">
        <v>2700</v>
      </c>
    </row>
    <row r="1599" spans="1:6" x14ac:dyDescent="0.3">
      <c r="A1599" t="s">
        <v>1646</v>
      </c>
      <c r="B1599" t="s">
        <v>21</v>
      </c>
      <c r="C1599">
        <v>2006</v>
      </c>
      <c r="D1599" t="s">
        <v>2689</v>
      </c>
      <c r="E1599">
        <v>20000</v>
      </c>
      <c r="F1599">
        <v>0</v>
      </c>
    </row>
    <row r="1600" spans="1:6" x14ac:dyDescent="0.3">
      <c r="A1600" t="s">
        <v>1647</v>
      </c>
      <c r="B1600" t="s">
        <v>21</v>
      </c>
      <c r="C1600">
        <v>2007</v>
      </c>
      <c r="D1600" t="s">
        <v>9</v>
      </c>
      <c r="E1600">
        <v>55000</v>
      </c>
      <c r="F1600">
        <v>0</v>
      </c>
    </row>
    <row r="1601" spans="1:6" x14ac:dyDescent="0.3">
      <c r="A1601" t="s">
        <v>1648</v>
      </c>
      <c r="B1601" t="s">
        <v>21</v>
      </c>
      <c r="C1601">
        <v>2007</v>
      </c>
      <c r="D1601" t="s">
        <v>9</v>
      </c>
      <c r="E1601">
        <v>1600000</v>
      </c>
      <c r="F1601">
        <v>3000000</v>
      </c>
    </row>
    <row r="1602" spans="1:6" x14ac:dyDescent="0.3">
      <c r="A1602" t="s">
        <v>1649</v>
      </c>
      <c r="B1602" t="s">
        <v>21</v>
      </c>
      <c r="C1602">
        <v>2007</v>
      </c>
      <c r="D1602" t="s">
        <v>2689</v>
      </c>
      <c r="E1602">
        <v>140000</v>
      </c>
      <c r="F1602">
        <v>600000</v>
      </c>
    </row>
    <row r="1603" spans="1:6" x14ac:dyDescent="0.3">
      <c r="A1603" t="s">
        <v>1650</v>
      </c>
      <c r="B1603" t="s">
        <v>21</v>
      </c>
      <c r="C1603">
        <v>2007</v>
      </c>
      <c r="D1603" t="s">
        <v>2689</v>
      </c>
      <c r="E1603">
        <v>30000</v>
      </c>
      <c r="F1603">
        <v>0</v>
      </c>
    </row>
    <row r="1604" spans="1:6" x14ac:dyDescent="0.3">
      <c r="A1604" t="s">
        <v>1651</v>
      </c>
      <c r="B1604" t="s">
        <v>21</v>
      </c>
      <c r="C1604">
        <v>2007</v>
      </c>
      <c r="D1604" t="s">
        <v>2689</v>
      </c>
      <c r="E1604">
        <v>33000</v>
      </c>
      <c r="F1604">
        <v>0</v>
      </c>
    </row>
    <row r="1605" spans="1:6" x14ac:dyDescent="0.3">
      <c r="A1605" t="s">
        <v>1652</v>
      </c>
      <c r="B1605" t="s">
        <v>21</v>
      </c>
      <c r="C1605">
        <v>2007</v>
      </c>
      <c r="D1605" t="s">
        <v>2689</v>
      </c>
      <c r="E1605">
        <v>0</v>
      </c>
      <c r="F1605">
        <v>0</v>
      </c>
    </row>
    <row r="1606" spans="1:6" x14ac:dyDescent="0.3">
      <c r="A1606" t="s">
        <v>1653</v>
      </c>
      <c r="B1606" t="s">
        <v>21</v>
      </c>
      <c r="C1606">
        <v>2008</v>
      </c>
      <c r="D1606" t="s">
        <v>9</v>
      </c>
      <c r="E1606">
        <v>20000</v>
      </c>
      <c r="F1606">
        <v>0</v>
      </c>
    </row>
    <row r="1607" spans="1:6" x14ac:dyDescent="0.3">
      <c r="A1607" t="s">
        <v>1654</v>
      </c>
      <c r="B1607" t="s">
        <v>21</v>
      </c>
      <c r="C1607">
        <v>2008</v>
      </c>
      <c r="D1607" t="s">
        <v>2689</v>
      </c>
      <c r="E1607">
        <v>500000</v>
      </c>
      <c r="F1607">
        <v>75000</v>
      </c>
    </row>
    <row r="1608" spans="1:6" x14ac:dyDescent="0.3">
      <c r="A1608" t="s">
        <v>1655</v>
      </c>
      <c r="B1608" t="s">
        <v>21</v>
      </c>
      <c r="C1608">
        <v>2009</v>
      </c>
      <c r="D1608" t="s">
        <v>9</v>
      </c>
      <c r="E1608">
        <v>1500</v>
      </c>
      <c r="F1608">
        <v>0</v>
      </c>
    </row>
    <row r="1609" spans="1:6" x14ac:dyDescent="0.3">
      <c r="A1609" t="s">
        <v>1656</v>
      </c>
      <c r="B1609" t="s">
        <v>21</v>
      </c>
      <c r="C1609">
        <v>2009</v>
      </c>
      <c r="D1609" t="s">
        <v>9</v>
      </c>
      <c r="E1609">
        <v>18000</v>
      </c>
      <c r="F1609">
        <v>0</v>
      </c>
    </row>
    <row r="1610" spans="1:6" x14ac:dyDescent="0.3">
      <c r="A1610" t="s">
        <v>1657</v>
      </c>
      <c r="B1610" t="s">
        <v>21</v>
      </c>
      <c r="C1610">
        <v>2009</v>
      </c>
      <c r="D1610" t="s">
        <v>9</v>
      </c>
      <c r="E1610">
        <v>107670</v>
      </c>
      <c r="F1610">
        <v>0</v>
      </c>
    </row>
    <row r="1611" spans="1:6" x14ac:dyDescent="0.3">
      <c r="A1611" t="s">
        <v>1658</v>
      </c>
      <c r="B1611" t="s">
        <v>21</v>
      </c>
      <c r="C1611">
        <v>2009</v>
      </c>
      <c r="D1611" t="s">
        <v>9</v>
      </c>
      <c r="E1611">
        <v>13014</v>
      </c>
      <c r="F1611">
        <v>0</v>
      </c>
    </row>
    <row r="1612" spans="1:6" x14ac:dyDescent="0.3">
      <c r="A1612" t="s">
        <v>1659</v>
      </c>
      <c r="B1612" t="s">
        <v>21</v>
      </c>
      <c r="C1612">
        <v>2009</v>
      </c>
      <c r="D1612" t="s">
        <v>9</v>
      </c>
      <c r="E1612">
        <v>0</v>
      </c>
      <c r="F1612">
        <v>0</v>
      </c>
    </row>
    <row r="1613" spans="1:6" x14ac:dyDescent="0.3">
      <c r="A1613" t="s">
        <v>1660</v>
      </c>
      <c r="B1613" t="s">
        <v>21</v>
      </c>
      <c r="C1613">
        <v>2009</v>
      </c>
      <c r="D1613" t="s">
        <v>2689</v>
      </c>
      <c r="E1613">
        <v>72000</v>
      </c>
      <c r="F1613">
        <v>40000</v>
      </c>
    </row>
    <row r="1614" spans="1:6" x14ac:dyDescent="0.3">
      <c r="A1614" t="s">
        <v>1661</v>
      </c>
      <c r="B1614" t="s">
        <v>21</v>
      </c>
      <c r="C1614">
        <v>2009</v>
      </c>
      <c r="D1614" t="s">
        <v>2689</v>
      </c>
      <c r="E1614">
        <v>40000</v>
      </c>
      <c r="F1614">
        <v>0</v>
      </c>
    </row>
    <row r="1615" spans="1:6" x14ac:dyDescent="0.3">
      <c r="A1615" t="s">
        <v>1662</v>
      </c>
      <c r="B1615" t="s">
        <v>21</v>
      </c>
      <c r="C1615">
        <v>2010</v>
      </c>
      <c r="D1615" t="s">
        <v>14</v>
      </c>
      <c r="E1615">
        <v>25232</v>
      </c>
      <c r="F1615">
        <v>1150000</v>
      </c>
    </row>
    <row r="1616" spans="1:6" x14ac:dyDescent="0.3">
      <c r="A1616" t="s">
        <v>1663</v>
      </c>
      <c r="B1616" t="s">
        <v>21</v>
      </c>
      <c r="C1616">
        <v>2010</v>
      </c>
      <c r="D1616" t="s">
        <v>9</v>
      </c>
      <c r="E1616">
        <v>20000</v>
      </c>
      <c r="F1616">
        <v>16000</v>
      </c>
    </row>
    <row r="1617" spans="1:6" x14ac:dyDescent="0.3">
      <c r="A1617" t="s">
        <v>1664</v>
      </c>
      <c r="B1617" t="s">
        <v>21</v>
      </c>
      <c r="C1617">
        <v>2010</v>
      </c>
      <c r="D1617" t="s">
        <v>9</v>
      </c>
      <c r="E1617">
        <v>1000000</v>
      </c>
      <c r="F1617">
        <v>0</v>
      </c>
    </row>
    <row r="1618" spans="1:6" x14ac:dyDescent="0.3">
      <c r="A1618" t="s">
        <v>1665</v>
      </c>
      <c r="B1618" t="s">
        <v>21</v>
      </c>
      <c r="C1618">
        <v>2010</v>
      </c>
      <c r="D1618" t="s">
        <v>2689</v>
      </c>
      <c r="E1618">
        <v>170000</v>
      </c>
      <c r="F1618">
        <v>2000000</v>
      </c>
    </row>
    <row r="1619" spans="1:6" x14ac:dyDescent="0.3">
      <c r="A1619" t="s">
        <v>1666</v>
      </c>
      <c r="B1619" t="s">
        <v>21</v>
      </c>
      <c r="C1619">
        <v>2010</v>
      </c>
      <c r="D1619" t="s">
        <v>2689</v>
      </c>
      <c r="E1619">
        <v>154000</v>
      </c>
      <c r="F1619">
        <v>0</v>
      </c>
    </row>
    <row r="1620" spans="1:6" x14ac:dyDescent="0.3">
      <c r="A1620" t="s">
        <v>1667</v>
      </c>
      <c r="B1620" t="s">
        <v>21</v>
      </c>
      <c r="C1620">
        <v>2010</v>
      </c>
      <c r="D1620" t="s">
        <v>2689</v>
      </c>
      <c r="E1620">
        <v>230000</v>
      </c>
      <c r="F1620">
        <v>3900000</v>
      </c>
    </row>
    <row r="1621" spans="1:6" x14ac:dyDescent="0.3">
      <c r="A1621" t="s">
        <v>1668</v>
      </c>
      <c r="B1621" t="s">
        <v>21</v>
      </c>
      <c r="C1621">
        <v>2010</v>
      </c>
      <c r="D1621" t="s">
        <v>2689</v>
      </c>
      <c r="E1621">
        <v>1075</v>
      </c>
      <c r="F1621">
        <v>0</v>
      </c>
    </row>
    <row r="1622" spans="1:6" x14ac:dyDescent="0.3">
      <c r="A1622" t="s">
        <v>1669</v>
      </c>
      <c r="B1622" t="s">
        <v>21</v>
      </c>
      <c r="C1622">
        <v>2011</v>
      </c>
      <c r="D1622" t="s">
        <v>7</v>
      </c>
      <c r="E1622">
        <v>2500000</v>
      </c>
      <c r="F1622">
        <v>0</v>
      </c>
    </row>
    <row r="1623" spans="1:6" x14ac:dyDescent="0.3">
      <c r="A1623" t="s">
        <v>1670</v>
      </c>
      <c r="B1623" t="s">
        <v>21</v>
      </c>
      <c r="C1623">
        <v>2011</v>
      </c>
      <c r="D1623" t="s">
        <v>14</v>
      </c>
      <c r="E1623">
        <v>152</v>
      </c>
      <c r="F1623">
        <v>0</v>
      </c>
    </row>
    <row r="1624" spans="1:6" x14ac:dyDescent="0.3">
      <c r="A1624" t="s">
        <v>1671</v>
      </c>
      <c r="B1624" t="s">
        <v>21</v>
      </c>
      <c r="C1624">
        <v>2011</v>
      </c>
      <c r="D1624" t="s">
        <v>9</v>
      </c>
      <c r="E1624">
        <v>250000</v>
      </c>
      <c r="F1624">
        <v>0</v>
      </c>
    </row>
    <row r="1625" spans="1:6" x14ac:dyDescent="0.3">
      <c r="A1625" t="s">
        <v>1672</v>
      </c>
      <c r="B1625" t="s">
        <v>21</v>
      </c>
      <c r="C1625">
        <v>2011</v>
      </c>
      <c r="D1625" t="s">
        <v>9</v>
      </c>
      <c r="E1625">
        <v>190000</v>
      </c>
      <c r="F1625">
        <v>0</v>
      </c>
    </row>
    <row r="1626" spans="1:6" x14ac:dyDescent="0.3">
      <c r="A1626" t="s">
        <v>1673</v>
      </c>
      <c r="B1626" t="s">
        <v>21</v>
      </c>
      <c r="C1626">
        <v>2011</v>
      </c>
      <c r="D1626" t="s">
        <v>9</v>
      </c>
      <c r="E1626">
        <v>40000</v>
      </c>
      <c r="F1626">
        <v>0</v>
      </c>
    </row>
    <row r="1627" spans="1:6" x14ac:dyDescent="0.3">
      <c r="A1627" t="s">
        <v>1674</v>
      </c>
      <c r="B1627" t="s">
        <v>21</v>
      </c>
      <c r="C1627">
        <v>2011</v>
      </c>
      <c r="D1627" t="s">
        <v>2689</v>
      </c>
      <c r="E1627">
        <v>450</v>
      </c>
      <c r="F1627">
        <v>0</v>
      </c>
    </row>
    <row r="1628" spans="1:6" x14ac:dyDescent="0.3">
      <c r="A1628" t="s">
        <v>1675</v>
      </c>
      <c r="B1628" t="s">
        <v>21</v>
      </c>
      <c r="C1628">
        <v>2011</v>
      </c>
      <c r="D1628" t="s">
        <v>2689</v>
      </c>
      <c r="E1628">
        <v>300000</v>
      </c>
      <c r="F1628">
        <v>70000</v>
      </c>
    </row>
    <row r="1629" spans="1:6" x14ac:dyDescent="0.3">
      <c r="A1629" t="s">
        <v>1676</v>
      </c>
      <c r="B1629" t="s">
        <v>21</v>
      </c>
      <c r="C1629">
        <v>2011</v>
      </c>
      <c r="D1629" t="s">
        <v>2689</v>
      </c>
      <c r="E1629">
        <v>200000</v>
      </c>
      <c r="F1629">
        <v>0</v>
      </c>
    </row>
    <row r="1630" spans="1:6" x14ac:dyDescent="0.3">
      <c r="A1630" t="s">
        <v>1677</v>
      </c>
      <c r="B1630" t="s">
        <v>21</v>
      </c>
      <c r="C1630">
        <v>2011</v>
      </c>
      <c r="D1630" t="s">
        <v>2689</v>
      </c>
      <c r="E1630">
        <v>50000</v>
      </c>
      <c r="F1630">
        <v>27700</v>
      </c>
    </row>
    <row r="1631" spans="1:6" x14ac:dyDescent="0.3">
      <c r="A1631" t="s">
        <v>1678</v>
      </c>
      <c r="B1631" t="s">
        <v>21</v>
      </c>
      <c r="C1631">
        <v>2011</v>
      </c>
      <c r="D1631" t="s">
        <v>2689</v>
      </c>
      <c r="E1631">
        <v>0</v>
      </c>
      <c r="F1631">
        <v>0</v>
      </c>
    </row>
    <row r="1632" spans="1:6" x14ac:dyDescent="0.3">
      <c r="A1632" t="s">
        <v>1679</v>
      </c>
      <c r="B1632" t="s">
        <v>21</v>
      </c>
      <c r="C1632">
        <v>2012</v>
      </c>
      <c r="D1632" t="s">
        <v>14</v>
      </c>
      <c r="E1632">
        <v>49011</v>
      </c>
      <c r="F1632">
        <v>320000</v>
      </c>
    </row>
    <row r="1633" spans="1:6" x14ac:dyDescent="0.3">
      <c r="A1633" t="s">
        <v>1680</v>
      </c>
      <c r="B1633" t="s">
        <v>21</v>
      </c>
      <c r="C1633">
        <v>2012</v>
      </c>
      <c r="D1633" t="s">
        <v>2689</v>
      </c>
      <c r="E1633">
        <v>0</v>
      </c>
      <c r="F1633">
        <v>300000</v>
      </c>
    </row>
    <row r="1634" spans="1:6" x14ac:dyDescent="0.3">
      <c r="A1634" t="s">
        <v>1681</v>
      </c>
      <c r="B1634" t="s">
        <v>21</v>
      </c>
      <c r="C1634">
        <v>2012</v>
      </c>
      <c r="D1634" t="s">
        <v>2689</v>
      </c>
      <c r="E1634">
        <v>87000</v>
      </c>
      <c r="F1634">
        <v>555000</v>
      </c>
    </row>
    <row r="1635" spans="1:6" x14ac:dyDescent="0.3">
      <c r="A1635" t="s">
        <v>1682</v>
      </c>
      <c r="B1635" t="s">
        <v>21</v>
      </c>
      <c r="C1635">
        <v>2013</v>
      </c>
      <c r="D1635" t="s">
        <v>9</v>
      </c>
      <c r="E1635">
        <v>0</v>
      </c>
      <c r="F1635">
        <v>0</v>
      </c>
    </row>
    <row r="1636" spans="1:6" x14ac:dyDescent="0.3">
      <c r="A1636" t="s">
        <v>1683</v>
      </c>
      <c r="B1636" t="s">
        <v>21</v>
      </c>
      <c r="C1636">
        <v>2013</v>
      </c>
      <c r="D1636" t="s">
        <v>2689</v>
      </c>
      <c r="E1636">
        <v>12000</v>
      </c>
      <c r="F1636">
        <v>0</v>
      </c>
    </row>
    <row r="1637" spans="1:6" x14ac:dyDescent="0.3">
      <c r="A1637" t="s">
        <v>1684</v>
      </c>
      <c r="B1637" t="s">
        <v>21</v>
      </c>
      <c r="C1637">
        <v>2013</v>
      </c>
      <c r="D1637" t="s">
        <v>2689</v>
      </c>
      <c r="E1637">
        <v>5000</v>
      </c>
      <c r="F1637">
        <v>2000</v>
      </c>
    </row>
    <row r="1638" spans="1:6" x14ac:dyDescent="0.3">
      <c r="A1638" t="s">
        <v>1685</v>
      </c>
      <c r="B1638" t="s">
        <v>21</v>
      </c>
      <c r="C1638">
        <v>2013</v>
      </c>
      <c r="D1638" t="s">
        <v>2689</v>
      </c>
      <c r="E1638">
        <v>105000</v>
      </c>
      <c r="F1638">
        <v>4200000</v>
      </c>
    </row>
    <row r="1639" spans="1:6" x14ac:dyDescent="0.3">
      <c r="A1639" t="s">
        <v>1686</v>
      </c>
      <c r="B1639" t="s">
        <v>21</v>
      </c>
      <c r="C1639">
        <v>2013</v>
      </c>
      <c r="D1639" t="s">
        <v>2689</v>
      </c>
      <c r="E1639">
        <v>50000</v>
      </c>
      <c r="F1639">
        <v>1500000</v>
      </c>
    </row>
    <row r="1640" spans="1:6" x14ac:dyDescent="0.3">
      <c r="A1640" t="s">
        <v>1687</v>
      </c>
      <c r="B1640" t="s">
        <v>21</v>
      </c>
      <c r="C1640">
        <v>2014</v>
      </c>
      <c r="D1640" t="s">
        <v>14</v>
      </c>
      <c r="E1640">
        <v>381</v>
      </c>
      <c r="F1640">
        <v>0</v>
      </c>
    </row>
    <row r="1641" spans="1:6" x14ac:dyDescent="0.3">
      <c r="A1641" t="s">
        <v>1688</v>
      </c>
      <c r="B1641" t="s">
        <v>21</v>
      </c>
      <c r="C1641">
        <v>2014</v>
      </c>
      <c r="D1641" t="s">
        <v>14</v>
      </c>
      <c r="E1641">
        <v>27000</v>
      </c>
      <c r="F1641">
        <v>0</v>
      </c>
    </row>
    <row r="1642" spans="1:6" x14ac:dyDescent="0.3">
      <c r="A1642" t="s">
        <v>1689</v>
      </c>
      <c r="B1642" t="s">
        <v>21</v>
      </c>
      <c r="C1642">
        <v>2014</v>
      </c>
      <c r="D1642" t="s">
        <v>2689</v>
      </c>
      <c r="E1642">
        <v>0</v>
      </c>
      <c r="F1642">
        <v>0</v>
      </c>
    </row>
    <row r="1643" spans="1:6" x14ac:dyDescent="0.3">
      <c r="A1643" t="s">
        <v>1690</v>
      </c>
      <c r="B1643" t="s">
        <v>21</v>
      </c>
      <c r="C1643">
        <v>2014</v>
      </c>
      <c r="D1643" t="s">
        <v>2689</v>
      </c>
      <c r="E1643">
        <v>30000</v>
      </c>
      <c r="F1643">
        <v>14000</v>
      </c>
    </row>
    <row r="1644" spans="1:6" x14ac:dyDescent="0.3">
      <c r="A1644" t="s">
        <v>1691</v>
      </c>
      <c r="B1644" t="s">
        <v>21</v>
      </c>
      <c r="C1644">
        <v>2014</v>
      </c>
      <c r="D1644" t="s">
        <v>2689</v>
      </c>
      <c r="E1644">
        <v>75135</v>
      </c>
      <c r="F1644">
        <v>2500000</v>
      </c>
    </row>
    <row r="1645" spans="1:6" x14ac:dyDescent="0.3">
      <c r="A1645" t="s">
        <v>1692</v>
      </c>
      <c r="B1645" t="s">
        <v>21</v>
      </c>
      <c r="C1645">
        <v>2014</v>
      </c>
      <c r="D1645" t="s">
        <v>2689</v>
      </c>
      <c r="E1645">
        <v>1500</v>
      </c>
      <c r="F1645">
        <v>500</v>
      </c>
    </row>
    <row r="1646" spans="1:6" x14ac:dyDescent="0.3">
      <c r="A1646" t="s">
        <v>1693</v>
      </c>
      <c r="B1646" t="s">
        <v>21</v>
      </c>
      <c r="C1646">
        <v>2014</v>
      </c>
      <c r="D1646" t="s">
        <v>2689</v>
      </c>
      <c r="E1646">
        <v>7500</v>
      </c>
      <c r="F1646">
        <v>25000</v>
      </c>
    </row>
    <row r="1647" spans="1:6" x14ac:dyDescent="0.3">
      <c r="A1647" t="s">
        <v>1694</v>
      </c>
      <c r="B1647" t="s">
        <v>21</v>
      </c>
      <c r="C1647">
        <v>2014</v>
      </c>
      <c r="D1647" t="s">
        <v>2689</v>
      </c>
      <c r="E1647">
        <v>30000</v>
      </c>
      <c r="F1647">
        <v>2000</v>
      </c>
    </row>
    <row r="1648" spans="1:6" x14ac:dyDescent="0.3">
      <c r="A1648" t="s">
        <v>1695</v>
      </c>
      <c r="B1648" t="s">
        <v>21</v>
      </c>
      <c r="C1648">
        <v>2015</v>
      </c>
      <c r="D1648" t="s">
        <v>9</v>
      </c>
      <c r="E1648">
        <v>3000</v>
      </c>
      <c r="F1648">
        <v>0</v>
      </c>
    </row>
    <row r="1649" spans="1:6" x14ac:dyDescent="0.3">
      <c r="A1649" t="s">
        <v>1696</v>
      </c>
      <c r="B1649" t="s">
        <v>21</v>
      </c>
      <c r="C1649">
        <v>2015</v>
      </c>
      <c r="D1649" t="s">
        <v>2689</v>
      </c>
      <c r="E1649">
        <v>1471</v>
      </c>
      <c r="F1649">
        <v>2000</v>
      </c>
    </row>
    <row r="1650" spans="1:6" x14ac:dyDescent="0.3">
      <c r="A1650" t="s">
        <v>1697</v>
      </c>
      <c r="B1650" t="s">
        <v>21</v>
      </c>
      <c r="C1650">
        <v>2015</v>
      </c>
      <c r="D1650" t="s">
        <v>2689</v>
      </c>
      <c r="E1650">
        <v>2320</v>
      </c>
      <c r="F1650">
        <v>0</v>
      </c>
    </row>
    <row r="1651" spans="1:6" x14ac:dyDescent="0.3">
      <c r="A1651" t="s">
        <v>1698</v>
      </c>
      <c r="B1651" t="s">
        <v>21</v>
      </c>
      <c r="C1651">
        <v>2015</v>
      </c>
      <c r="D1651" t="s">
        <v>2689</v>
      </c>
      <c r="E1651">
        <v>15000</v>
      </c>
      <c r="F1651">
        <v>823000</v>
      </c>
    </row>
    <row r="1652" spans="1:6" x14ac:dyDescent="0.3">
      <c r="A1652" t="s">
        <v>1699</v>
      </c>
      <c r="B1652" t="s">
        <v>21</v>
      </c>
      <c r="C1652">
        <v>2016</v>
      </c>
      <c r="D1652" t="s">
        <v>9</v>
      </c>
      <c r="E1652">
        <v>6000</v>
      </c>
      <c r="F1652">
        <v>0</v>
      </c>
    </row>
    <row r="1653" spans="1:6" x14ac:dyDescent="0.3">
      <c r="A1653" t="s">
        <v>1700</v>
      </c>
      <c r="B1653" t="s">
        <v>21</v>
      </c>
      <c r="C1653">
        <v>2016</v>
      </c>
      <c r="D1653" t="s">
        <v>9</v>
      </c>
      <c r="E1653">
        <v>6000</v>
      </c>
      <c r="F1653">
        <v>0</v>
      </c>
    </row>
    <row r="1654" spans="1:6" x14ac:dyDescent="0.3">
      <c r="A1654" t="s">
        <v>1701</v>
      </c>
      <c r="B1654" t="s">
        <v>21</v>
      </c>
      <c r="C1654">
        <v>2016</v>
      </c>
      <c r="D1654" t="s">
        <v>9</v>
      </c>
      <c r="E1654">
        <v>3000</v>
      </c>
      <c r="F1654">
        <v>25000</v>
      </c>
    </row>
    <row r="1655" spans="1:6" x14ac:dyDescent="0.3">
      <c r="A1655" t="s">
        <v>1702</v>
      </c>
      <c r="B1655" t="s">
        <v>21</v>
      </c>
      <c r="C1655">
        <v>2016</v>
      </c>
      <c r="D1655" t="s">
        <v>9</v>
      </c>
      <c r="E1655">
        <v>35000</v>
      </c>
      <c r="F1655">
        <v>0</v>
      </c>
    </row>
    <row r="1656" spans="1:6" x14ac:dyDescent="0.3">
      <c r="A1656" t="s">
        <v>1703</v>
      </c>
      <c r="B1656" t="s">
        <v>21</v>
      </c>
      <c r="C1656">
        <v>2016</v>
      </c>
      <c r="D1656" t="s">
        <v>9</v>
      </c>
      <c r="E1656">
        <v>3000</v>
      </c>
      <c r="F1656">
        <v>0</v>
      </c>
    </row>
    <row r="1657" spans="1:6" x14ac:dyDescent="0.3">
      <c r="A1657" t="s">
        <v>1704</v>
      </c>
      <c r="B1657" t="s">
        <v>21</v>
      </c>
      <c r="C1657">
        <v>2016</v>
      </c>
      <c r="D1657" t="s">
        <v>2689</v>
      </c>
      <c r="E1657">
        <v>11000</v>
      </c>
      <c r="F1657">
        <v>0</v>
      </c>
    </row>
    <row r="1658" spans="1:6" x14ac:dyDescent="0.3">
      <c r="A1658" t="s">
        <v>1705</v>
      </c>
      <c r="B1658" t="s">
        <v>21</v>
      </c>
      <c r="C1658">
        <v>2016</v>
      </c>
      <c r="D1658" t="s">
        <v>2689</v>
      </c>
      <c r="E1658">
        <v>10500</v>
      </c>
      <c r="F1658">
        <v>50000</v>
      </c>
    </row>
    <row r="1659" spans="1:6" x14ac:dyDescent="0.3">
      <c r="A1659" t="s">
        <v>1706</v>
      </c>
      <c r="B1659" t="s">
        <v>21</v>
      </c>
      <c r="C1659">
        <v>2017</v>
      </c>
      <c r="D1659" t="s">
        <v>14</v>
      </c>
      <c r="E1659">
        <v>1200250</v>
      </c>
      <c r="F1659">
        <v>2300000</v>
      </c>
    </row>
    <row r="1660" spans="1:6" x14ac:dyDescent="0.3">
      <c r="A1660" t="s">
        <v>1707</v>
      </c>
      <c r="B1660" t="s">
        <v>21</v>
      </c>
      <c r="C1660">
        <v>2017</v>
      </c>
      <c r="D1660" t="s">
        <v>14</v>
      </c>
      <c r="E1660">
        <v>256000</v>
      </c>
      <c r="F1660">
        <v>6000000</v>
      </c>
    </row>
    <row r="1661" spans="1:6" x14ac:dyDescent="0.3">
      <c r="A1661" t="s">
        <v>1708</v>
      </c>
      <c r="B1661" t="s">
        <v>21</v>
      </c>
      <c r="C1661">
        <v>2017</v>
      </c>
      <c r="D1661" t="s">
        <v>9</v>
      </c>
      <c r="E1661">
        <v>800</v>
      </c>
      <c r="F1661">
        <v>0</v>
      </c>
    </row>
    <row r="1662" spans="1:6" x14ac:dyDescent="0.3">
      <c r="A1662" t="s">
        <v>1709</v>
      </c>
      <c r="B1662" t="s">
        <v>21</v>
      </c>
      <c r="C1662">
        <v>2017</v>
      </c>
      <c r="D1662" t="s">
        <v>2689</v>
      </c>
      <c r="E1662">
        <v>600</v>
      </c>
      <c r="F1662">
        <v>0</v>
      </c>
    </row>
    <row r="1663" spans="1:6" x14ac:dyDescent="0.3">
      <c r="A1663" t="s">
        <v>1710</v>
      </c>
      <c r="B1663" t="s">
        <v>21</v>
      </c>
      <c r="C1663">
        <v>2017</v>
      </c>
      <c r="D1663" t="s">
        <v>2689</v>
      </c>
      <c r="E1663">
        <v>300</v>
      </c>
      <c r="F1663">
        <v>2000</v>
      </c>
    </row>
    <row r="1664" spans="1:6" x14ac:dyDescent="0.3">
      <c r="A1664" t="s">
        <v>1711</v>
      </c>
      <c r="B1664" t="s">
        <v>21</v>
      </c>
      <c r="C1664">
        <v>2017</v>
      </c>
      <c r="D1664" t="s">
        <v>2689</v>
      </c>
      <c r="E1664">
        <v>1000</v>
      </c>
      <c r="F1664">
        <v>0</v>
      </c>
    </row>
    <row r="1665" spans="1:6" x14ac:dyDescent="0.3">
      <c r="A1665" t="s">
        <v>1712</v>
      </c>
      <c r="B1665" t="s">
        <v>21</v>
      </c>
      <c r="C1665">
        <v>2017</v>
      </c>
      <c r="D1665" t="s">
        <v>2689</v>
      </c>
      <c r="E1665">
        <v>1110</v>
      </c>
      <c r="F1665">
        <v>0</v>
      </c>
    </row>
    <row r="1666" spans="1:6" x14ac:dyDescent="0.3">
      <c r="A1666" t="s">
        <v>1713</v>
      </c>
      <c r="B1666" t="s">
        <v>21</v>
      </c>
      <c r="C1666">
        <v>2018</v>
      </c>
      <c r="D1666" t="s">
        <v>14</v>
      </c>
      <c r="E1666">
        <v>3004</v>
      </c>
      <c r="F1666">
        <v>0</v>
      </c>
    </row>
    <row r="1667" spans="1:6" x14ac:dyDescent="0.3">
      <c r="A1667" t="s">
        <v>1714</v>
      </c>
      <c r="B1667" t="s">
        <v>21</v>
      </c>
      <c r="C1667">
        <v>2018</v>
      </c>
      <c r="D1667" t="s">
        <v>9</v>
      </c>
      <c r="E1667">
        <v>120</v>
      </c>
      <c r="F1667">
        <v>0</v>
      </c>
    </row>
    <row r="1668" spans="1:6" x14ac:dyDescent="0.3">
      <c r="A1668" t="s">
        <v>1715</v>
      </c>
      <c r="B1668" t="s">
        <v>21</v>
      </c>
      <c r="C1668">
        <v>2018</v>
      </c>
      <c r="D1668" t="s">
        <v>2689</v>
      </c>
      <c r="E1668">
        <v>10000</v>
      </c>
      <c r="F1668">
        <v>536800</v>
      </c>
    </row>
    <row r="1669" spans="1:6" x14ac:dyDescent="0.3">
      <c r="A1669" t="s">
        <v>1716</v>
      </c>
      <c r="B1669" t="s">
        <v>21</v>
      </c>
      <c r="C1669">
        <v>2018</v>
      </c>
      <c r="D1669" t="s">
        <v>2689</v>
      </c>
      <c r="E1669">
        <v>0</v>
      </c>
      <c r="F1669">
        <v>7005</v>
      </c>
    </row>
    <row r="1670" spans="1:6" x14ac:dyDescent="0.3">
      <c r="A1670" t="s">
        <v>1717</v>
      </c>
      <c r="B1670" t="s">
        <v>21</v>
      </c>
      <c r="C1670">
        <v>2019</v>
      </c>
      <c r="D1670" t="s">
        <v>9</v>
      </c>
      <c r="E1670">
        <v>3000</v>
      </c>
      <c r="F1670">
        <v>0</v>
      </c>
    </row>
    <row r="1671" spans="1:6" x14ac:dyDescent="0.3">
      <c r="A1671" t="s">
        <v>1718</v>
      </c>
      <c r="B1671" t="s">
        <v>21</v>
      </c>
      <c r="C1671">
        <v>2019</v>
      </c>
      <c r="D1671" t="s">
        <v>9</v>
      </c>
      <c r="E1671">
        <v>142</v>
      </c>
      <c r="F1671">
        <v>0</v>
      </c>
    </row>
    <row r="1672" spans="1:6" x14ac:dyDescent="0.3">
      <c r="A1672" t="s">
        <v>1719</v>
      </c>
      <c r="B1672" t="s">
        <v>21</v>
      </c>
      <c r="C1672">
        <v>2019</v>
      </c>
      <c r="D1672" t="s">
        <v>9</v>
      </c>
      <c r="E1672">
        <v>500</v>
      </c>
      <c r="F1672">
        <v>0</v>
      </c>
    </row>
    <row r="1673" spans="1:6" x14ac:dyDescent="0.3">
      <c r="A1673" t="s">
        <v>1720</v>
      </c>
      <c r="B1673" t="s">
        <v>21</v>
      </c>
      <c r="C1673">
        <v>2019</v>
      </c>
      <c r="D1673" t="s">
        <v>2689</v>
      </c>
      <c r="E1673">
        <v>200</v>
      </c>
      <c r="F1673">
        <v>0</v>
      </c>
    </row>
    <row r="1674" spans="1:6" x14ac:dyDescent="0.3">
      <c r="A1674" t="s">
        <v>1721</v>
      </c>
      <c r="B1674" t="s">
        <v>21</v>
      </c>
      <c r="C1674">
        <v>2019</v>
      </c>
      <c r="D1674" t="s">
        <v>2689</v>
      </c>
      <c r="E1674">
        <v>1000</v>
      </c>
      <c r="F1674">
        <v>0</v>
      </c>
    </row>
    <row r="1675" spans="1:6" x14ac:dyDescent="0.3">
      <c r="A1675" t="s">
        <v>1722</v>
      </c>
      <c r="B1675" t="s">
        <v>21</v>
      </c>
      <c r="C1675">
        <v>2019</v>
      </c>
      <c r="D1675" t="s">
        <v>2689</v>
      </c>
      <c r="E1675">
        <v>0</v>
      </c>
      <c r="F1675">
        <v>383000</v>
      </c>
    </row>
    <row r="1676" spans="1:6" x14ac:dyDescent="0.3">
      <c r="A1676" t="s">
        <v>1723</v>
      </c>
      <c r="B1676" t="s">
        <v>21</v>
      </c>
      <c r="C1676">
        <v>2020</v>
      </c>
      <c r="D1676" t="s">
        <v>14</v>
      </c>
      <c r="E1676">
        <v>24393</v>
      </c>
      <c r="F1676">
        <v>75000</v>
      </c>
    </row>
    <row r="1677" spans="1:6" x14ac:dyDescent="0.3">
      <c r="A1677" t="s">
        <v>1724</v>
      </c>
      <c r="B1677" t="s">
        <v>21</v>
      </c>
      <c r="C1677">
        <v>2020</v>
      </c>
      <c r="D1677" t="s">
        <v>9</v>
      </c>
      <c r="E1677">
        <v>5100</v>
      </c>
      <c r="F1677">
        <v>0</v>
      </c>
    </row>
    <row r="1678" spans="1:6" x14ac:dyDescent="0.3">
      <c r="A1678" t="s">
        <v>1725</v>
      </c>
      <c r="B1678" t="s">
        <v>21</v>
      </c>
      <c r="C1678">
        <v>2020</v>
      </c>
      <c r="D1678" t="s">
        <v>9</v>
      </c>
      <c r="E1678">
        <v>90000</v>
      </c>
      <c r="F1678">
        <v>0</v>
      </c>
    </row>
    <row r="1679" spans="1:6" x14ac:dyDescent="0.3">
      <c r="A1679" t="s">
        <v>1726</v>
      </c>
      <c r="B1679" t="s">
        <v>21</v>
      </c>
      <c r="C1679">
        <v>2020</v>
      </c>
      <c r="D1679" t="s">
        <v>2689</v>
      </c>
      <c r="E1679">
        <v>606</v>
      </c>
      <c r="F1679">
        <v>0</v>
      </c>
    </row>
    <row r="1680" spans="1:6" x14ac:dyDescent="0.3">
      <c r="A1680" t="s">
        <v>1727</v>
      </c>
      <c r="B1680" t="s">
        <v>21</v>
      </c>
      <c r="C1680">
        <v>2020</v>
      </c>
      <c r="D1680" t="s">
        <v>2689</v>
      </c>
      <c r="E1680">
        <v>0</v>
      </c>
      <c r="F1680">
        <v>135000</v>
      </c>
    </row>
    <row r="1681" spans="1:6" x14ac:dyDescent="0.3">
      <c r="A1681" t="s">
        <v>1728</v>
      </c>
      <c r="B1681" t="s">
        <v>21</v>
      </c>
      <c r="C1681">
        <v>2020</v>
      </c>
      <c r="D1681" t="s">
        <v>2689</v>
      </c>
      <c r="E1681">
        <v>3500</v>
      </c>
      <c r="F1681">
        <v>100000</v>
      </c>
    </row>
    <row r="1682" spans="1:6" x14ac:dyDescent="0.3">
      <c r="A1682" t="s">
        <v>1729</v>
      </c>
      <c r="B1682" t="s">
        <v>21</v>
      </c>
      <c r="C1682">
        <v>2020</v>
      </c>
      <c r="D1682" t="s">
        <v>2689</v>
      </c>
      <c r="E1682">
        <v>0</v>
      </c>
      <c r="F1682">
        <v>0</v>
      </c>
    </row>
    <row r="1683" spans="1:6" x14ac:dyDescent="0.3">
      <c r="A1683" t="s">
        <v>1730</v>
      </c>
      <c r="B1683" t="s">
        <v>21</v>
      </c>
      <c r="C1683">
        <v>2020</v>
      </c>
      <c r="D1683" t="s">
        <v>2689</v>
      </c>
      <c r="E1683">
        <v>0</v>
      </c>
      <c r="F1683">
        <v>100000</v>
      </c>
    </row>
    <row r="1684" spans="1:6" x14ac:dyDescent="0.3">
      <c r="A1684" t="s">
        <v>1731</v>
      </c>
      <c r="B1684" t="s">
        <v>21</v>
      </c>
      <c r="C1684">
        <v>2021</v>
      </c>
      <c r="D1684" t="s">
        <v>14</v>
      </c>
      <c r="E1684">
        <v>21951</v>
      </c>
      <c r="F1684">
        <v>200000</v>
      </c>
    </row>
    <row r="1685" spans="1:6" x14ac:dyDescent="0.3">
      <c r="A1685" t="s">
        <v>1732</v>
      </c>
      <c r="B1685" t="s">
        <v>21</v>
      </c>
      <c r="C1685">
        <v>2021</v>
      </c>
      <c r="D1685" t="s">
        <v>9</v>
      </c>
      <c r="E1685">
        <v>1000</v>
      </c>
      <c r="F1685">
        <v>50000</v>
      </c>
    </row>
    <row r="1686" spans="1:6" x14ac:dyDescent="0.3">
      <c r="A1686" t="s">
        <v>1733</v>
      </c>
      <c r="B1686" t="s">
        <v>21</v>
      </c>
      <c r="C1686">
        <v>2021</v>
      </c>
      <c r="D1686" t="s">
        <v>9</v>
      </c>
      <c r="E1686">
        <v>1020</v>
      </c>
      <c r="F1686">
        <v>0</v>
      </c>
    </row>
    <row r="1687" spans="1:6" x14ac:dyDescent="0.3">
      <c r="A1687" t="s">
        <v>1734</v>
      </c>
      <c r="B1687" t="s">
        <v>21</v>
      </c>
      <c r="C1687">
        <v>2021</v>
      </c>
      <c r="D1687" t="s">
        <v>9</v>
      </c>
      <c r="E1687">
        <v>10500</v>
      </c>
      <c r="F1687">
        <v>10000</v>
      </c>
    </row>
    <row r="1688" spans="1:6" x14ac:dyDescent="0.3">
      <c r="A1688" t="s">
        <v>1735</v>
      </c>
      <c r="B1688" t="s">
        <v>21</v>
      </c>
      <c r="C1688">
        <v>2021</v>
      </c>
      <c r="D1688" t="s">
        <v>2689</v>
      </c>
      <c r="E1688">
        <v>0</v>
      </c>
      <c r="F1688">
        <v>100000</v>
      </c>
    </row>
    <row r="1689" spans="1:6" x14ac:dyDescent="0.3">
      <c r="A1689" t="s">
        <v>1736</v>
      </c>
      <c r="B1689" t="s">
        <v>21</v>
      </c>
      <c r="C1689">
        <v>2021</v>
      </c>
      <c r="D1689" t="s">
        <v>2689</v>
      </c>
      <c r="E1689">
        <v>600</v>
      </c>
      <c r="F1689">
        <v>50000</v>
      </c>
    </row>
    <row r="1690" spans="1:6" x14ac:dyDescent="0.3">
      <c r="A1690" t="s">
        <v>1737</v>
      </c>
      <c r="B1690" t="s">
        <v>21</v>
      </c>
      <c r="C1690">
        <v>2021</v>
      </c>
      <c r="D1690" t="s">
        <v>2689</v>
      </c>
      <c r="E1690">
        <v>621</v>
      </c>
      <c r="F1690">
        <v>50000</v>
      </c>
    </row>
    <row r="1691" spans="1:6" x14ac:dyDescent="0.3">
      <c r="A1691" t="s">
        <v>1738</v>
      </c>
      <c r="B1691" t="s">
        <v>21</v>
      </c>
      <c r="C1691">
        <v>2021</v>
      </c>
      <c r="D1691" t="s">
        <v>2689</v>
      </c>
      <c r="E1691">
        <v>0</v>
      </c>
      <c r="F1691">
        <v>500000</v>
      </c>
    </row>
    <row r="1692" spans="1:6" x14ac:dyDescent="0.3">
      <c r="A1692" t="s">
        <v>1739</v>
      </c>
      <c r="B1692" t="s">
        <v>21</v>
      </c>
      <c r="C1692">
        <v>2021</v>
      </c>
      <c r="D1692" t="s">
        <v>2689</v>
      </c>
      <c r="E1692">
        <v>1503</v>
      </c>
      <c r="F1692">
        <v>100000</v>
      </c>
    </row>
    <row r="1693" spans="1:6" x14ac:dyDescent="0.3">
      <c r="A1693" t="s">
        <v>1740</v>
      </c>
      <c r="B1693" t="s">
        <v>21</v>
      </c>
      <c r="C1693">
        <v>2021</v>
      </c>
      <c r="D1693" t="s">
        <v>2689</v>
      </c>
      <c r="E1693">
        <v>150</v>
      </c>
      <c r="F1693">
        <v>10000</v>
      </c>
    </row>
    <row r="1694" spans="1:6" x14ac:dyDescent="0.3">
      <c r="A1694" t="s">
        <v>1741</v>
      </c>
      <c r="B1694" t="s">
        <v>21</v>
      </c>
      <c r="C1694">
        <v>2022</v>
      </c>
      <c r="D1694" t="s">
        <v>14</v>
      </c>
      <c r="E1694">
        <v>18005</v>
      </c>
      <c r="F1694">
        <v>0</v>
      </c>
    </row>
    <row r="1695" spans="1:6" x14ac:dyDescent="0.3">
      <c r="A1695" t="s">
        <v>1742</v>
      </c>
      <c r="B1695" t="s">
        <v>21</v>
      </c>
      <c r="C1695">
        <v>2022</v>
      </c>
      <c r="D1695" t="s">
        <v>14</v>
      </c>
      <c r="E1695">
        <v>17886</v>
      </c>
      <c r="F1695">
        <v>25000</v>
      </c>
    </row>
    <row r="1696" spans="1:6" x14ac:dyDescent="0.3">
      <c r="A1696" t="s">
        <v>1743</v>
      </c>
      <c r="B1696" t="s">
        <v>21</v>
      </c>
      <c r="C1696">
        <v>2022</v>
      </c>
      <c r="D1696" t="s">
        <v>9</v>
      </c>
      <c r="E1696">
        <v>2100</v>
      </c>
      <c r="F1696">
        <v>0</v>
      </c>
    </row>
    <row r="1697" spans="1:6" x14ac:dyDescent="0.3">
      <c r="A1697" t="s">
        <v>1744</v>
      </c>
      <c r="B1697" t="s">
        <v>21</v>
      </c>
      <c r="C1697">
        <v>2022</v>
      </c>
      <c r="D1697" t="s">
        <v>9</v>
      </c>
      <c r="E1697">
        <v>1050</v>
      </c>
      <c r="F1697">
        <v>0</v>
      </c>
    </row>
    <row r="1698" spans="1:6" x14ac:dyDescent="0.3">
      <c r="A1698" t="s">
        <v>1745</v>
      </c>
      <c r="B1698" t="s">
        <v>21</v>
      </c>
      <c r="C1698">
        <v>2022</v>
      </c>
      <c r="D1698" t="s">
        <v>2689</v>
      </c>
      <c r="E1698">
        <v>0</v>
      </c>
      <c r="F1698">
        <v>51000</v>
      </c>
    </row>
    <row r="1699" spans="1:6" x14ac:dyDescent="0.3">
      <c r="A1699" t="s">
        <v>1746</v>
      </c>
      <c r="B1699" t="s">
        <v>21</v>
      </c>
      <c r="C1699">
        <v>2022</v>
      </c>
      <c r="D1699" t="s">
        <v>2689</v>
      </c>
      <c r="E1699">
        <v>1000</v>
      </c>
      <c r="F1699">
        <v>0</v>
      </c>
    </row>
    <row r="1700" spans="1:6" x14ac:dyDescent="0.3">
      <c r="A1700" t="s">
        <v>1747</v>
      </c>
      <c r="B1700" t="s">
        <v>21</v>
      </c>
      <c r="C1700">
        <v>2022</v>
      </c>
      <c r="D1700" t="s">
        <v>2689</v>
      </c>
      <c r="E1700">
        <v>15000</v>
      </c>
      <c r="F1700">
        <v>0</v>
      </c>
    </row>
    <row r="1701" spans="1:6" x14ac:dyDescent="0.3">
      <c r="A1701" t="s">
        <v>1748</v>
      </c>
      <c r="B1701" t="s">
        <v>21</v>
      </c>
      <c r="C1701">
        <v>2023</v>
      </c>
      <c r="D1701" t="s">
        <v>9</v>
      </c>
      <c r="E1701">
        <v>0</v>
      </c>
      <c r="F1701">
        <v>0</v>
      </c>
    </row>
    <row r="1702" spans="1:6" x14ac:dyDescent="0.3">
      <c r="A1702" t="s">
        <v>1749</v>
      </c>
      <c r="B1702" t="s">
        <v>21</v>
      </c>
      <c r="C1702">
        <v>2023</v>
      </c>
      <c r="D1702" t="s">
        <v>2689</v>
      </c>
      <c r="E1702">
        <v>988000</v>
      </c>
      <c r="F1702">
        <v>12000000</v>
      </c>
    </row>
    <row r="1703" spans="1:6" x14ac:dyDescent="0.3">
      <c r="A1703" t="s">
        <v>1750</v>
      </c>
      <c r="B1703" t="s">
        <v>21</v>
      </c>
      <c r="C1703">
        <v>2024</v>
      </c>
      <c r="D1703" t="s">
        <v>2689</v>
      </c>
      <c r="E1703">
        <v>0</v>
      </c>
      <c r="F1703">
        <v>140000</v>
      </c>
    </row>
    <row r="1704" spans="1:6" x14ac:dyDescent="0.3">
      <c r="A1704" t="s">
        <v>1751</v>
      </c>
      <c r="B1704" t="s">
        <v>21</v>
      </c>
      <c r="C1704">
        <v>2024</v>
      </c>
      <c r="D1704" t="s">
        <v>2689</v>
      </c>
      <c r="E1704">
        <v>20000</v>
      </c>
      <c r="F1704">
        <v>0</v>
      </c>
    </row>
    <row r="1705" spans="1:6" x14ac:dyDescent="0.3">
      <c r="A1705" t="s">
        <v>1752</v>
      </c>
      <c r="B1705" t="s">
        <v>21</v>
      </c>
      <c r="C1705">
        <v>2024</v>
      </c>
      <c r="D1705" t="s">
        <v>2689</v>
      </c>
      <c r="E1705">
        <v>3150</v>
      </c>
      <c r="F1705">
        <v>2450000</v>
      </c>
    </row>
    <row r="1706" spans="1:6" x14ac:dyDescent="0.3">
      <c r="A1706" t="s">
        <v>1753</v>
      </c>
      <c r="B1706" t="s">
        <v>21</v>
      </c>
      <c r="C1706">
        <v>2024</v>
      </c>
      <c r="D1706" t="s">
        <v>2689</v>
      </c>
      <c r="E1706">
        <v>0</v>
      </c>
      <c r="F1706">
        <v>0</v>
      </c>
    </row>
    <row r="1707" spans="1:6" x14ac:dyDescent="0.3">
      <c r="A1707" t="s">
        <v>1754</v>
      </c>
      <c r="B1707" t="s">
        <v>21</v>
      </c>
      <c r="C1707">
        <v>2024</v>
      </c>
      <c r="D1707" t="s">
        <v>2689</v>
      </c>
      <c r="E1707">
        <v>0</v>
      </c>
      <c r="F1707">
        <v>0</v>
      </c>
    </row>
    <row r="1708" spans="1:6" x14ac:dyDescent="0.3">
      <c r="A1708" t="s">
        <v>1755</v>
      </c>
      <c r="B1708" t="s">
        <v>21</v>
      </c>
      <c r="C1708">
        <v>2024</v>
      </c>
      <c r="D1708" t="s">
        <v>2689</v>
      </c>
      <c r="E1708">
        <v>3900</v>
      </c>
      <c r="F1708">
        <v>0</v>
      </c>
    </row>
    <row r="1709" spans="1:6" x14ac:dyDescent="0.3">
      <c r="A1709" t="s">
        <v>1756</v>
      </c>
      <c r="B1709" t="s">
        <v>29</v>
      </c>
      <c r="C1709">
        <v>2001</v>
      </c>
      <c r="D1709" t="s">
        <v>9</v>
      </c>
      <c r="E1709">
        <v>300</v>
      </c>
      <c r="F1709">
        <v>2200</v>
      </c>
    </row>
    <row r="1710" spans="1:6" x14ac:dyDescent="0.3">
      <c r="A1710" t="s">
        <v>1757</v>
      </c>
      <c r="B1710" t="s">
        <v>29</v>
      </c>
      <c r="C1710">
        <v>2002</v>
      </c>
      <c r="D1710" t="s">
        <v>9</v>
      </c>
      <c r="E1710">
        <v>15017</v>
      </c>
      <c r="F1710">
        <v>200000</v>
      </c>
    </row>
    <row r="1711" spans="1:6" x14ac:dyDescent="0.3">
      <c r="A1711" t="s">
        <v>1758</v>
      </c>
      <c r="B1711" t="s">
        <v>29</v>
      </c>
      <c r="C1711">
        <v>2003</v>
      </c>
      <c r="D1711" t="s">
        <v>9</v>
      </c>
      <c r="E1711">
        <v>10000</v>
      </c>
      <c r="F1711">
        <v>0</v>
      </c>
    </row>
    <row r="1712" spans="1:6" x14ac:dyDescent="0.3">
      <c r="A1712" t="s">
        <v>1759</v>
      </c>
      <c r="B1712" t="s">
        <v>29</v>
      </c>
      <c r="C1712">
        <v>2004</v>
      </c>
      <c r="D1712" t="s">
        <v>14</v>
      </c>
      <c r="E1712">
        <v>13465</v>
      </c>
      <c r="F1712">
        <v>400000</v>
      </c>
    </row>
    <row r="1713" spans="1:6" x14ac:dyDescent="0.3">
      <c r="A1713" t="s">
        <v>1760</v>
      </c>
      <c r="B1713" t="s">
        <v>29</v>
      </c>
      <c r="C1713">
        <v>2005</v>
      </c>
      <c r="D1713" t="s">
        <v>2689</v>
      </c>
      <c r="E1713">
        <v>0</v>
      </c>
      <c r="F1713">
        <v>50</v>
      </c>
    </row>
    <row r="1714" spans="1:6" x14ac:dyDescent="0.3">
      <c r="A1714" t="s">
        <v>1761</v>
      </c>
      <c r="B1714" t="s">
        <v>29</v>
      </c>
      <c r="C1714">
        <v>2006</v>
      </c>
      <c r="D1714" t="s">
        <v>9</v>
      </c>
      <c r="E1714">
        <v>1100</v>
      </c>
      <c r="F1714">
        <v>0</v>
      </c>
    </row>
    <row r="1715" spans="1:6" x14ac:dyDescent="0.3">
      <c r="A1715" t="s">
        <v>1762</v>
      </c>
      <c r="B1715" t="s">
        <v>29</v>
      </c>
      <c r="C1715">
        <v>2006</v>
      </c>
      <c r="D1715" t="s">
        <v>9</v>
      </c>
      <c r="E1715">
        <v>0</v>
      </c>
      <c r="F1715">
        <v>0</v>
      </c>
    </row>
    <row r="1716" spans="1:6" x14ac:dyDescent="0.3">
      <c r="A1716" t="s">
        <v>1763</v>
      </c>
      <c r="B1716" t="s">
        <v>29</v>
      </c>
      <c r="C1716">
        <v>2006</v>
      </c>
      <c r="D1716" t="s">
        <v>9</v>
      </c>
      <c r="E1716">
        <v>1000</v>
      </c>
      <c r="F1716">
        <v>0</v>
      </c>
    </row>
    <row r="1717" spans="1:6" x14ac:dyDescent="0.3">
      <c r="A1717" t="s">
        <v>1764</v>
      </c>
      <c r="B1717" t="s">
        <v>29</v>
      </c>
      <c r="C1717">
        <v>2008</v>
      </c>
      <c r="D1717" t="s">
        <v>9</v>
      </c>
      <c r="E1717">
        <v>20000</v>
      </c>
      <c r="F1717">
        <v>0</v>
      </c>
    </row>
    <row r="1718" spans="1:6" x14ac:dyDescent="0.3">
      <c r="A1718" t="s">
        <v>1765</v>
      </c>
      <c r="B1718" t="s">
        <v>29</v>
      </c>
      <c r="C1718">
        <v>2009</v>
      </c>
      <c r="D1718" t="s">
        <v>9</v>
      </c>
      <c r="E1718">
        <v>2000</v>
      </c>
      <c r="F1718">
        <v>0</v>
      </c>
    </row>
    <row r="1719" spans="1:6" x14ac:dyDescent="0.3">
      <c r="A1719" t="s">
        <v>1766</v>
      </c>
      <c r="B1719" t="s">
        <v>29</v>
      </c>
      <c r="C1719">
        <v>2009</v>
      </c>
      <c r="D1719" t="s">
        <v>9</v>
      </c>
      <c r="E1719">
        <v>7520</v>
      </c>
      <c r="F1719">
        <v>0</v>
      </c>
    </row>
    <row r="1720" spans="1:6" x14ac:dyDescent="0.3">
      <c r="A1720" t="s">
        <v>1767</v>
      </c>
      <c r="B1720" t="s">
        <v>29</v>
      </c>
      <c r="C1720">
        <v>2010</v>
      </c>
      <c r="D1720" t="s">
        <v>9</v>
      </c>
      <c r="E1720">
        <v>2006</v>
      </c>
      <c r="F1720">
        <v>0</v>
      </c>
    </row>
    <row r="1721" spans="1:6" x14ac:dyDescent="0.3">
      <c r="A1721" t="s">
        <v>1768</v>
      </c>
      <c r="B1721" t="s">
        <v>29</v>
      </c>
      <c r="C1721">
        <v>2010</v>
      </c>
      <c r="D1721" t="s">
        <v>9</v>
      </c>
      <c r="E1721">
        <v>75003</v>
      </c>
      <c r="F1721">
        <v>29000</v>
      </c>
    </row>
    <row r="1722" spans="1:6" x14ac:dyDescent="0.3">
      <c r="A1722" t="s">
        <v>1769</v>
      </c>
      <c r="B1722" t="s">
        <v>29</v>
      </c>
      <c r="C1722">
        <v>2014</v>
      </c>
      <c r="D1722" t="s">
        <v>9</v>
      </c>
      <c r="E1722">
        <v>0</v>
      </c>
      <c r="F1722">
        <v>0</v>
      </c>
    </row>
    <row r="1723" spans="1:6" x14ac:dyDescent="0.3">
      <c r="A1723" t="s">
        <v>1770</v>
      </c>
      <c r="B1723" t="s">
        <v>29</v>
      </c>
      <c r="C1723">
        <v>2014</v>
      </c>
      <c r="D1723" t="s">
        <v>2689</v>
      </c>
      <c r="E1723">
        <v>0</v>
      </c>
      <c r="F1723">
        <v>0</v>
      </c>
    </row>
    <row r="1724" spans="1:6" x14ac:dyDescent="0.3">
      <c r="A1724" t="s">
        <v>1771</v>
      </c>
      <c r="B1724" t="s">
        <v>29</v>
      </c>
      <c r="C1724">
        <v>2014</v>
      </c>
      <c r="D1724" t="s">
        <v>2689</v>
      </c>
      <c r="E1724">
        <v>117000</v>
      </c>
      <c r="F1724">
        <v>300000</v>
      </c>
    </row>
    <row r="1725" spans="1:6" x14ac:dyDescent="0.3">
      <c r="A1725" t="s">
        <v>1772</v>
      </c>
      <c r="B1725" t="s">
        <v>29</v>
      </c>
      <c r="C1725">
        <v>2019</v>
      </c>
      <c r="D1725" t="s">
        <v>9</v>
      </c>
      <c r="E1725">
        <v>29</v>
      </c>
      <c r="F1725">
        <v>0</v>
      </c>
    </row>
    <row r="1726" spans="1:6" x14ac:dyDescent="0.3">
      <c r="A1726" t="s">
        <v>1773</v>
      </c>
      <c r="B1726" t="s">
        <v>29</v>
      </c>
      <c r="C1726">
        <v>2019</v>
      </c>
      <c r="D1726" t="s">
        <v>9</v>
      </c>
      <c r="E1726">
        <v>200</v>
      </c>
      <c r="F1726">
        <v>0</v>
      </c>
    </row>
    <row r="1727" spans="1:6" x14ac:dyDescent="0.3">
      <c r="A1727" t="s">
        <v>1774</v>
      </c>
      <c r="B1727" t="s">
        <v>29</v>
      </c>
      <c r="C1727">
        <v>2021</v>
      </c>
      <c r="D1727" t="s">
        <v>9</v>
      </c>
      <c r="E1727">
        <v>10</v>
      </c>
      <c r="F1727">
        <v>0</v>
      </c>
    </row>
    <row r="1728" spans="1:6" x14ac:dyDescent="0.3">
      <c r="A1728" t="s">
        <v>1775</v>
      </c>
      <c r="B1728" t="s">
        <v>29</v>
      </c>
      <c r="C1728">
        <v>2021</v>
      </c>
      <c r="D1728" t="s">
        <v>9</v>
      </c>
      <c r="E1728">
        <v>1375</v>
      </c>
      <c r="F1728">
        <v>0</v>
      </c>
    </row>
    <row r="1729" spans="1:6" x14ac:dyDescent="0.3">
      <c r="A1729" t="s">
        <v>1776</v>
      </c>
      <c r="B1729" t="s">
        <v>29</v>
      </c>
      <c r="C1729">
        <v>2023</v>
      </c>
      <c r="D1729" t="s">
        <v>14</v>
      </c>
      <c r="E1729">
        <v>845674</v>
      </c>
      <c r="F1729">
        <v>7000000</v>
      </c>
    </row>
    <row r="1730" spans="1:6" x14ac:dyDescent="0.3">
      <c r="A1730" t="s">
        <v>1777</v>
      </c>
      <c r="B1730" t="s">
        <v>29</v>
      </c>
      <c r="C1730">
        <v>2024</v>
      </c>
      <c r="D1730" t="s">
        <v>9</v>
      </c>
      <c r="E1730">
        <v>168</v>
      </c>
      <c r="F1730">
        <v>0</v>
      </c>
    </row>
    <row r="1731" spans="1:6" x14ac:dyDescent="0.3">
      <c r="A1731" t="s">
        <v>1778</v>
      </c>
      <c r="B1731" t="s">
        <v>30</v>
      </c>
      <c r="C1731">
        <v>2001</v>
      </c>
      <c r="D1731" t="s">
        <v>7</v>
      </c>
      <c r="E1731">
        <v>100000</v>
      </c>
      <c r="F1731">
        <v>0</v>
      </c>
    </row>
    <row r="1732" spans="1:6" x14ac:dyDescent="0.3">
      <c r="A1732" t="s">
        <v>1779</v>
      </c>
      <c r="B1732" t="s">
        <v>30</v>
      </c>
      <c r="C1732">
        <v>2001</v>
      </c>
      <c r="D1732" t="s">
        <v>9</v>
      </c>
      <c r="E1732">
        <v>549326</v>
      </c>
      <c r="F1732">
        <v>36000</v>
      </c>
    </row>
    <row r="1733" spans="1:6" x14ac:dyDescent="0.3">
      <c r="A1733" t="s">
        <v>1780</v>
      </c>
      <c r="B1733" t="s">
        <v>30</v>
      </c>
      <c r="C1733">
        <v>2001</v>
      </c>
      <c r="D1733" t="s">
        <v>9</v>
      </c>
      <c r="E1733">
        <v>200000</v>
      </c>
      <c r="F1733">
        <v>0</v>
      </c>
    </row>
    <row r="1734" spans="1:6" x14ac:dyDescent="0.3">
      <c r="A1734" t="s">
        <v>1781</v>
      </c>
      <c r="B1734" t="s">
        <v>30</v>
      </c>
      <c r="C1734">
        <v>2002</v>
      </c>
      <c r="D1734" t="s">
        <v>7</v>
      </c>
      <c r="E1734">
        <v>600000</v>
      </c>
      <c r="F1734">
        <v>0</v>
      </c>
    </row>
    <row r="1735" spans="1:6" x14ac:dyDescent="0.3">
      <c r="A1735" t="s">
        <v>1782</v>
      </c>
      <c r="B1735" t="s">
        <v>30</v>
      </c>
      <c r="C1735">
        <v>2002</v>
      </c>
      <c r="D1735" t="s">
        <v>9</v>
      </c>
      <c r="E1735">
        <v>500</v>
      </c>
      <c r="F1735">
        <v>0</v>
      </c>
    </row>
    <row r="1736" spans="1:6" x14ac:dyDescent="0.3">
      <c r="A1736" t="s">
        <v>1783</v>
      </c>
      <c r="B1736" t="s">
        <v>30</v>
      </c>
      <c r="C1736">
        <v>2002</v>
      </c>
      <c r="D1736" t="s">
        <v>2689</v>
      </c>
      <c r="E1736">
        <v>4017</v>
      </c>
      <c r="F1736">
        <v>0</v>
      </c>
    </row>
    <row r="1737" spans="1:6" x14ac:dyDescent="0.3">
      <c r="A1737" t="s">
        <v>1784</v>
      </c>
      <c r="B1737" t="s">
        <v>30</v>
      </c>
      <c r="C1737">
        <v>2003</v>
      </c>
      <c r="D1737" t="s">
        <v>7</v>
      </c>
      <c r="E1737">
        <v>119500</v>
      </c>
      <c r="F1737">
        <v>0</v>
      </c>
    </row>
    <row r="1738" spans="1:6" x14ac:dyDescent="0.3">
      <c r="A1738" t="s">
        <v>1785</v>
      </c>
      <c r="B1738" t="s">
        <v>30</v>
      </c>
      <c r="C1738">
        <v>2003</v>
      </c>
      <c r="D1738" t="s">
        <v>9</v>
      </c>
      <c r="E1738">
        <v>100003</v>
      </c>
      <c r="F1738">
        <v>0</v>
      </c>
    </row>
    <row r="1739" spans="1:6" x14ac:dyDescent="0.3">
      <c r="A1739" t="s">
        <v>1786</v>
      </c>
      <c r="B1739" t="s">
        <v>30</v>
      </c>
      <c r="C1739">
        <v>2003</v>
      </c>
      <c r="D1739" t="s">
        <v>9</v>
      </c>
      <c r="E1739">
        <v>400000</v>
      </c>
      <c r="F1739">
        <v>0</v>
      </c>
    </row>
    <row r="1740" spans="1:6" x14ac:dyDescent="0.3">
      <c r="A1740" t="s">
        <v>1787</v>
      </c>
      <c r="B1740" t="s">
        <v>30</v>
      </c>
      <c r="C1740">
        <v>2003</v>
      </c>
      <c r="D1740" t="s">
        <v>9</v>
      </c>
      <c r="E1740">
        <v>15000</v>
      </c>
      <c r="F1740">
        <v>0</v>
      </c>
    </row>
    <row r="1741" spans="1:6" x14ac:dyDescent="0.3">
      <c r="A1741" t="s">
        <v>1788</v>
      </c>
      <c r="B1741" t="s">
        <v>30</v>
      </c>
      <c r="C1741">
        <v>2003</v>
      </c>
      <c r="D1741" t="s">
        <v>2689</v>
      </c>
      <c r="E1741">
        <v>23010</v>
      </c>
      <c r="F1741">
        <v>0</v>
      </c>
    </row>
    <row r="1742" spans="1:6" x14ac:dyDescent="0.3">
      <c r="A1742" t="s">
        <v>1789</v>
      </c>
      <c r="B1742" t="s">
        <v>30</v>
      </c>
      <c r="C1742">
        <v>2005</v>
      </c>
      <c r="D1742" t="s">
        <v>7</v>
      </c>
      <c r="E1742">
        <v>1400000</v>
      </c>
      <c r="F1742">
        <v>0</v>
      </c>
    </row>
    <row r="1743" spans="1:6" x14ac:dyDescent="0.3">
      <c r="A1743" t="s">
        <v>1790</v>
      </c>
      <c r="B1743" t="s">
        <v>30</v>
      </c>
      <c r="C1743">
        <v>2005</v>
      </c>
      <c r="D1743" t="s">
        <v>9</v>
      </c>
      <c r="E1743">
        <v>18825</v>
      </c>
      <c r="F1743">
        <v>0</v>
      </c>
    </row>
    <row r="1744" spans="1:6" x14ac:dyDescent="0.3">
      <c r="A1744" t="s">
        <v>1791</v>
      </c>
      <c r="B1744" t="s">
        <v>30</v>
      </c>
      <c r="C1744">
        <v>2005</v>
      </c>
      <c r="D1744" t="s">
        <v>9</v>
      </c>
      <c r="E1744">
        <v>29012</v>
      </c>
      <c r="F1744">
        <v>0</v>
      </c>
    </row>
    <row r="1745" spans="1:6" x14ac:dyDescent="0.3">
      <c r="A1745" t="s">
        <v>1792</v>
      </c>
      <c r="B1745" t="s">
        <v>30</v>
      </c>
      <c r="C1745">
        <v>2006</v>
      </c>
      <c r="D1745" t="s">
        <v>14</v>
      </c>
      <c r="E1745">
        <v>1476</v>
      </c>
      <c r="F1745">
        <v>0</v>
      </c>
    </row>
    <row r="1746" spans="1:6" x14ac:dyDescent="0.3">
      <c r="A1746" t="s">
        <v>1793</v>
      </c>
      <c r="B1746" t="s">
        <v>30</v>
      </c>
      <c r="C1746">
        <v>2007</v>
      </c>
      <c r="D1746" t="s">
        <v>7</v>
      </c>
      <c r="E1746">
        <v>520000</v>
      </c>
      <c r="F1746">
        <v>0</v>
      </c>
    </row>
    <row r="1747" spans="1:6" x14ac:dyDescent="0.3">
      <c r="A1747" t="s">
        <v>1794</v>
      </c>
      <c r="B1747" t="s">
        <v>30</v>
      </c>
      <c r="C1747">
        <v>2007</v>
      </c>
      <c r="D1747" t="s">
        <v>9</v>
      </c>
      <c r="E1747">
        <v>285000</v>
      </c>
      <c r="F1747">
        <v>71000</v>
      </c>
    </row>
    <row r="1748" spans="1:6" x14ac:dyDescent="0.3">
      <c r="A1748" t="s">
        <v>1795</v>
      </c>
      <c r="B1748" t="s">
        <v>30</v>
      </c>
      <c r="C1748">
        <v>2007</v>
      </c>
      <c r="D1748" t="s">
        <v>9</v>
      </c>
      <c r="E1748">
        <v>3500</v>
      </c>
      <c r="F1748">
        <v>0</v>
      </c>
    </row>
    <row r="1749" spans="1:6" x14ac:dyDescent="0.3">
      <c r="A1749" t="s">
        <v>1796</v>
      </c>
      <c r="B1749" t="s">
        <v>30</v>
      </c>
      <c r="C1749">
        <v>2007</v>
      </c>
      <c r="D1749" t="s">
        <v>9</v>
      </c>
      <c r="E1749">
        <v>113535</v>
      </c>
      <c r="F1749">
        <v>100000</v>
      </c>
    </row>
    <row r="1750" spans="1:6" x14ac:dyDescent="0.3">
      <c r="A1750" t="s">
        <v>1797</v>
      </c>
      <c r="B1750" t="s">
        <v>30</v>
      </c>
      <c r="C1750">
        <v>2007</v>
      </c>
      <c r="D1750" t="s">
        <v>9</v>
      </c>
      <c r="E1750">
        <v>0</v>
      </c>
      <c r="F1750">
        <v>0</v>
      </c>
    </row>
    <row r="1751" spans="1:6" x14ac:dyDescent="0.3">
      <c r="A1751" t="s">
        <v>1798</v>
      </c>
      <c r="B1751" t="s">
        <v>30</v>
      </c>
      <c r="C1751">
        <v>2007</v>
      </c>
      <c r="D1751" t="s">
        <v>2689</v>
      </c>
      <c r="E1751">
        <v>162770</v>
      </c>
      <c r="F1751">
        <v>0</v>
      </c>
    </row>
    <row r="1752" spans="1:6" x14ac:dyDescent="0.3">
      <c r="A1752" t="s">
        <v>1799</v>
      </c>
      <c r="B1752" t="s">
        <v>30</v>
      </c>
      <c r="C1752">
        <v>2008</v>
      </c>
      <c r="D1752" t="s">
        <v>7</v>
      </c>
      <c r="E1752">
        <v>500000</v>
      </c>
      <c r="F1752">
        <v>0</v>
      </c>
    </row>
    <row r="1753" spans="1:6" x14ac:dyDescent="0.3">
      <c r="A1753" t="s">
        <v>1800</v>
      </c>
      <c r="B1753" t="s">
        <v>30</v>
      </c>
      <c r="C1753">
        <v>2008</v>
      </c>
      <c r="D1753" t="s">
        <v>9</v>
      </c>
      <c r="E1753">
        <v>3500</v>
      </c>
      <c r="F1753">
        <v>0</v>
      </c>
    </row>
    <row r="1754" spans="1:6" x14ac:dyDescent="0.3">
      <c r="A1754" t="s">
        <v>1801</v>
      </c>
      <c r="B1754" t="s">
        <v>30</v>
      </c>
      <c r="C1754">
        <v>2008</v>
      </c>
      <c r="D1754" t="s">
        <v>2689</v>
      </c>
      <c r="E1754">
        <v>220013</v>
      </c>
      <c r="F1754">
        <v>20000</v>
      </c>
    </row>
    <row r="1755" spans="1:6" x14ac:dyDescent="0.3">
      <c r="A1755" t="s">
        <v>1802</v>
      </c>
      <c r="B1755" t="s">
        <v>30</v>
      </c>
      <c r="C1755">
        <v>2009</v>
      </c>
      <c r="D1755" t="s">
        <v>9</v>
      </c>
      <c r="E1755">
        <v>6925</v>
      </c>
      <c r="F1755">
        <v>0</v>
      </c>
    </row>
    <row r="1756" spans="1:6" x14ac:dyDescent="0.3">
      <c r="A1756" t="s">
        <v>1803</v>
      </c>
      <c r="B1756" t="s">
        <v>30</v>
      </c>
      <c r="C1756">
        <v>2009</v>
      </c>
      <c r="D1756" t="s">
        <v>2689</v>
      </c>
      <c r="E1756">
        <v>7103</v>
      </c>
      <c r="F1756">
        <v>3000</v>
      </c>
    </row>
    <row r="1757" spans="1:6" x14ac:dyDescent="0.3">
      <c r="A1757" t="s">
        <v>1804</v>
      </c>
      <c r="B1757" t="s">
        <v>30</v>
      </c>
      <c r="C1757">
        <v>2010</v>
      </c>
      <c r="D1757" t="s">
        <v>7</v>
      </c>
      <c r="E1757">
        <v>460000</v>
      </c>
      <c r="F1757">
        <v>0</v>
      </c>
    </row>
    <row r="1758" spans="1:6" x14ac:dyDescent="0.3">
      <c r="A1758" t="s">
        <v>1805</v>
      </c>
      <c r="B1758" t="s">
        <v>30</v>
      </c>
      <c r="C1758">
        <v>2010</v>
      </c>
      <c r="D1758" t="s">
        <v>9</v>
      </c>
      <c r="E1758">
        <v>17000</v>
      </c>
      <c r="F1758">
        <v>0</v>
      </c>
    </row>
    <row r="1759" spans="1:6" x14ac:dyDescent="0.3">
      <c r="A1759" t="s">
        <v>1806</v>
      </c>
      <c r="B1759" t="s">
        <v>30</v>
      </c>
      <c r="C1759">
        <v>2011</v>
      </c>
      <c r="D1759" t="s">
        <v>9</v>
      </c>
      <c r="E1759">
        <v>30000</v>
      </c>
      <c r="F1759">
        <v>0</v>
      </c>
    </row>
    <row r="1760" spans="1:6" x14ac:dyDescent="0.3">
      <c r="A1760" t="s">
        <v>1807</v>
      </c>
      <c r="B1760" t="s">
        <v>30</v>
      </c>
      <c r="C1760">
        <v>2011</v>
      </c>
      <c r="D1760" t="s">
        <v>9</v>
      </c>
      <c r="E1760">
        <v>33946</v>
      </c>
      <c r="F1760">
        <v>0</v>
      </c>
    </row>
    <row r="1761" spans="1:6" x14ac:dyDescent="0.3">
      <c r="A1761" t="s">
        <v>1808</v>
      </c>
      <c r="B1761" t="s">
        <v>30</v>
      </c>
      <c r="C1761">
        <v>2011</v>
      </c>
      <c r="D1761" t="s">
        <v>2689</v>
      </c>
      <c r="E1761">
        <v>0</v>
      </c>
      <c r="F1761">
        <v>0</v>
      </c>
    </row>
    <row r="1762" spans="1:6" x14ac:dyDescent="0.3">
      <c r="A1762" t="s">
        <v>1809</v>
      </c>
      <c r="B1762" t="s">
        <v>30</v>
      </c>
      <c r="C1762">
        <v>2012</v>
      </c>
      <c r="D1762" t="s">
        <v>2689</v>
      </c>
      <c r="E1762">
        <v>65000</v>
      </c>
      <c r="F1762">
        <v>0</v>
      </c>
    </row>
    <row r="1763" spans="1:6" x14ac:dyDescent="0.3">
      <c r="A1763" t="s">
        <v>1810</v>
      </c>
      <c r="B1763" t="s">
        <v>30</v>
      </c>
      <c r="C1763">
        <v>2012</v>
      </c>
      <c r="D1763" t="s">
        <v>2689</v>
      </c>
      <c r="E1763">
        <v>40042</v>
      </c>
      <c r="F1763">
        <v>0</v>
      </c>
    </row>
    <row r="1764" spans="1:6" x14ac:dyDescent="0.3">
      <c r="A1764" t="s">
        <v>1811</v>
      </c>
      <c r="B1764" t="s">
        <v>30</v>
      </c>
      <c r="C1764">
        <v>2012</v>
      </c>
      <c r="D1764" t="s">
        <v>2689</v>
      </c>
      <c r="E1764">
        <v>4958</v>
      </c>
      <c r="F1764">
        <v>0</v>
      </c>
    </row>
    <row r="1765" spans="1:6" x14ac:dyDescent="0.3">
      <c r="A1765" t="s">
        <v>1812</v>
      </c>
      <c r="B1765" t="s">
        <v>30</v>
      </c>
      <c r="C1765">
        <v>2013</v>
      </c>
      <c r="D1765" t="s">
        <v>9</v>
      </c>
      <c r="E1765">
        <v>240000</v>
      </c>
      <c r="F1765">
        <v>30000</v>
      </c>
    </row>
    <row r="1766" spans="1:6" x14ac:dyDescent="0.3">
      <c r="A1766" t="s">
        <v>1813</v>
      </c>
      <c r="B1766" t="s">
        <v>30</v>
      </c>
      <c r="C1766">
        <v>2014</v>
      </c>
      <c r="D1766" t="s">
        <v>9</v>
      </c>
      <c r="E1766">
        <v>75986</v>
      </c>
      <c r="F1766">
        <v>0</v>
      </c>
    </row>
    <row r="1767" spans="1:6" x14ac:dyDescent="0.3">
      <c r="A1767" t="s">
        <v>1814</v>
      </c>
      <c r="B1767" t="s">
        <v>30</v>
      </c>
      <c r="C1767">
        <v>2014</v>
      </c>
      <c r="D1767" t="s">
        <v>9</v>
      </c>
      <c r="E1767">
        <v>300</v>
      </c>
      <c r="F1767">
        <v>0</v>
      </c>
    </row>
    <row r="1768" spans="1:6" x14ac:dyDescent="0.3">
      <c r="A1768" t="s">
        <v>1815</v>
      </c>
      <c r="B1768" t="s">
        <v>30</v>
      </c>
      <c r="C1768">
        <v>2015</v>
      </c>
      <c r="D1768" t="s">
        <v>9</v>
      </c>
      <c r="E1768">
        <v>177645</v>
      </c>
      <c r="F1768">
        <v>0</v>
      </c>
    </row>
    <row r="1769" spans="1:6" x14ac:dyDescent="0.3">
      <c r="A1769" t="s">
        <v>1816</v>
      </c>
      <c r="B1769" t="s">
        <v>30</v>
      </c>
      <c r="C1769">
        <v>2016</v>
      </c>
      <c r="D1769" t="s">
        <v>7</v>
      </c>
      <c r="E1769">
        <v>2300000</v>
      </c>
      <c r="F1769">
        <v>0</v>
      </c>
    </row>
    <row r="1770" spans="1:6" x14ac:dyDescent="0.3">
      <c r="A1770" t="s">
        <v>1817</v>
      </c>
      <c r="B1770" t="s">
        <v>30</v>
      </c>
      <c r="C1770">
        <v>2016</v>
      </c>
      <c r="D1770" t="s">
        <v>9</v>
      </c>
      <c r="E1770">
        <v>6600</v>
      </c>
      <c r="F1770">
        <v>0</v>
      </c>
    </row>
    <row r="1771" spans="1:6" x14ac:dyDescent="0.3">
      <c r="A1771" t="s">
        <v>1818</v>
      </c>
      <c r="B1771" t="s">
        <v>30</v>
      </c>
      <c r="C1771">
        <v>2016</v>
      </c>
      <c r="D1771" t="s">
        <v>9</v>
      </c>
      <c r="E1771">
        <v>165000</v>
      </c>
      <c r="F1771">
        <v>0</v>
      </c>
    </row>
    <row r="1772" spans="1:6" x14ac:dyDescent="0.3">
      <c r="A1772" t="s">
        <v>1819</v>
      </c>
      <c r="B1772" t="s">
        <v>30</v>
      </c>
      <c r="C1772">
        <v>2016</v>
      </c>
      <c r="D1772" t="s">
        <v>2689</v>
      </c>
      <c r="E1772">
        <v>1700</v>
      </c>
      <c r="F1772">
        <v>1500</v>
      </c>
    </row>
    <row r="1773" spans="1:6" x14ac:dyDescent="0.3">
      <c r="A1773" t="s">
        <v>1820</v>
      </c>
      <c r="B1773" t="s">
        <v>30</v>
      </c>
      <c r="C1773">
        <v>2017</v>
      </c>
      <c r="D1773" t="s">
        <v>2689</v>
      </c>
      <c r="E1773">
        <v>750102</v>
      </c>
      <c r="F1773">
        <v>17000</v>
      </c>
    </row>
    <row r="1774" spans="1:6" x14ac:dyDescent="0.3">
      <c r="A1774" t="s">
        <v>1821</v>
      </c>
      <c r="B1774" t="s">
        <v>30</v>
      </c>
      <c r="C1774">
        <v>2018</v>
      </c>
      <c r="D1774" t="s">
        <v>9</v>
      </c>
      <c r="E1774">
        <v>77150</v>
      </c>
      <c r="F1774">
        <v>5100</v>
      </c>
    </row>
    <row r="1775" spans="1:6" x14ac:dyDescent="0.3">
      <c r="A1775" t="s">
        <v>1822</v>
      </c>
      <c r="B1775" t="s">
        <v>30</v>
      </c>
      <c r="C1775">
        <v>2019</v>
      </c>
      <c r="D1775" t="s">
        <v>9</v>
      </c>
      <c r="E1775">
        <v>0</v>
      </c>
      <c r="F1775">
        <v>0</v>
      </c>
    </row>
    <row r="1776" spans="1:6" x14ac:dyDescent="0.3">
      <c r="A1776" t="s">
        <v>1823</v>
      </c>
      <c r="B1776" t="s">
        <v>30</v>
      </c>
      <c r="C1776">
        <v>2019</v>
      </c>
      <c r="D1776" t="s">
        <v>9</v>
      </c>
      <c r="E1776">
        <v>63000</v>
      </c>
      <c r="F1776">
        <v>0</v>
      </c>
    </row>
    <row r="1777" spans="1:6" x14ac:dyDescent="0.3">
      <c r="A1777" t="s">
        <v>1824</v>
      </c>
      <c r="B1777" t="s">
        <v>30</v>
      </c>
      <c r="C1777">
        <v>2019</v>
      </c>
      <c r="D1777" t="s">
        <v>9</v>
      </c>
      <c r="E1777">
        <v>58066</v>
      </c>
      <c r="F1777">
        <v>0</v>
      </c>
    </row>
    <row r="1778" spans="1:6" x14ac:dyDescent="0.3">
      <c r="A1778" t="s">
        <v>1825</v>
      </c>
      <c r="B1778" t="s">
        <v>30</v>
      </c>
      <c r="C1778">
        <v>2019</v>
      </c>
      <c r="D1778" t="s">
        <v>2689</v>
      </c>
      <c r="E1778">
        <v>1501500</v>
      </c>
      <c r="F1778">
        <v>2000000</v>
      </c>
    </row>
    <row r="1779" spans="1:6" x14ac:dyDescent="0.3">
      <c r="A1779" t="s">
        <v>1826</v>
      </c>
      <c r="B1779" t="s">
        <v>30</v>
      </c>
      <c r="C1779">
        <v>2019</v>
      </c>
      <c r="D1779" t="s">
        <v>2689</v>
      </c>
      <c r="E1779">
        <v>400094</v>
      </c>
      <c r="F1779">
        <v>230000</v>
      </c>
    </row>
    <row r="1780" spans="1:6" x14ac:dyDescent="0.3">
      <c r="A1780" t="s">
        <v>1827</v>
      </c>
      <c r="B1780" t="s">
        <v>30</v>
      </c>
      <c r="C1780">
        <v>2020</v>
      </c>
      <c r="D1780" t="s">
        <v>7</v>
      </c>
      <c r="E1780">
        <v>2700000</v>
      </c>
      <c r="F1780">
        <v>0</v>
      </c>
    </row>
    <row r="1781" spans="1:6" x14ac:dyDescent="0.3">
      <c r="A1781" t="s">
        <v>1828</v>
      </c>
      <c r="B1781" t="s">
        <v>30</v>
      </c>
      <c r="C1781">
        <v>2020</v>
      </c>
      <c r="D1781" t="s">
        <v>9</v>
      </c>
      <c r="E1781">
        <v>8700</v>
      </c>
      <c r="F1781">
        <v>0</v>
      </c>
    </row>
    <row r="1782" spans="1:6" x14ac:dyDescent="0.3">
      <c r="A1782" t="s">
        <v>1829</v>
      </c>
      <c r="B1782" t="s">
        <v>30</v>
      </c>
      <c r="C1782">
        <v>2020</v>
      </c>
      <c r="D1782" t="s">
        <v>9</v>
      </c>
      <c r="E1782">
        <v>145000</v>
      </c>
      <c r="F1782">
        <v>0</v>
      </c>
    </row>
    <row r="1783" spans="1:6" x14ac:dyDescent="0.3">
      <c r="A1783" t="s">
        <v>1830</v>
      </c>
      <c r="B1783" t="s">
        <v>30</v>
      </c>
      <c r="C1783">
        <v>2021</v>
      </c>
      <c r="D1783" t="s">
        <v>7</v>
      </c>
      <c r="E1783">
        <v>1562771</v>
      </c>
      <c r="F1783">
        <v>0</v>
      </c>
    </row>
    <row r="1784" spans="1:6" x14ac:dyDescent="0.3">
      <c r="A1784" t="s">
        <v>1831</v>
      </c>
      <c r="B1784" t="s">
        <v>30</v>
      </c>
      <c r="C1784">
        <v>2021</v>
      </c>
      <c r="D1784" t="s">
        <v>9</v>
      </c>
      <c r="E1784">
        <v>11410</v>
      </c>
      <c r="F1784">
        <v>0</v>
      </c>
    </row>
    <row r="1785" spans="1:6" x14ac:dyDescent="0.3">
      <c r="A1785" t="s">
        <v>1832</v>
      </c>
      <c r="B1785" t="s">
        <v>30</v>
      </c>
      <c r="C1785">
        <v>2021</v>
      </c>
      <c r="D1785" t="s">
        <v>2689</v>
      </c>
      <c r="E1785">
        <v>481901</v>
      </c>
      <c r="F1785">
        <v>0</v>
      </c>
    </row>
    <row r="1786" spans="1:6" x14ac:dyDescent="0.3">
      <c r="A1786" t="s">
        <v>1833</v>
      </c>
      <c r="B1786" t="s">
        <v>30</v>
      </c>
      <c r="C1786">
        <v>2022</v>
      </c>
      <c r="D1786" t="s">
        <v>9</v>
      </c>
      <c r="E1786">
        <v>78271</v>
      </c>
      <c r="F1786">
        <v>0</v>
      </c>
    </row>
    <row r="1787" spans="1:6" x14ac:dyDescent="0.3">
      <c r="A1787" t="s">
        <v>1834</v>
      </c>
      <c r="B1787" t="s">
        <v>30</v>
      </c>
      <c r="C1787">
        <v>2022</v>
      </c>
      <c r="D1787" t="s">
        <v>2689</v>
      </c>
      <c r="E1787">
        <v>185636</v>
      </c>
      <c r="F1787">
        <v>0</v>
      </c>
    </row>
    <row r="1788" spans="1:6" x14ac:dyDescent="0.3">
      <c r="A1788" t="s">
        <v>1835</v>
      </c>
      <c r="B1788" t="s">
        <v>30</v>
      </c>
      <c r="C1788">
        <v>2022</v>
      </c>
      <c r="D1788" t="s">
        <v>2689</v>
      </c>
      <c r="E1788">
        <v>23733</v>
      </c>
      <c r="F1788">
        <v>0</v>
      </c>
    </row>
    <row r="1789" spans="1:6" x14ac:dyDescent="0.3">
      <c r="A1789" t="s">
        <v>1836</v>
      </c>
      <c r="B1789" t="s">
        <v>30</v>
      </c>
      <c r="C1789">
        <v>2022</v>
      </c>
      <c r="D1789" t="s">
        <v>2689</v>
      </c>
      <c r="E1789">
        <v>736123</v>
      </c>
      <c r="F1789">
        <v>0</v>
      </c>
    </row>
    <row r="1790" spans="1:6" x14ac:dyDescent="0.3">
      <c r="A1790" t="s">
        <v>1837</v>
      </c>
      <c r="B1790" t="s">
        <v>30</v>
      </c>
      <c r="C1790">
        <v>2023</v>
      </c>
      <c r="D1790" t="s">
        <v>7</v>
      </c>
      <c r="E1790">
        <v>3300000</v>
      </c>
      <c r="F1790">
        <v>0</v>
      </c>
    </row>
    <row r="1791" spans="1:6" x14ac:dyDescent="0.3">
      <c r="A1791" t="s">
        <v>1838</v>
      </c>
      <c r="B1791" t="s">
        <v>30</v>
      </c>
      <c r="C1791">
        <v>2023</v>
      </c>
      <c r="D1791" t="s">
        <v>9</v>
      </c>
      <c r="E1791">
        <v>89093</v>
      </c>
      <c r="F1791">
        <v>0</v>
      </c>
    </row>
    <row r="1792" spans="1:6" x14ac:dyDescent="0.3">
      <c r="A1792" t="s">
        <v>1839</v>
      </c>
      <c r="B1792" t="s">
        <v>30</v>
      </c>
      <c r="C1792">
        <v>2023</v>
      </c>
      <c r="D1792" t="s">
        <v>2689</v>
      </c>
      <c r="E1792">
        <v>1231389</v>
      </c>
      <c r="F1792">
        <v>0</v>
      </c>
    </row>
    <row r="1793" spans="1:6" x14ac:dyDescent="0.3">
      <c r="A1793" t="s">
        <v>1840</v>
      </c>
      <c r="B1793" t="s">
        <v>30</v>
      </c>
      <c r="C1793">
        <v>2024</v>
      </c>
      <c r="D1793" t="s">
        <v>2689</v>
      </c>
      <c r="E1793">
        <v>93325</v>
      </c>
      <c r="F1793">
        <v>0</v>
      </c>
    </row>
    <row r="1794" spans="1:6" x14ac:dyDescent="0.3">
      <c r="A1794" t="s">
        <v>1841</v>
      </c>
      <c r="B1794" t="s">
        <v>30</v>
      </c>
      <c r="C1794">
        <v>2024</v>
      </c>
      <c r="D1794" t="s">
        <v>2689</v>
      </c>
      <c r="E1794">
        <v>454839</v>
      </c>
      <c r="F1794">
        <v>0</v>
      </c>
    </row>
    <row r="1795" spans="1:6" x14ac:dyDescent="0.3">
      <c r="A1795" t="s">
        <v>1842</v>
      </c>
      <c r="B1795" t="s">
        <v>45</v>
      </c>
      <c r="C1795">
        <v>2001</v>
      </c>
      <c r="D1795" t="s">
        <v>9</v>
      </c>
      <c r="E1795">
        <v>3750</v>
      </c>
      <c r="F1795">
        <v>0</v>
      </c>
    </row>
    <row r="1796" spans="1:6" x14ac:dyDescent="0.3">
      <c r="A1796" t="s">
        <v>1843</v>
      </c>
      <c r="B1796" t="s">
        <v>45</v>
      </c>
      <c r="C1796">
        <v>2002</v>
      </c>
      <c r="D1796" t="s">
        <v>9</v>
      </c>
      <c r="E1796">
        <v>50000</v>
      </c>
      <c r="F1796">
        <v>0</v>
      </c>
    </row>
    <row r="1797" spans="1:6" x14ac:dyDescent="0.3">
      <c r="A1797" t="s">
        <v>1844</v>
      </c>
      <c r="B1797" t="s">
        <v>45</v>
      </c>
      <c r="C1797">
        <v>2004</v>
      </c>
      <c r="D1797" t="s">
        <v>14</v>
      </c>
      <c r="E1797">
        <v>15700</v>
      </c>
      <c r="F1797">
        <v>500000</v>
      </c>
    </row>
    <row r="1798" spans="1:6" x14ac:dyDescent="0.3">
      <c r="A1798" t="s">
        <v>1845</v>
      </c>
      <c r="B1798" t="s">
        <v>45</v>
      </c>
      <c r="C1798">
        <v>2004</v>
      </c>
      <c r="D1798" t="s">
        <v>2689</v>
      </c>
      <c r="E1798">
        <v>25000</v>
      </c>
      <c r="F1798">
        <v>688</v>
      </c>
    </row>
    <row r="1799" spans="1:6" x14ac:dyDescent="0.3">
      <c r="A1799" t="s">
        <v>1846</v>
      </c>
      <c r="B1799" t="s">
        <v>45</v>
      </c>
      <c r="C1799">
        <v>2006</v>
      </c>
      <c r="D1799" t="s">
        <v>9</v>
      </c>
      <c r="E1799">
        <v>10000</v>
      </c>
      <c r="F1799">
        <v>0</v>
      </c>
    </row>
    <row r="1800" spans="1:6" x14ac:dyDescent="0.3">
      <c r="A1800" t="s">
        <v>1847</v>
      </c>
      <c r="B1800" t="s">
        <v>45</v>
      </c>
      <c r="C1800">
        <v>2006</v>
      </c>
      <c r="D1800" t="s">
        <v>2689</v>
      </c>
      <c r="E1800">
        <v>60106</v>
      </c>
      <c r="F1800">
        <v>0</v>
      </c>
    </row>
    <row r="1801" spans="1:6" x14ac:dyDescent="0.3">
      <c r="A1801" t="s">
        <v>1848</v>
      </c>
      <c r="B1801" t="s">
        <v>45</v>
      </c>
      <c r="C1801">
        <v>2007</v>
      </c>
      <c r="D1801" t="s">
        <v>9</v>
      </c>
      <c r="E1801">
        <v>0</v>
      </c>
      <c r="F1801">
        <v>0</v>
      </c>
    </row>
    <row r="1802" spans="1:6" x14ac:dyDescent="0.3">
      <c r="A1802" t="s">
        <v>1849</v>
      </c>
      <c r="B1802" t="s">
        <v>45</v>
      </c>
      <c r="C1802">
        <v>2007</v>
      </c>
      <c r="D1802" t="s">
        <v>9</v>
      </c>
      <c r="E1802">
        <v>3000</v>
      </c>
      <c r="F1802">
        <v>0</v>
      </c>
    </row>
    <row r="1803" spans="1:6" x14ac:dyDescent="0.3">
      <c r="A1803" t="s">
        <v>1850</v>
      </c>
      <c r="B1803" t="s">
        <v>45</v>
      </c>
      <c r="C1803">
        <v>2007</v>
      </c>
      <c r="D1803" t="s">
        <v>9</v>
      </c>
      <c r="E1803">
        <v>101920</v>
      </c>
      <c r="F1803">
        <v>0</v>
      </c>
    </row>
    <row r="1804" spans="1:6" x14ac:dyDescent="0.3">
      <c r="A1804" t="s">
        <v>1851</v>
      </c>
      <c r="B1804" t="s">
        <v>45</v>
      </c>
      <c r="C1804">
        <v>2007</v>
      </c>
      <c r="D1804" t="s">
        <v>9</v>
      </c>
      <c r="E1804">
        <v>61744</v>
      </c>
      <c r="F1804">
        <v>0</v>
      </c>
    </row>
    <row r="1805" spans="1:6" x14ac:dyDescent="0.3">
      <c r="A1805" t="s">
        <v>1852</v>
      </c>
      <c r="B1805" t="s">
        <v>45</v>
      </c>
      <c r="C1805">
        <v>2008</v>
      </c>
      <c r="D1805" t="s">
        <v>2689</v>
      </c>
      <c r="E1805">
        <v>2420000</v>
      </c>
      <c r="F1805">
        <v>4000000</v>
      </c>
    </row>
    <row r="1806" spans="1:6" x14ac:dyDescent="0.3">
      <c r="A1806" t="s">
        <v>1853</v>
      </c>
      <c r="B1806" t="s">
        <v>45</v>
      </c>
      <c r="C1806">
        <v>2010</v>
      </c>
      <c r="D1806" t="s">
        <v>2689</v>
      </c>
      <c r="E1806">
        <v>260049</v>
      </c>
      <c r="F1806">
        <v>57000</v>
      </c>
    </row>
    <row r="1807" spans="1:6" x14ac:dyDescent="0.3">
      <c r="A1807" t="s">
        <v>1854</v>
      </c>
      <c r="B1807" t="s">
        <v>45</v>
      </c>
      <c r="C1807">
        <v>2011</v>
      </c>
      <c r="D1807" t="s">
        <v>14</v>
      </c>
      <c r="E1807">
        <v>21277</v>
      </c>
      <c r="F1807">
        <v>3600</v>
      </c>
    </row>
    <row r="1808" spans="1:6" x14ac:dyDescent="0.3">
      <c r="A1808" t="s">
        <v>1855</v>
      </c>
      <c r="B1808" t="s">
        <v>45</v>
      </c>
      <c r="C1808">
        <v>2011</v>
      </c>
      <c r="D1808" t="s">
        <v>9</v>
      </c>
      <c r="E1808">
        <v>35734</v>
      </c>
      <c r="F1808">
        <v>1700</v>
      </c>
    </row>
    <row r="1809" spans="1:6" x14ac:dyDescent="0.3">
      <c r="A1809" t="s">
        <v>1856</v>
      </c>
      <c r="B1809" t="s">
        <v>45</v>
      </c>
      <c r="C1809">
        <v>2012</v>
      </c>
      <c r="D1809" t="s">
        <v>14</v>
      </c>
      <c r="E1809">
        <v>1486</v>
      </c>
      <c r="F1809">
        <v>1170</v>
      </c>
    </row>
    <row r="1810" spans="1:6" x14ac:dyDescent="0.3">
      <c r="A1810" t="s">
        <v>1857</v>
      </c>
      <c r="B1810" t="s">
        <v>45</v>
      </c>
      <c r="C1810">
        <v>2012</v>
      </c>
      <c r="D1810" t="s">
        <v>9</v>
      </c>
      <c r="E1810">
        <v>85000</v>
      </c>
      <c r="F1810">
        <v>0</v>
      </c>
    </row>
    <row r="1811" spans="1:6" x14ac:dyDescent="0.3">
      <c r="A1811" t="s">
        <v>1858</v>
      </c>
      <c r="B1811" t="s">
        <v>45</v>
      </c>
      <c r="C1811">
        <v>2013</v>
      </c>
      <c r="D1811" t="s">
        <v>9</v>
      </c>
      <c r="E1811">
        <v>73300</v>
      </c>
      <c r="F1811">
        <v>0</v>
      </c>
    </row>
    <row r="1812" spans="1:6" x14ac:dyDescent="0.3">
      <c r="A1812" t="s">
        <v>1859</v>
      </c>
      <c r="B1812" t="s">
        <v>45</v>
      </c>
      <c r="C1812">
        <v>2014</v>
      </c>
      <c r="D1812" t="s">
        <v>9</v>
      </c>
      <c r="E1812">
        <v>4600</v>
      </c>
      <c r="F1812">
        <v>0</v>
      </c>
    </row>
    <row r="1813" spans="1:6" x14ac:dyDescent="0.3">
      <c r="A1813" t="s">
        <v>1860</v>
      </c>
      <c r="B1813" t="s">
        <v>45</v>
      </c>
      <c r="C1813">
        <v>2014</v>
      </c>
      <c r="D1813" t="s">
        <v>9</v>
      </c>
      <c r="E1813">
        <v>35400</v>
      </c>
      <c r="F1813">
        <v>0</v>
      </c>
    </row>
    <row r="1814" spans="1:6" x14ac:dyDescent="0.3">
      <c r="A1814" t="s">
        <v>1861</v>
      </c>
      <c r="B1814" t="s">
        <v>45</v>
      </c>
      <c r="C1814">
        <v>2015</v>
      </c>
      <c r="D1814" t="s">
        <v>9</v>
      </c>
      <c r="E1814">
        <v>14000</v>
      </c>
      <c r="F1814">
        <v>0</v>
      </c>
    </row>
    <row r="1815" spans="1:6" x14ac:dyDescent="0.3">
      <c r="A1815" t="s">
        <v>1862</v>
      </c>
      <c r="B1815" t="s">
        <v>45</v>
      </c>
      <c r="C1815">
        <v>2015</v>
      </c>
      <c r="D1815" t="s">
        <v>9</v>
      </c>
      <c r="E1815">
        <v>1621703</v>
      </c>
      <c r="F1815">
        <v>119000</v>
      </c>
    </row>
    <row r="1816" spans="1:6" x14ac:dyDescent="0.3">
      <c r="A1816" t="s">
        <v>1863</v>
      </c>
      <c r="B1816" t="s">
        <v>45</v>
      </c>
      <c r="C1816">
        <v>2015</v>
      </c>
      <c r="D1816" t="s">
        <v>9</v>
      </c>
      <c r="E1816">
        <v>0</v>
      </c>
      <c r="F1816">
        <v>0</v>
      </c>
    </row>
    <row r="1817" spans="1:6" x14ac:dyDescent="0.3">
      <c r="A1817" t="s">
        <v>1864</v>
      </c>
      <c r="B1817" t="s">
        <v>45</v>
      </c>
      <c r="C1817">
        <v>2015</v>
      </c>
      <c r="D1817" t="s">
        <v>2689</v>
      </c>
      <c r="E1817">
        <v>0</v>
      </c>
      <c r="F1817">
        <v>0</v>
      </c>
    </row>
    <row r="1818" spans="1:6" x14ac:dyDescent="0.3">
      <c r="A1818" t="s">
        <v>1865</v>
      </c>
      <c r="B1818" t="s">
        <v>45</v>
      </c>
      <c r="C1818">
        <v>2016</v>
      </c>
      <c r="D1818" t="s">
        <v>14</v>
      </c>
      <c r="E1818">
        <v>1152</v>
      </c>
      <c r="F1818">
        <v>10000</v>
      </c>
    </row>
    <row r="1819" spans="1:6" x14ac:dyDescent="0.3">
      <c r="A1819" t="s">
        <v>1866</v>
      </c>
      <c r="B1819" t="s">
        <v>45</v>
      </c>
      <c r="C1819">
        <v>2016</v>
      </c>
      <c r="D1819" t="s">
        <v>9</v>
      </c>
      <c r="E1819">
        <v>377667</v>
      </c>
      <c r="F1819">
        <v>0</v>
      </c>
    </row>
    <row r="1820" spans="1:6" x14ac:dyDescent="0.3">
      <c r="A1820" t="s">
        <v>1867</v>
      </c>
      <c r="B1820" t="s">
        <v>45</v>
      </c>
      <c r="C1820">
        <v>2016</v>
      </c>
      <c r="D1820" t="s">
        <v>9</v>
      </c>
      <c r="E1820">
        <v>474560</v>
      </c>
      <c r="F1820">
        <v>2000</v>
      </c>
    </row>
    <row r="1821" spans="1:6" x14ac:dyDescent="0.3">
      <c r="A1821" t="s">
        <v>1868</v>
      </c>
      <c r="B1821" t="s">
        <v>45</v>
      </c>
      <c r="C1821">
        <v>2016</v>
      </c>
      <c r="D1821" t="s">
        <v>2689</v>
      </c>
      <c r="E1821">
        <v>12012</v>
      </c>
      <c r="F1821">
        <v>2000</v>
      </c>
    </row>
    <row r="1822" spans="1:6" x14ac:dyDescent="0.3">
      <c r="A1822" t="s">
        <v>1869</v>
      </c>
      <c r="B1822" t="s">
        <v>45</v>
      </c>
      <c r="C1822">
        <v>2016</v>
      </c>
      <c r="D1822" t="s">
        <v>2689</v>
      </c>
      <c r="E1822">
        <v>87944</v>
      </c>
      <c r="F1822">
        <v>2600</v>
      </c>
    </row>
    <row r="1823" spans="1:6" x14ac:dyDescent="0.3">
      <c r="A1823" t="s">
        <v>1870</v>
      </c>
      <c r="B1823" t="s">
        <v>45</v>
      </c>
      <c r="C1823">
        <v>2017</v>
      </c>
      <c r="D1823" t="s">
        <v>9</v>
      </c>
      <c r="E1823">
        <v>92000</v>
      </c>
      <c r="F1823">
        <v>0</v>
      </c>
    </row>
    <row r="1824" spans="1:6" x14ac:dyDescent="0.3">
      <c r="A1824" t="s">
        <v>1871</v>
      </c>
      <c r="B1824" t="s">
        <v>45</v>
      </c>
      <c r="C1824">
        <v>2017</v>
      </c>
      <c r="D1824" t="s">
        <v>2689</v>
      </c>
      <c r="E1824">
        <v>107520</v>
      </c>
      <c r="F1824">
        <v>0</v>
      </c>
    </row>
    <row r="1825" spans="1:6" x14ac:dyDescent="0.3">
      <c r="A1825" t="s">
        <v>1872</v>
      </c>
      <c r="B1825" t="s">
        <v>45</v>
      </c>
      <c r="C1825">
        <v>2018</v>
      </c>
      <c r="D1825" t="s">
        <v>9</v>
      </c>
      <c r="E1825">
        <v>0</v>
      </c>
      <c r="F1825">
        <v>0</v>
      </c>
    </row>
    <row r="1826" spans="1:6" x14ac:dyDescent="0.3">
      <c r="A1826" t="s">
        <v>1873</v>
      </c>
      <c r="B1826" t="s">
        <v>45</v>
      </c>
      <c r="C1826">
        <v>2018</v>
      </c>
      <c r="D1826" t="s">
        <v>9</v>
      </c>
      <c r="E1826">
        <v>109650</v>
      </c>
      <c r="F1826">
        <v>0</v>
      </c>
    </row>
    <row r="1827" spans="1:6" x14ac:dyDescent="0.3">
      <c r="A1827" t="s">
        <v>1874</v>
      </c>
      <c r="B1827" t="s">
        <v>45</v>
      </c>
      <c r="C1827">
        <v>2018</v>
      </c>
      <c r="D1827" t="s">
        <v>9</v>
      </c>
      <c r="E1827">
        <v>63400</v>
      </c>
      <c r="F1827">
        <v>0</v>
      </c>
    </row>
    <row r="1828" spans="1:6" x14ac:dyDescent="0.3">
      <c r="A1828" t="s">
        <v>1875</v>
      </c>
      <c r="B1828" t="s">
        <v>45</v>
      </c>
      <c r="C1828">
        <v>2019</v>
      </c>
      <c r="D1828" t="s">
        <v>9</v>
      </c>
      <c r="E1828">
        <v>6200</v>
      </c>
      <c r="F1828">
        <v>0</v>
      </c>
    </row>
    <row r="1829" spans="1:6" x14ac:dyDescent="0.3">
      <c r="A1829" t="s">
        <v>1876</v>
      </c>
      <c r="B1829" t="s">
        <v>45</v>
      </c>
      <c r="C1829">
        <v>2019</v>
      </c>
      <c r="D1829" t="s">
        <v>9</v>
      </c>
      <c r="E1829">
        <v>1875</v>
      </c>
      <c r="F1829">
        <v>0</v>
      </c>
    </row>
    <row r="1830" spans="1:6" x14ac:dyDescent="0.3">
      <c r="A1830" t="s">
        <v>1877</v>
      </c>
      <c r="B1830" t="s">
        <v>45</v>
      </c>
      <c r="C1830">
        <v>2020</v>
      </c>
      <c r="D1830" t="s">
        <v>9</v>
      </c>
      <c r="E1830">
        <v>25000</v>
      </c>
      <c r="F1830">
        <v>0</v>
      </c>
    </row>
    <row r="1831" spans="1:6" x14ac:dyDescent="0.3">
      <c r="A1831" t="s">
        <v>1878</v>
      </c>
      <c r="B1831" t="s">
        <v>45</v>
      </c>
      <c r="C1831">
        <v>2021</v>
      </c>
      <c r="D1831" t="s">
        <v>9</v>
      </c>
      <c r="E1831">
        <v>125000</v>
      </c>
      <c r="F1831">
        <v>0</v>
      </c>
    </row>
    <row r="1832" spans="1:6" x14ac:dyDescent="0.3">
      <c r="A1832" t="s">
        <v>1879</v>
      </c>
      <c r="B1832" t="s">
        <v>45</v>
      </c>
      <c r="C1832">
        <v>2023</v>
      </c>
      <c r="D1832" t="s">
        <v>9</v>
      </c>
      <c r="E1832">
        <v>48000</v>
      </c>
      <c r="F1832">
        <v>0</v>
      </c>
    </row>
    <row r="1833" spans="1:6" x14ac:dyDescent="0.3">
      <c r="A1833" t="s">
        <v>1880</v>
      </c>
      <c r="B1833" t="s">
        <v>45</v>
      </c>
      <c r="C1833">
        <v>2023</v>
      </c>
      <c r="D1833" t="s">
        <v>9</v>
      </c>
      <c r="E1833">
        <v>27335</v>
      </c>
      <c r="F1833">
        <v>0</v>
      </c>
    </row>
    <row r="1834" spans="1:6" x14ac:dyDescent="0.3">
      <c r="A1834" t="s">
        <v>1881</v>
      </c>
      <c r="B1834" t="s">
        <v>45</v>
      </c>
      <c r="C1834">
        <v>2023</v>
      </c>
      <c r="D1834" t="s">
        <v>2689</v>
      </c>
      <c r="E1834">
        <v>1280</v>
      </c>
      <c r="F1834">
        <v>0</v>
      </c>
    </row>
    <row r="1835" spans="1:6" x14ac:dyDescent="0.3">
      <c r="A1835" t="s">
        <v>1882</v>
      </c>
      <c r="B1835" t="s">
        <v>45</v>
      </c>
      <c r="C1835">
        <v>2023</v>
      </c>
      <c r="D1835" t="s">
        <v>2689</v>
      </c>
      <c r="E1835">
        <v>1200132</v>
      </c>
      <c r="F1835">
        <v>2240000</v>
      </c>
    </row>
    <row r="1836" spans="1:6" x14ac:dyDescent="0.3">
      <c r="A1836" t="s">
        <v>1883</v>
      </c>
      <c r="B1836" t="s">
        <v>45</v>
      </c>
      <c r="C1836">
        <v>2024</v>
      </c>
      <c r="D1836" t="s">
        <v>9</v>
      </c>
      <c r="E1836">
        <v>106792</v>
      </c>
      <c r="F1836">
        <v>0</v>
      </c>
    </row>
    <row r="1837" spans="1:6" x14ac:dyDescent="0.3">
      <c r="A1837" t="s">
        <v>1884</v>
      </c>
      <c r="B1837" t="s">
        <v>45</v>
      </c>
      <c r="C1837">
        <v>2024</v>
      </c>
      <c r="D1837" t="s">
        <v>2689</v>
      </c>
      <c r="E1837">
        <v>1000048</v>
      </c>
      <c r="F1837">
        <v>222000</v>
      </c>
    </row>
    <row r="1838" spans="1:6" x14ac:dyDescent="0.3">
      <c r="A1838" t="s">
        <v>1885</v>
      </c>
      <c r="B1838" t="s">
        <v>31</v>
      </c>
      <c r="C1838">
        <v>2001</v>
      </c>
      <c r="D1838" t="s">
        <v>7</v>
      </c>
      <c r="E1838">
        <v>0</v>
      </c>
      <c r="F1838">
        <v>0</v>
      </c>
    </row>
    <row r="1839" spans="1:6" x14ac:dyDescent="0.3">
      <c r="A1839" t="s">
        <v>1886</v>
      </c>
      <c r="B1839" t="s">
        <v>31</v>
      </c>
      <c r="C1839">
        <v>2002</v>
      </c>
      <c r="D1839" t="s">
        <v>7</v>
      </c>
      <c r="E1839">
        <v>345000</v>
      </c>
      <c r="F1839">
        <v>0</v>
      </c>
    </row>
    <row r="1840" spans="1:6" x14ac:dyDescent="0.3">
      <c r="A1840" t="s">
        <v>1887</v>
      </c>
      <c r="B1840" t="s">
        <v>31</v>
      </c>
      <c r="C1840">
        <v>2003</v>
      </c>
      <c r="D1840" t="s">
        <v>9</v>
      </c>
      <c r="E1840">
        <v>12000</v>
      </c>
      <c r="F1840">
        <v>0</v>
      </c>
    </row>
    <row r="1841" spans="1:6" x14ac:dyDescent="0.3">
      <c r="A1841" t="s">
        <v>1888</v>
      </c>
      <c r="B1841" t="s">
        <v>31</v>
      </c>
      <c r="C1841">
        <v>2004</v>
      </c>
      <c r="D1841" t="s">
        <v>9</v>
      </c>
      <c r="E1841">
        <v>5000</v>
      </c>
      <c r="F1841">
        <v>0</v>
      </c>
    </row>
    <row r="1842" spans="1:6" x14ac:dyDescent="0.3">
      <c r="A1842" t="s">
        <v>1889</v>
      </c>
      <c r="B1842" t="s">
        <v>31</v>
      </c>
      <c r="C1842">
        <v>2004</v>
      </c>
      <c r="D1842" t="s">
        <v>9</v>
      </c>
      <c r="E1842">
        <v>20000</v>
      </c>
      <c r="F1842">
        <v>0</v>
      </c>
    </row>
    <row r="1843" spans="1:6" x14ac:dyDescent="0.3">
      <c r="A1843" t="s">
        <v>1890</v>
      </c>
      <c r="B1843" t="s">
        <v>31</v>
      </c>
      <c r="C1843">
        <v>2006</v>
      </c>
      <c r="D1843" t="s">
        <v>9</v>
      </c>
      <c r="E1843">
        <v>200</v>
      </c>
      <c r="F1843">
        <v>0</v>
      </c>
    </row>
    <row r="1844" spans="1:6" x14ac:dyDescent="0.3">
      <c r="A1844" t="s">
        <v>1891</v>
      </c>
      <c r="B1844" t="s">
        <v>31</v>
      </c>
      <c r="C1844">
        <v>2006</v>
      </c>
      <c r="D1844" t="s">
        <v>9</v>
      </c>
      <c r="E1844">
        <v>2100</v>
      </c>
      <c r="F1844">
        <v>8490</v>
      </c>
    </row>
    <row r="1845" spans="1:6" x14ac:dyDescent="0.3">
      <c r="A1845" t="s">
        <v>1892</v>
      </c>
      <c r="B1845" t="s">
        <v>31</v>
      </c>
      <c r="C1845">
        <v>2007</v>
      </c>
      <c r="D1845" t="s">
        <v>9</v>
      </c>
      <c r="E1845">
        <v>15000</v>
      </c>
      <c r="F1845">
        <v>0</v>
      </c>
    </row>
    <row r="1846" spans="1:6" x14ac:dyDescent="0.3">
      <c r="A1846" t="s">
        <v>1893</v>
      </c>
      <c r="B1846" t="s">
        <v>31</v>
      </c>
      <c r="C1846">
        <v>2008</v>
      </c>
      <c r="D1846" t="s">
        <v>9</v>
      </c>
      <c r="E1846">
        <v>65000</v>
      </c>
      <c r="F1846">
        <v>0</v>
      </c>
    </row>
    <row r="1847" spans="1:6" x14ac:dyDescent="0.3">
      <c r="A1847" t="s">
        <v>1894</v>
      </c>
      <c r="B1847" t="s">
        <v>31</v>
      </c>
      <c r="C1847">
        <v>2009</v>
      </c>
      <c r="D1847" t="s">
        <v>9</v>
      </c>
      <c r="E1847">
        <v>350000</v>
      </c>
      <c r="F1847">
        <v>0</v>
      </c>
    </row>
    <row r="1848" spans="1:6" x14ac:dyDescent="0.3">
      <c r="A1848" t="s">
        <v>1895</v>
      </c>
      <c r="B1848" t="s">
        <v>31</v>
      </c>
      <c r="C1848">
        <v>2010</v>
      </c>
      <c r="D1848" t="s">
        <v>9</v>
      </c>
      <c r="E1848">
        <v>110000</v>
      </c>
      <c r="F1848">
        <v>0</v>
      </c>
    </row>
    <row r="1849" spans="1:6" x14ac:dyDescent="0.3">
      <c r="A1849" t="s">
        <v>1896</v>
      </c>
      <c r="B1849" t="s">
        <v>31</v>
      </c>
      <c r="C1849">
        <v>2011</v>
      </c>
      <c r="D1849" t="s">
        <v>9</v>
      </c>
      <c r="E1849">
        <v>500000</v>
      </c>
      <c r="F1849">
        <v>12000</v>
      </c>
    </row>
    <row r="1850" spans="1:6" x14ac:dyDescent="0.3">
      <c r="A1850" t="s">
        <v>1897</v>
      </c>
      <c r="B1850" t="s">
        <v>31</v>
      </c>
      <c r="C1850">
        <v>2012</v>
      </c>
      <c r="D1850" t="s">
        <v>9</v>
      </c>
      <c r="E1850">
        <v>650</v>
      </c>
      <c r="F1850">
        <v>0</v>
      </c>
    </row>
    <row r="1851" spans="1:6" x14ac:dyDescent="0.3">
      <c r="A1851" t="s">
        <v>1898</v>
      </c>
      <c r="B1851" t="s">
        <v>31</v>
      </c>
      <c r="C1851">
        <v>2013</v>
      </c>
      <c r="D1851" t="s">
        <v>7</v>
      </c>
      <c r="E1851">
        <v>780000</v>
      </c>
      <c r="F1851">
        <v>64000</v>
      </c>
    </row>
    <row r="1852" spans="1:6" x14ac:dyDescent="0.3">
      <c r="A1852" t="s">
        <v>1899</v>
      </c>
      <c r="B1852" t="s">
        <v>31</v>
      </c>
      <c r="C1852">
        <v>2013</v>
      </c>
      <c r="D1852" t="s">
        <v>9</v>
      </c>
      <c r="E1852">
        <v>14500</v>
      </c>
      <c r="F1852">
        <v>0</v>
      </c>
    </row>
    <row r="1853" spans="1:6" x14ac:dyDescent="0.3">
      <c r="A1853" t="s">
        <v>1900</v>
      </c>
      <c r="B1853" t="s">
        <v>31</v>
      </c>
      <c r="C1853">
        <v>2015</v>
      </c>
      <c r="D1853" t="s">
        <v>7</v>
      </c>
      <c r="E1853">
        <v>580000</v>
      </c>
      <c r="F1853">
        <v>60000</v>
      </c>
    </row>
    <row r="1854" spans="1:6" x14ac:dyDescent="0.3">
      <c r="A1854" t="s">
        <v>1901</v>
      </c>
      <c r="B1854" t="s">
        <v>31</v>
      </c>
      <c r="C1854">
        <v>2017</v>
      </c>
      <c r="D1854" t="s">
        <v>9</v>
      </c>
      <c r="E1854">
        <v>2502</v>
      </c>
      <c r="F1854">
        <v>0</v>
      </c>
    </row>
    <row r="1855" spans="1:6" x14ac:dyDescent="0.3">
      <c r="A1855" t="s">
        <v>1902</v>
      </c>
      <c r="B1855" t="s">
        <v>31</v>
      </c>
      <c r="C1855">
        <v>2018</v>
      </c>
      <c r="D1855" t="s">
        <v>7</v>
      </c>
      <c r="E1855">
        <v>556000</v>
      </c>
      <c r="F1855">
        <v>0</v>
      </c>
    </row>
    <row r="1856" spans="1:6" x14ac:dyDescent="0.3">
      <c r="A1856" t="s">
        <v>1903</v>
      </c>
      <c r="B1856" t="s">
        <v>31</v>
      </c>
      <c r="C1856">
        <v>2020</v>
      </c>
      <c r="D1856" t="s">
        <v>9</v>
      </c>
      <c r="E1856">
        <v>1000</v>
      </c>
      <c r="F1856">
        <v>0</v>
      </c>
    </row>
    <row r="1857" spans="1:6" x14ac:dyDescent="0.3">
      <c r="A1857" t="s">
        <v>1904</v>
      </c>
      <c r="B1857" t="s">
        <v>31</v>
      </c>
      <c r="C1857">
        <v>2021</v>
      </c>
      <c r="D1857" t="s">
        <v>9</v>
      </c>
      <c r="E1857">
        <v>401</v>
      </c>
      <c r="F1857">
        <v>0</v>
      </c>
    </row>
    <row r="1858" spans="1:6" x14ac:dyDescent="0.3">
      <c r="A1858" t="s">
        <v>1905</v>
      </c>
      <c r="B1858" t="s">
        <v>31</v>
      </c>
      <c r="C1858">
        <v>2023</v>
      </c>
      <c r="D1858" t="s">
        <v>9</v>
      </c>
      <c r="E1858">
        <v>2190</v>
      </c>
      <c r="F1858">
        <v>0</v>
      </c>
    </row>
    <row r="1859" spans="1:6" x14ac:dyDescent="0.3">
      <c r="A1859" t="s">
        <v>1906</v>
      </c>
      <c r="B1859" t="s">
        <v>31</v>
      </c>
      <c r="C1859">
        <v>2024</v>
      </c>
      <c r="D1859" t="s">
        <v>7</v>
      </c>
      <c r="E1859">
        <v>1655000</v>
      </c>
      <c r="F1859">
        <v>0</v>
      </c>
    </row>
    <row r="1860" spans="1:6" x14ac:dyDescent="0.3">
      <c r="A1860" t="s">
        <v>1907</v>
      </c>
      <c r="B1860" t="s">
        <v>33</v>
      </c>
      <c r="C1860">
        <v>2003</v>
      </c>
      <c r="D1860" t="s">
        <v>9</v>
      </c>
      <c r="E1860">
        <v>59254</v>
      </c>
      <c r="F1860">
        <v>0</v>
      </c>
    </row>
    <row r="1861" spans="1:6" x14ac:dyDescent="0.3">
      <c r="A1861" t="s">
        <v>1908</v>
      </c>
      <c r="B1861" t="s">
        <v>33</v>
      </c>
      <c r="C1861">
        <v>2004</v>
      </c>
      <c r="D1861" t="s">
        <v>9</v>
      </c>
      <c r="E1861">
        <v>800015</v>
      </c>
      <c r="F1861">
        <v>0</v>
      </c>
    </row>
    <row r="1862" spans="1:6" x14ac:dyDescent="0.3">
      <c r="A1862" t="s">
        <v>1909</v>
      </c>
      <c r="B1862" t="s">
        <v>33</v>
      </c>
      <c r="C1862">
        <v>2005</v>
      </c>
      <c r="D1862" t="s">
        <v>9</v>
      </c>
      <c r="E1862">
        <v>30000</v>
      </c>
      <c r="F1862">
        <v>0</v>
      </c>
    </row>
    <row r="1863" spans="1:6" x14ac:dyDescent="0.3">
      <c r="A1863" t="s">
        <v>1910</v>
      </c>
      <c r="B1863" t="s">
        <v>33</v>
      </c>
      <c r="C1863">
        <v>2005</v>
      </c>
      <c r="D1863" t="s">
        <v>9</v>
      </c>
      <c r="E1863">
        <v>1600</v>
      </c>
      <c r="F1863">
        <v>0</v>
      </c>
    </row>
    <row r="1864" spans="1:6" x14ac:dyDescent="0.3">
      <c r="A1864" t="s">
        <v>1911</v>
      </c>
      <c r="B1864" t="s">
        <v>33</v>
      </c>
      <c r="C1864">
        <v>2006</v>
      </c>
      <c r="D1864" t="s">
        <v>7</v>
      </c>
      <c r="E1864">
        <v>200000</v>
      </c>
      <c r="F1864">
        <v>0</v>
      </c>
    </row>
    <row r="1865" spans="1:6" x14ac:dyDescent="0.3">
      <c r="A1865" t="s">
        <v>1912</v>
      </c>
      <c r="B1865" t="s">
        <v>33</v>
      </c>
      <c r="C1865">
        <v>2006</v>
      </c>
      <c r="D1865" t="s">
        <v>9</v>
      </c>
      <c r="E1865">
        <v>0</v>
      </c>
      <c r="F1865">
        <v>0</v>
      </c>
    </row>
    <row r="1866" spans="1:6" x14ac:dyDescent="0.3">
      <c r="A1866" t="s">
        <v>1913</v>
      </c>
      <c r="B1866" t="s">
        <v>33</v>
      </c>
      <c r="C1866">
        <v>2007</v>
      </c>
      <c r="D1866" t="s">
        <v>9</v>
      </c>
      <c r="E1866">
        <v>640706</v>
      </c>
      <c r="F1866">
        <v>2400</v>
      </c>
    </row>
    <row r="1867" spans="1:6" x14ac:dyDescent="0.3">
      <c r="A1867" t="s">
        <v>1914</v>
      </c>
      <c r="B1867" t="s">
        <v>33</v>
      </c>
      <c r="C1867">
        <v>2008</v>
      </c>
      <c r="D1867" t="s">
        <v>9</v>
      </c>
      <c r="E1867">
        <v>70000</v>
      </c>
      <c r="F1867">
        <v>29</v>
      </c>
    </row>
    <row r="1868" spans="1:6" x14ac:dyDescent="0.3">
      <c r="A1868" t="s">
        <v>1915</v>
      </c>
      <c r="B1868" t="s">
        <v>33</v>
      </c>
      <c r="C1868">
        <v>2008</v>
      </c>
      <c r="D1868" t="s">
        <v>9</v>
      </c>
      <c r="E1868">
        <v>180003</v>
      </c>
      <c r="F1868">
        <v>0</v>
      </c>
    </row>
    <row r="1869" spans="1:6" x14ac:dyDescent="0.3">
      <c r="A1869" t="s">
        <v>1916</v>
      </c>
      <c r="B1869" t="s">
        <v>33</v>
      </c>
      <c r="C1869">
        <v>2009</v>
      </c>
      <c r="D1869" t="s">
        <v>7</v>
      </c>
      <c r="E1869">
        <v>303000</v>
      </c>
      <c r="F1869">
        <v>0</v>
      </c>
    </row>
    <row r="1870" spans="1:6" x14ac:dyDescent="0.3">
      <c r="A1870" t="s">
        <v>1917</v>
      </c>
      <c r="B1870" t="s">
        <v>33</v>
      </c>
      <c r="C1870">
        <v>2009</v>
      </c>
      <c r="D1870" t="s">
        <v>9</v>
      </c>
      <c r="E1870">
        <v>257786</v>
      </c>
      <c r="F1870">
        <v>60000</v>
      </c>
    </row>
    <row r="1871" spans="1:6" x14ac:dyDescent="0.3">
      <c r="A1871" t="s">
        <v>1918</v>
      </c>
      <c r="B1871" t="s">
        <v>33</v>
      </c>
      <c r="C1871">
        <v>2009</v>
      </c>
      <c r="D1871" t="s">
        <v>9</v>
      </c>
      <c r="E1871">
        <v>0</v>
      </c>
      <c r="F1871">
        <v>0</v>
      </c>
    </row>
    <row r="1872" spans="1:6" x14ac:dyDescent="0.3">
      <c r="A1872" t="s">
        <v>1919</v>
      </c>
      <c r="B1872" t="s">
        <v>33</v>
      </c>
      <c r="C1872">
        <v>2010</v>
      </c>
      <c r="D1872" t="s">
        <v>9</v>
      </c>
      <c r="E1872">
        <v>0</v>
      </c>
      <c r="F1872">
        <v>0</v>
      </c>
    </row>
    <row r="1873" spans="1:6" x14ac:dyDescent="0.3">
      <c r="A1873" t="s">
        <v>1920</v>
      </c>
      <c r="B1873" t="s">
        <v>33</v>
      </c>
      <c r="C1873">
        <v>2010</v>
      </c>
      <c r="D1873" t="s">
        <v>9</v>
      </c>
      <c r="E1873">
        <v>8000</v>
      </c>
      <c r="F1873">
        <v>0</v>
      </c>
    </row>
    <row r="1874" spans="1:6" x14ac:dyDescent="0.3">
      <c r="A1874" t="s">
        <v>1921</v>
      </c>
      <c r="B1874" t="s">
        <v>33</v>
      </c>
      <c r="C1874">
        <v>2011</v>
      </c>
      <c r="D1874" t="s">
        <v>14</v>
      </c>
      <c r="E1874">
        <v>167949</v>
      </c>
      <c r="F1874">
        <v>0</v>
      </c>
    </row>
    <row r="1875" spans="1:6" x14ac:dyDescent="0.3">
      <c r="A1875" t="s">
        <v>1922</v>
      </c>
      <c r="B1875" t="s">
        <v>33</v>
      </c>
      <c r="C1875">
        <v>2011</v>
      </c>
      <c r="D1875" t="s">
        <v>9</v>
      </c>
      <c r="E1875">
        <v>0</v>
      </c>
      <c r="F1875">
        <v>0</v>
      </c>
    </row>
    <row r="1876" spans="1:6" x14ac:dyDescent="0.3">
      <c r="A1876" t="s">
        <v>1923</v>
      </c>
      <c r="B1876" t="s">
        <v>33</v>
      </c>
      <c r="C1876">
        <v>2011</v>
      </c>
      <c r="D1876" t="s">
        <v>9</v>
      </c>
      <c r="E1876">
        <v>1858</v>
      </c>
      <c r="F1876">
        <v>0</v>
      </c>
    </row>
    <row r="1877" spans="1:6" x14ac:dyDescent="0.3">
      <c r="A1877" t="s">
        <v>1924</v>
      </c>
      <c r="B1877" t="s">
        <v>33</v>
      </c>
      <c r="C1877">
        <v>2012</v>
      </c>
      <c r="D1877" t="s">
        <v>9</v>
      </c>
      <c r="E1877">
        <v>5</v>
      </c>
      <c r="F1877">
        <v>1000</v>
      </c>
    </row>
    <row r="1878" spans="1:6" x14ac:dyDescent="0.3">
      <c r="A1878" t="s">
        <v>1925</v>
      </c>
      <c r="B1878" t="s">
        <v>33</v>
      </c>
      <c r="C1878">
        <v>2013</v>
      </c>
      <c r="D1878" t="s">
        <v>9</v>
      </c>
      <c r="E1878">
        <v>12503</v>
      </c>
      <c r="F1878">
        <v>0</v>
      </c>
    </row>
    <row r="1879" spans="1:6" x14ac:dyDescent="0.3">
      <c r="A1879" t="s">
        <v>1926</v>
      </c>
      <c r="B1879" t="s">
        <v>33</v>
      </c>
      <c r="C1879">
        <v>2013</v>
      </c>
      <c r="D1879" t="s">
        <v>9</v>
      </c>
      <c r="E1879">
        <v>4320</v>
      </c>
      <c r="F1879">
        <v>0</v>
      </c>
    </row>
    <row r="1880" spans="1:6" x14ac:dyDescent="0.3">
      <c r="A1880" t="s">
        <v>1927</v>
      </c>
      <c r="B1880" t="s">
        <v>33</v>
      </c>
      <c r="C1880">
        <v>2014</v>
      </c>
      <c r="D1880" t="s">
        <v>9</v>
      </c>
      <c r="E1880">
        <v>2400</v>
      </c>
      <c r="F1880">
        <v>0</v>
      </c>
    </row>
    <row r="1881" spans="1:6" x14ac:dyDescent="0.3">
      <c r="A1881" t="s">
        <v>1928</v>
      </c>
      <c r="B1881" t="s">
        <v>33</v>
      </c>
      <c r="C1881">
        <v>2014</v>
      </c>
      <c r="D1881" t="s">
        <v>9</v>
      </c>
      <c r="E1881">
        <v>0</v>
      </c>
      <c r="F1881">
        <v>0</v>
      </c>
    </row>
    <row r="1882" spans="1:6" x14ac:dyDescent="0.3">
      <c r="A1882" t="s">
        <v>1929</v>
      </c>
      <c r="B1882" t="s">
        <v>33</v>
      </c>
      <c r="C1882">
        <v>2014</v>
      </c>
      <c r="D1882" t="s">
        <v>9</v>
      </c>
      <c r="E1882">
        <v>184894</v>
      </c>
      <c r="F1882">
        <v>0</v>
      </c>
    </row>
    <row r="1883" spans="1:6" x14ac:dyDescent="0.3">
      <c r="A1883" t="s">
        <v>1930</v>
      </c>
      <c r="B1883" t="s">
        <v>33</v>
      </c>
      <c r="C1883">
        <v>2014</v>
      </c>
      <c r="D1883" t="s">
        <v>2689</v>
      </c>
      <c r="E1883">
        <v>175</v>
      </c>
      <c r="F1883">
        <v>0</v>
      </c>
    </row>
    <row r="1884" spans="1:6" x14ac:dyDescent="0.3">
      <c r="A1884" t="s">
        <v>1931</v>
      </c>
      <c r="B1884" t="s">
        <v>33</v>
      </c>
      <c r="C1884">
        <v>2015</v>
      </c>
      <c r="D1884" t="s">
        <v>14</v>
      </c>
      <c r="E1884">
        <v>5639722</v>
      </c>
      <c r="F1884">
        <v>5174000</v>
      </c>
    </row>
    <row r="1885" spans="1:6" x14ac:dyDescent="0.3">
      <c r="A1885" t="s">
        <v>1932</v>
      </c>
      <c r="B1885" t="s">
        <v>33</v>
      </c>
      <c r="C1885">
        <v>2015</v>
      </c>
      <c r="D1885" t="s">
        <v>14</v>
      </c>
      <c r="E1885">
        <v>2428</v>
      </c>
      <c r="F1885">
        <v>0</v>
      </c>
    </row>
    <row r="1886" spans="1:6" x14ac:dyDescent="0.3">
      <c r="A1886" t="s">
        <v>1933</v>
      </c>
      <c r="B1886" t="s">
        <v>33</v>
      </c>
      <c r="C1886">
        <v>2016</v>
      </c>
      <c r="D1886" t="s">
        <v>9</v>
      </c>
      <c r="E1886">
        <v>10551</v>
      </c>
      <c r="F1886">
        <v>15000</v>
      </c>
    </row>
    <row r="1887" spans="1:6" x14ac:dyDescent="0.3">
      <c r="A1887" t="s">
        <v>1934</v>
      </c>
      <c r="B1887" t="s">
        <v>33</v>
      </c>
      <c r="C1887">
        <v>2016</v>
      </c>
      <c r="D1887" t="s">
        <v>9</v>
      </c>
      <c r="E1887">
        <v>10023</v>
      </c>
      <c r="F1887">
        <v>0</v>
      </c>
    </row>
    <row r="1888" spans="1:6" x14ac:dyDescent="0.3">
      <c r="A1888" t="s">
        <v>1935</v>
      </c>
      <c r="B1888" t="s">
        <v>33</v>
      </c>
      <c r="C1888">
        <v>2017</v>
      </c>
      <c r="D1888" t="s">
        <v>9</v>
      </c>
      <c r="E1888">
        <v>6000</v>
      </c>
      <c r="F1888">
        <v>0</v>
      </c>
    </row>
    <row r="1889" spans="1:6" x14ac:dyDescent="0.3">
      <c r="A1889" t="s">
        <v>1936</v>
      </c>
      <c r="B1889" t="s">
        <v>33</v>
      </c>
      <c r="C1889">
        <v>2017</v>
      </c>
      <c r="D1889" t="s">
        <v>9</v>
      </c>
      <c r="E1889">
        <v>1700134</v>
      </c>
      <c r="F1889">
        <v>595000</v>
      </c>
    </row>
    <row r="1890" spans="1:6" x14ac:dyDescent="0.3">
      <c r="A1890" t="s">
        <v>1937</v>
      </c>
      <c r="B1890" t="s">
        <v>33</v>
      </c>
      <c r="C1890">
        <v>2018</v>
      </c>
      <c r="D1890" t="s">
        <v>9</v>
      </c>
      <c r="E1890">
        <v>1406</v>
      </c>
      <c r="F1890">
        <v>0</v>
      </c>
    </row>
    <row r="1891" spans="1:6" x14ac:dyDescent="0.3">
      <c r="A1891" t="s">
        <v>1938</v>
      </c>
      <c r="B1891" t="s">
        <v>33</v>
      </c>
      <c r="C1891">
        <v>2019</v>
      </c>
      <c r="D1891" t="s">
        <v>9</v>
      </c>
      <c r="E1891">
        <v>82541</v>
      </c>
      <c r="F1891">
        <v>204000</v>
      </c>
    </row>
    <row r="1892" spans="1:6" x14ac:dyDescent="0.3">
      <c r="A1892" t="s">
        <v>1939</v>
      </c>
      <c r="B1892" t="s">
        <v>33</v>
      </c>
      <c r="C1892">
        <v>2019</v>
      </c>
      <c r="D1892" t="s">
        <v>2689</v>
      </c>
      <c r="E1892">
        <v>14854</v>
      </c>
      <c r="F1892">
        <v>0</v>
      </c>
    </row>
    <row r="1893" spans="1:6" x14ac:dyDescent="0.3">
      <c r="A1893" t="s">
        <v>1940</v>
      </c>
      <c r="B1893" t="s">
        <v>33</v>
      </c>
      <c r="C1893">
        <v>2020</v>
      </c>
      <c r="D1893" t="s">
        <v>9</v>
      </c>
      <c r="E1893">
        <v>117677</v>
      </c>
      <c r="F1893">
        <v>100000</v>
      </c>
    </row>
    <row r="1894" spans="1:6" x14ac:dyDescent="0.3">
      <c r="A1894" t="s">
        <v>1941</v>
      </c>
      <c r="B1894" t="s">
        <v>33</v>
      </c>
      <c r="C1894">
        <v>2021</v>
      </c>
      <c r="D1894" t="s">
        <v>9</v>
      </c>
      <c r="E1894">
        <v>820</v>
      </c>
      <c r="F1894">
        <v>0</v>
      </c>
    </row>
    <row r="1895" spans="1:6" x14ac:dyDescent="0.3">
      <c r="A1895" t="s">
        <v>1942</v>
      </c>
      <c r="B1895" t="s">
        <v>33</v>
      </c>
      <c r="C1895">
        <v>2021</v>
      </c>
      <c r="D1895" t="s">
        <v>9</v>
      </c>
      <c r="E1895">
        <v>2101</v>
      </c>
      <c r="F1895">
        <v>0</v>
      </c>
    </row>
    <row r="1896" spans="1:6" x14ac:dyDescent="0.3">
      <c r="A1896" t="s">
        <v>1943</v>
      </c>
      <c r="B1896" t="s">
        <v>33</v>
      </c>
      <c r="C1896">
        <v>2021</v>
      </c>
      <c r="D1896" t="s">
        <v>9</v>
      </c>
      <c r="E1896">
        <v>1010</v>
      </c>
      <c r="F1896">
        <v>0</v>
      </c>
    </row>
    <row r="1897" spans="1:6" x14ac:dyDescent="0.3">
      <c r="A1897" t="s">
        <v>1944</v>
      </c>
      <c r="B1897" t="s">
        <v>33</v>
      </c>
      <c r="C1897">
        <v>2021</v>
      </c>
      <c r="D1897" t="s">
        <v>9</v>
      </c>
      <c r="E1897">
        <v>10</v>
      </c>
      <c r="F1897">
        <v>0</v>
      </c>
    </row>
    <row r="1898" spans="1:6" x14ac:dyDescent="0.3">
      <c r="A1898" t="s">
        <v>1945</v>
      </c>
      <c r="B1898" t="s">
        <v>33</v>
      </c>
      <c r="C1898">
        <v>2022</v>
      </c>
      <c r="D1898" t="s">
        <v>14</v>
      </c>
      <c r="E1898">
        <v>30008</v>
      </c>
      <c r="F1898">
        <v>0</v>
      </c>
    </row>
    <row r="1899" spans="1:6" x14ac:dyDescent="0.3">
      <c r="A1899" t="s">
        <v>1946</v>
      </c>
      <c r="B1899" t="s">
        <v>33</v>
      </c>
      <c r="C1899">
        <v>2022</v>
      </c>
      <c r="D1899" t="s">
        <v>9</v>
      </c>
      <c r="E1899">
        <v>5500</v>
      </c>
      <c r="F1899">
        <v>0</v>
      </c>
    </row>
    <row r="1900" spans="1:6" x14ac:dyDescent="0.3">
      <c r="A1900" t="s">
        <v>1947</v>
      </c>
      <c r="B1900" t="s">
        <v>33</v>
      </c>
      <c r="C1900">
        <v>2022</v>
      </c>
      <c r="D1900" t="s">
        <v>9</v>
      </c>
      <c r="E1900">
        <v>511</v>
      </c>
      <c r="F1900">
        <v>0</v>
      </c>
    </row>
    <row r="1901" spans="1:6" x14ac:dyDescent="0.3">
      <c r="A1901" t="s">
        <v>1948</v>
      </c>
      <c r="B1901" t="s">
        <v>33</v>
      </c>
      <c r="C1901">
        <v>2022</v>
      </c>
      <c r="D1901" t="s">
        <v>2689</v>
      </c>
      <c r="E1901">
        <v>544</v>
      </c>
      <c r="F1901">
        <v>0</v>
      </c>
    </row>
    <row r="1902" spans="1:6" x14ac:dyDescent="0.3">
      <c r="A1902" t="s">
        <v>1949</v>
      </c>
      <c r="B1902" t="s">
        <v>33</v>
      </c>
      <c r="C1902">
        <v>2023</v>
      </c>
      <c r="D1902" t="s">
        <v>14</v>
      </c>
      <c r="E1902">
        <v>36273</v>
      </c>
      <c r="F1902">
        <v>0</v>
      </c>
    </row>
    <row r="1903" spans="1:6" x14ac:dyDescent="0.3">
      <c r="A1903" t="s">
        <v>1950</v>
      </c>
      <c r="B1903" t="s">
        <v>33</v>
      </c>
      <c r="C1903">
        <v>2023</v>
      </c>
      <c r="D1903" t="s">
        <v>14</v>
      </c>
      <c r="E1903">
        <v>300366</v>
      </c>
      <c r="F1903">
        <v>100000</v>
      </c>
    </row>
    <row r="1904" spans="1:6" x14ac:dyDescent="0.3">
      <c r="A1904" t="s">
        <v>1951</v>
      </c>
      <c r="B1904" t="s">
        <v>33</v>
      </c>
      <c r="C1904">
        <v>2023</v>
      </c>
      <c r="D1904" t="s">
        <v>9</v>
      </c>
      <c r="E1904">
        <v>1506</v>
      </c>
      <c r="F1904">
        <v>0</v>
      </c>
    </row>
    <row r="1905" spans="1:6" x14ac:dyDescent="0.3">
      <c r="A1905" t="s">
        <v>1952</v>
      </c>
      <c r="B1905" t="s">
        <v>33</v>
      </c>
      <c r="C1905">
        <v>2024</v>
      </c>
      <c r="D1905" t="s">
        <v>9</v>
      </c>
      <c r="E1905">
        <v>2734</v>
      </c>
      <c r="F1905">
        <v>0</v>
      </c>
    </row>
    <row r="1906" spans="1:6" x14ac:dyDescent="0.3">
      <c r="A1906" t="s">
        <v>1953</v>
      </c>
      <c r="B1906" t="s">
        <v>33</v>
      </c>
      <c r="C1906">
        <v>2024</v>
      </c>
      <c r="D1906" t="s">
        <v>9</v>
      </c>
      <c r="E1906">
        <v>2590178</v>
      </c>
      <c r="F1906">
        <v>338043</v>
      </c>
    </row>
    <row r="1907" spans="1:6" x14ac:dyDescent="0.3">
      <c r="A1907" t="s">
        <v>1954</v>
      </c>
      <c r="B1907" t="s">
        <v>24</v>
      </c>
      <c r="C1907">
        <v>2001</v>
      </c>
      <c r="D1907" t="s">
        <v>7</v>
      </c>
      <c r="E1907">
        <v>188000</v>
      </c>
      <c r="F1907">
        <v>0</v>
      </c>
    </row>
    <row r="1908" spans="1:6" x14ac:dyDescent="0.3">
      <c r="A1908" t="s">
        <v>1955</v>
      </c>
      <c r="B1908" t="s">
        <v>24</v>
      </c>
      <c r="C1908">
        <v>2001</v>
      </c>
      <c r="D1908" t="s">
        <v>2689</v>
      </c>
      <c r="E1908">
        <v>24866</v>
      </c>
      <c r="F1908">
        <v>1000</v>
      </c>
    </row>
    <row r="1909" spans="1:6" x14ac:dyDescent="0.3">
      <c r="A1909" t="s">
        <v>1956</v>
      </c>
      <c r="B1909" t="s">
        <v>24</v>
      </c>
      <c r="C1909">
        <v>2002</v>
      </c>
      <c r="D1909" t="s">
        <v>9</v>
      </c>
      <c r="E1909">
        <v>13546</v>
      </c>
      <c r="F1909">
        <v>50</v>
      </c>
    </row>
    <row r="1910" spans="1:6" x14ac:dyDescent="0.3">
      <c r="A1910" t="s">
        <v>1957</v>
      </c>
      <c r="B1910" t="s">
        <v>24</v>
      </c>
      <c r="C1910">
        <v>2002</v>
      </c>
      <c r="D1910" t="s">
        <v>2689</v>
      </c>
      <c r="E1910">
        <v>300</v>
      </c>
      <c r="F1910">
        <v>1000</v>
      </c>
    </row>
    <row r="1911" spans="1:6" x14ac:dyDescent="0.3">
      <c r="A1911" t="s">
        <v>1958</v>
      </c>
      <c r="B1911" t="s">
        <v>24</v>
      </c>
      <c r="C1911">
        <v>2004</v>
      </c>
      <c r="D1911" t="s">
        <v>2689</v>
      </c>
      <c r="E1911">
        <v>200</v>
      </c>
      <c r="F1911">
        <v>0</v>
      </c>
    </row>
    <row r="1912" spans="1:6" x14ac:dyDescent="0.3">
      <c r="A1912" t="s">
        <v>1959</v>
      </c>
      <c r="B1912" t="s">
        <v>24</v>
      </c>
      <c r="C1912">
        <v>2005</v>
      </c>
      <c r="D1912" t="s">
        <v>2689</v>
      </c>
      <c r="E1912">
        <v>7880</v>
      </c>
      <c r="F1912">
        <v>0</v>
      </c>
    </row>
    <row r="1913" spans="1:6" x14ac:dyDescent="0.3">
      <c r="A1913" t="s">
        <v>1960</v>
      </c>
      <c r="B1913" t="s">
        <v>24</v>
      </c>
      <c r="C1913">
        <v>2005</v>
      </c>
      <c r="D1913" t="s">
        <v>2689</v>
      </c>
      <c r="E1913">
        <v>5763</v>
      </c>
      <c r="F1913">
        <v>0</v>
      </c>
    </row>
    <row r="1914" spans="1:6" x14ac:dyDescent="0.3">
      <c r="A1914" t="s">
        <v>1961</v>
      </c>
      <c r="B1914" t="s">
        <v>24</v>
      </c>
      <c r="C1914">
        <v>2007</v>
      </c>
      <c r="D1914" t="s">
        <v>9</v>
      </c>
      <c r="E1914">
        <v>24000</v>
      </c>
      <c r="F1914">
        <v>0</v>
      </c>
    </row>
    <row r="1915" spans="1:6" x14ac:dyDescent="0.3">
      <c r="A1915" t="s">
        <v>1962</v>
      </c>
      <c r="B1915" t="s">
        <v>24</v>
      </c>
      <c r="C1915">
        <v>2007</v>
      </c>
      <c r="D1915" t="s">
        <v>2689</v>
      </c>
      <c r="E1915">
        <v>188726</v>
      </c>
      <c r="F1915">
        <v>0</v>
      </c>
    </row>
    <row r="1916" spans="1:6" x14ac:dyDescent="0.3">
      <c r="A1916" t="s">
        <v>1963</v>
      </c>
      <c r="B1916" t="s">
        <v>24</v>
      </c>
      <c r="C1916">
        <v>2008</v>
      </c>
      <c r="D1916" t="s">
        <v>9</v>
      </c>
      <c r="E1916">
        <v>3525</v>
      </c>
      <c r="F1916">
        <v>0</v>
      </c>
    </row>
    <row r="1917" spans="1:6" x14ac:dyDescent="0.3">
      <c r="A1917" t="s">
        <v>1964</v>
      </c>
      <c r="B1917" t="s">
        <v>24</v>
      </c>
      <c r="C1917">
        <v>2008</v>
      </c>
      <c r="D1917" t="s">
        <v>9</v>
      </c>
      <c r="E1917">
        <v>10663</v>
      </c>
      <c r="F1917">
        <v>0</v>
      </c>
    </row>
    <row r="1918" spans="1:6" x14ac:dyDescent="0.3">
      <c r="A1918" t="s">
        <v>1965</v>
      </c>
      <c r="B1918" t="s">
        <v>24</v>
      </c>
      <c r="C1918">
        <v>2008</v>
      </c>
      <c r="D1918" t="s">
        <v>2689</v>
      </c>
      <c r="E1918">
        <v>25000</v>
      </c>
      <c r="F1918">
        <v>0</v>
      </c>
    </row>
    <row r="1919" spans="1:6" x14ac:dyDescent="0.3">
      <c r="A1919" t="s">
        <v>1966</v>
      </c>
      <c r="B1919" t="s">
        <v>24</v>
      </c>
      <c r="C1919">
        <v>2009</v>
      </c>
      <c r="D1919" t="s">
        <v>9</v>
      </c>
      <c r="E1919">
        <v>64</v>
      </c>
      <c r="F1919">
        <v>0</v>
      </c>
    </row>
    <row r="1920" spans="1:6" x14ac:dyDescent="0.3">
      <c r="A1920" t="s">
        <v>1967</v>
      </c>
      <c r="B1920" t="s">
        <v>24</v>
      </c>
      <c r="C1920">
        <v>2009</v>
      </c>
      <c r="D1920" t="s">
        <v>9</v>
      </c>
      <c r="E1920">
        <v>6821</v>
      </c>
      <c r="F1920">
        <v>0</v>
      </c>
    </row>
    <row r="1921" spans="1:6" x14ac:dyDescent="0.3">
      <c r="A1921" t="s">
        <v>1968</v>
      </c>
      <c r="B1921" t="s">
        <v>24</v>
      </c>
      <c r="C1921">
        <v>2009</v>
      </c>
      <c r="D1921" t="s">
        <v>2689</v>
      </c>
      <c r="E1921">
        <v>19897</v>
      </c>
      <c r="F1921">
        <v>0</v>
      </c>
    </row>
    <row r="1922" spans="1:6" x14ac:dyDescent="0.3">
      <c r="A1922" t="s">
        <v>1969</v>
      </c>
      <c r="B1922" t="s">
        <v>24</v>
      </c>
      <c r="C1922">
        <v>2010</v>
      </c>
      <c r="D1922" t="s">
        <v>9</v>
      </c>
      <c r="E1922">
        <v>4860</v>
      </c>
      <c r="F1922">
        <v>0</v>
      </c>
    </row>
    <row r="1923" spans="1:6" x14ac:dyDescent="0.3">
      <c r="A1923" t="s">
        <v>1970</v>
      </c>
      <c r="B1923" t="s">
        <v>24</v>
      </c>
      <c r="C1923">
        <v>2010</v>
      </c>
      <c r="D1923" t="s">
        <v>9</v>
      </c>
      <c r="E1923">
        <v>71000</v>
      </c>
      <c r="F1923">
        <v>0</v>
      </c>
    </row>
    <row r="1924" spans="1:6" x14ac:dyDescent="0.3">
      <c r="A1924" t="s">
        <v>1971</v>
      </c>
      <c r="B1924" t="s">
        <v>24</v>
      </c>
      <c r="C1924">
        <v>2010</v>
      </c>
      <c r="D1924" t="s">
        <v>2689</v>
      </c>
      <c r="E1924">
        <v>0</v>
      </c>
      <c r="F1924">
        <v>0</v>
      </c>
    </row>
    <row r="1925" spans="1:6" x14ac:dyDescent="0.3">
      <c r="A1925" t="s">
        <v>1972</v>
      </c>
      <c r="B1925" t="s">
        <v>24</v>
      </c>
      <c r="C1925">
        <v>2010</v>
      </c>
      <c r="D1925" t="s">
        <v>2689</v>
      </c>
      <c r="E1925">
        <v>0</v>
      </c>
      <c r="F1925">
        <v>0</v>
      </c>
    </row>
    <row r="1926" spans="1:6" x14ac:dyDescent="0.3">
      <c r="A1926" t="s">
        <v>1973</v>
      </c>
      <c r="B1926" t="s">
        <v>24</v>
      </c>
      <c r="C1926">
        <v>2011</v>
      </c>
      <c r="D1926" t="s">
        <v>9</v>
      </c>
      <c r="E1926">
        <v>143018</v>
      </c>
      <c r="F1926">
        <v>0</v>
      </c>
    </row>
    <row r="1927" spans="1:6" x14ac:dyDescent="0.3">
      <c r="A1927" t="s">
        <v>1974</v>
      </c>
      <c r="B1927" t="s">
        <v>24</v>
      </c>
      <c r="C1927">
        <v>2012</v>
      </c>
      <c r="D1927" t="s">
        <v>9</v>
      </c>
      <c r="E1927">
        <v>29500</v>
      </c>
      <c r="F1927">
        <v>0</v>
      </c>
    </row>
    <row r="1928" spans="1:6" x14ac:dyDescent="0.3">
      <c r="A1928" t="s">
        <v>1975</v>
      </c>
      <c r="B1928" t="s">
        <v>24</v>
      </c>
      <c r="C1928">
        <v>2013</v>
      </c>
      <c r="D1928" t="s">
        <v>9</v>
      </c>
      <c r="E1928">
        <v>14149</v>
      </c>
      <c r="F1928">
        <v>0</v>
      </c>
    </row>
    <row r="1929" spans="1:6" x14ac:dyDescent="0.3">
      <c r="A1929" t="s">
        <v>1976</v>
      </c>
      <c r="B1929" t="s">
        <v>24</v>
      </c>
      <c r="C1929">
        <v>2014</v>
      </c>
      <c r="D1929" t="s">
        <v>7</v>
      </c>
      <c r="E1929">
        <v>460000</v>
      </c>
      <c r="F1929">
        <v>0</v>
      </c>
    </row>
    <row r="1930" spans="1:6" x14ac:dyDescent="0.3">
      <c r="A1930" t="s">
        <v>1977</v>
      </c>
      <c r="B1930" t="s">
        <v>24</v>
      </c>
      <c r="C1930">
        <v>2014</v>
      </c>
      <c r="D1930" t="s">
        <v>14</v>
      </c>
      <c r="E1930">
        <v>12281</v>
      </c>
      <c r="F1930">
        <v>3000</v>
      </c>
    </row>
    <row r="1931" spans="1:6" x14ac:dyDescent="0.3">
      <c r="A1931" t="s">
        <v>1978</v>
      </c>
      <c r="B1931" t="s">
        <v>24</v>
      </c>
      <c r="C1931">
        <v>2014</v>
      </c>
      <c r="D1931" t="s">
        <v>9</v>
      </c>
      <c r="E1931">
        <v>60345</v>
      </c>
      <c r="F1931">
        <v>0</v>
      </c>
    </row>
    <row r="1932" spans="1:6" x14ac:dyDescent="0.3">
      <c r="A1932" t="s">
        <v>1979</v>
      </c>
      <c r="B1932" t="s">
        <v>24</v>
      </c>
      <c r="C1932">
        <v>2015</v>
      </c>
      <c r="D1932" t="s">
        <v>9</v>
      </c>
      <c r="E1932">
        <v>3750</v>
      </c>
      <c r="F1932">
        <v>0</v>
      </c>
    </row>
    <row r="1933" spans="1:6" x14ac:dyDescent="0.3">
      <c r="A1933" t="s">
        <v>1980</v>
      </c>
      <c r="B1933" t="s">
        <v>24</v>
      </c>
      <c r="C1933">
        <v>2016</v>
      </c>
      <c r="D1933" t="s">
        <v>2689</v>
      </c>
      <c r="E1933">
        <v>10570</v>
      </c>
      <c r="F1933">
        <v>0</v>
      </c>
    </row>
    <row r="1934" spans="1:6" x14ac:dyDescent="0.3">
      <c r="A1934" t="s">
        <v>1981</v>
      </c>
      <c r="B1934" t="s">
        <v>24</v>
      </c>
      <c r="C1934">
        <v>2017</v>
      </c>
      <c r="D1934" t="s">
        <v>9</v>
      </c>
      <c r="E1934">
        <v>13715</v>
      </c>
      <c r="F1934">
        <v>0</v>
      </c>
    </row>
    <row r="1935" spans="1:6" x14ac:dyDescent="0.3">
      <c r="A1935" t="s">
        <v>1982</v>
      </c>
      <c r="B1935" t="s">
        <v>24</v>
      </c>
      <c r="C1935">
        <v>2017</v>
      </c>
      <c r="D1935" t="s">
        <v>2689</v>
      </c>
      <c r="E1935">
        <v>39200</v>
      </c>
      <c r="F1935">
        <v>0</v>
      </c>
    </row>
    <row r="1936" spans="1:6" x14ac:dyDescent="0.3">
      <c r="A1936" t="s">
        <v>1983</v>
      </c>
      <c r="B1936" t="s">
        <v>24</v>
      </c>
      <c r="C1936">
        <v>2018</v>
      </c>
      <c r="D1936" t="s">
        <v>7</v>
      </c>
      <c r="E1936">
        <v>300000</v>
      </c>
      <c r="F1936">
        <v>0</v>
      </c>
    </row>
    <row r="1937" spans="1:6" x14ac:dyDescent="0.3">
      <c r="A1937" t="s">
        <v>1984</v>
      </c>
      <c r="B1937" t="s">
        <v>24</v>
      </c>
      <c r="C1937">
        <v>2018</v>
      </c>
      <c r="D1937" t="s">
        <v>9</v>
      </c>
      <c r="E1937">
        <v>13000</v>
      </c>
      <c r="F1937">
        <v>0</v>
      </c>
    </row>
    <row r="1938" spans="1:6" x14ac:dyDescent="0.3">
      <c r="A1938" t="s">
        <v>1985</v>
      </c>
      <c r="B1938" t="s">
        <v>24</v>
      </c>
      <c r="C1938">
        <v>2020</v>
      </c>
      <c r="D1938" t="s">
        <v>2689</v>
      </c>
      <c r="E1938">
        <v>30000</v>
      </c>
      <c r="F1938">
        <v>178000</v>
      </c>
    </row>
    <row r="1939" spans="1:6" x14ac:dyDescent="0.3">
      <c r="A1939" t="s">
        <v>1986</v>
      </c>
      <c r="B1939" t="s">
        <v>24</v>
      </c>
      <c r="C1939">
        <v>2020</v>
      </c>
      <c r="D1939" t="s">
        <v>2689</v>
      </c>
      <c r="E1939">
        <v>900000</v>
      </c>
      <c r="F1939">
        <v>741000</v>
      </c>
    </row>
    <row r="1940" spans="1:6" x14ac:dyDescent="0.3">
      <c r="A1940" t="s">
        <v>1987</v>
      </c>
      <c r="B1940" t="s">
        <v>24</v>
      </c>
      <c r="C1940">
        <v>2022</v>
      </c>
      <c r="D1940" t="s">
        <v>2689</v>
      </c>
      <c r="E1940">
        <v>3012</v>
      </c>
      <c r="F1940">
        <v>0</v>
      </c>
    </row>
    <row r="1941" spans="1:6" x14ac:dyDescent="0.3">
      <c r="A1941" t="s">
        <v>1988</v>
      </c>
      <c r="B1941" t="s">
        <v>24</v>
      </c>
      <c r="C1941">
        <v>2022</v>
      </c>
      <c r="D1941" t="s">
        <v>2689</v>
      </c>
      <c r="E1941">
        <v>47100</v>
      </c>
      <c r="F1941">
        <v>180000</v>
      </c>
    </row>
    <row r="1942" spans="1:6" x14ac:dyDescent="0.3">
      <c r="A1942" t="s">
        <v>1989</v>
      </c>
      <c r="B1942" t="s">
        <v>24</v>
      </c>
      <c r="C1942">
        <v>2024</v>
      </c>
      <c r="D1942" t="s">
        <v>2689</v>
      </c>
      <c r="E1942">
        <v>0</v>
      </c>
      <c r="F1942">
        <v>0</v>
      </c>
    </row>
    <row r="1943" spans="1:6" x14ac:dyDescent="0.3">
      <c r="A1943" t="s">
        <v>1990</v>
      </c>
      <c r="B1943" t="s">
        <v>24</v>
      </c>
      <c r="C1943">
        <v>2024</v>
      </c>
      <c r="D1943" t="s">
        <v>2689</v>
      </c>
      <c r="E1943">
        <v>0</v>
      </c>
      <c r="F1943">
        <v>0</v>
      </c>
    </row>
    <row r="1944" spans="1:6" x14ac:dyDescent="0.3">
      <c r="A1944" t="s">
        <v>1991</v>
      </c>
      <c r="B1944" t="s">
        <v>35</v>
      </c>
      <c r="C1944">
        <v>2001</v>
      </c>
      <c r="D1944" t="s">
        <v>14</v>
      </c>
      <c r="E1944">
        <v>914292</v>
      </c>
      <c r="F1944">
        <v>500</v>
      </c>
    </row>
    <row r="1945" spans="1:6" x14ac:dyDescent="0.3">
      <c r="A1945" t="s">
        <v>1992</v>
      </c>
      <c r="B1945" t="s">
        <v>35</v>
      </c>
      <c r="C1945">
        <v>2001</v>
      </c>
      <c r="D1945" t="s">
        <v>9</v>
      </c>
      <c r="E1945">
        <v>400179</v>
      </c>
      <c r="F1945">
        <v>246000</v>
      </c>
    </row>
    <row r="1946" spans="1:6" x14ac:dyDescent="0.3">
      <c r="A1946" t="s">
        <v>1993</v>
      </c>
      <c r="B1946" t="s">
        <v>35</v>
      </c>
      <c r="C1946">
        <v>2001</v>
      </c>
      <c r="D1946" t="s">
        <v>2689</v>
      </c>
      <c r="E1946">
        <v>500</v>
      </c>
      <c r="F1946">
        <v>0</v>
      </c>
    </row>
    <row r="1947" spans="1:6" x14ac:dyDescent="0.3">
      <c r="A1947" t="s">
        <v>1994</v>
      </c>
      <c r="B1947" t="s">
        <v>35</v>
      </c>
      <c r="C1947">
        <v>2002</v>
      </c>
      <c r="D1947" t="s">
        <v>14</v>
      </c>
      <c r="E1947">
        <v>0</v>
      </c>
      <c r="F1947">
        <v>0</v>
      </c>
    </row>
    <row r="1948" spans="1:6" x14ac:dyDescent="0.3">
      <c r="A1948" t="s">
        <v>1995</v>
      </c>
      <c r="B1948" t="s">
        <v>35</v>
      </c>
      <c r="C1948">
        <v>2002</v>
      </c>
      <c r="D1948" t="s">
        <v>14</v>
      </c>
      <c r="E1948">
        <v>15065</v>
      </c>
      <c r="F1948">
        <v>0</v>
      </c>
    </row>
    <row r="1949" spans="1:6" x14ac:dyDescent="0.3">
      <c r="A1949" t="s">
        <v>1996</v>
      </c>
      <c r="B1949" t="s">
        <v>35</v>
      </c>
      <c r="C1949">
        <v>2002</v>
      </c>
      <c r="D1949" t="s">
        <v>14</v>
      </c>
      <c r="E1949">
        <v>140782</v>
      </c>
      <c r="F1949">
        <v>0</v>
      </c>
    </row>
    <row r="1950" spans="1:6" x14ac:dyDescent="0.3">
      <c r="A1950" t="s">
        <v>1997</v>
      </c>
      <c r="B1950" t="s">
        <v>35</v>
      </c>
      <c r="C1950">
        <v>2002</v>
      </c>
      <c r="D1950" t="s">
        <v>9</v>
      </c>
      <c r="E1950">
        <v>0</v>
      </c>
      <c r="F1950">
        <v>0</v>
      </c>
    </row>
    <row r="1951" spans="1:6" x14ac:dyDescent="0.3">
      <c r="A1951" t="s">
        <v>1998</v>
      </c>
      <c r="B1951" t="s">
        <v>35</v>
      </c>
      <c r="C1951">
        <v>2002</v>
      </c>
      <c r="D1951" t="s">
        <v>9</v>
      </c>
      <c r="E1951">
        <v>3010</v>
      </c>
      <c r="F1951">
        <v>30</v>
      </c>
    </row>
    <row r="1952" spans="1:6" x14ac:dyDescent="0.3">
      <c r="A1952" t="s">
        <v>1999</v>
      </c>
      <c r="B1952" t="s">
        <v>35</v>
      </c>
      <c r="C1952">
        <v>2002</v>
      </c>
      <c r="D1952" t="s">
        <v>9</v>
      </c>
      <c r="E1952">
        <v>1000</v>
      </c>
      <c r="F1952">
        <v>0</v>
      </c>
    </row>
    <row r="1953" spans="1:6" x14ac:dyDescent="0.3">
      <c r="A1953" t="s">
        <v>2000</v>
      </c>
      <c r="B1953" t="s">
        <v>35</v>
      </c>
      <c r="C1953">
        <v>2002</v>
      </c>
      <c r="D1953" t="s">
        <v>2689</v>
      </c>
      <c r="E1953">
        <v>12</v>
      </c>
      <c r="F1953">
        <v>0</v>
      </c>
    </row>
    <row r="1954" spans="1:6" x14ac:dyDescent="0.3">
      <c r="A1954" t="s">
        <v>2001</v>
      </c>
      <c r="B1954" t="s">
        <v>35</v>
      </c>
      <c r="C1954">
        <v>2003</v>
      </c>
      <c r="D1954" t="s">
        <v>9</v>
      </c>
      <c r="E1954">
        <v>1266223</v>
      </c>
      <c r="F1954">
        <v>0</v>
      </c>
    </row>
    <row r="1955" spans="1:6" x14ac:dyDescent="0.3">
      <c r="A1955" t="s">
        <v>2002</v>
      </c>
      <c r="B1955" t="s">
        <v>35</v>
      </c>
      <c r="C1955">
        <v>2003</v>
      </c>
      <c r="D1955" t="s">
        <v>9</v>
      </c>
      <c r="E1955">
        <v>0</v>
      </c>
      <c r="F1955">
        <v>0</v>
      </c>
    </row>
    <row r="1956" spans="1:6" x14ac:dyDescent="0.3">
      <c r="A1956" t="s">
        <v>2003</v>
      </c>
      <c r="B1956" t="s">
        <v>35</v>
      </c>
      <c r="C1956">
        <v>2003</v>
      </c>
      <c r="D1956" t="s">
        <v>9</v>
      </c>
      <c r="E1956">
        <v>20</v>
      </c>
      <c r="F1956">
        <v>0</v>
      </c>
    </row>
    <row r="1957" spans="1:6" x14ac:dyDescent="0.3">
      <c r="A1957" t="s">
        <v>2004</v>
      </c>
      <c r="B1957" t="s">
        <v>35</v>
      </c>
      <c r="C1957">
        <v>2003</v>
      </c>
      <c r="D1957" t="s">
        <v>2689</v>
      </c>
      <c r="E1957">
        <v>2557</v>
      </c>
      <c r="F1957">
        <v>0</v>
      </c>
    </row>
    <row r="1958" spans="1:6" x14ac:dyDescent="0.3">
      <c r="A1958" t="s">
        <v>2005</v>
      </c>
      <c r="B1958" t="s">
        <v>35</v>
      </c>
      <c r="C1958">
        <v>2004</v>
      </c>
      <c r="D1958" t="s">
        <v>14</v>
      </c>
      <c r="E1958">
        <v>13148</v>
      </c>
      <c r="F1958">
        <v>0</v>
      </c>
    </row>
    <row r="1959" spans="1:6" x14ac:dyDescent="0.3">
      <c r="A1959" t="s">
        <v>2006</v>
      </c>
      <c r="B1959" t="s">
        <v>35</v>
      </c>
      <c r="C1959">
        <v>2004</v>
      </c>
      <c r="D1959" t="s">
        <v>9</v>
      </c>
      <c r="E1959">
        <v>0</v>
      </c>
      <c r="F1959">
        <v>0</v>
      </c>
    </row>
    <row r="1960" spans="1:6" x14ac:dyDescent="0.3">
      <c r="A1960" t="s">
        <v>2007</v>
      </c>
      <c r="B1960" t="s">
        <v>35</v>
      </c>
      <c r="C1960">
        <v>2004</v>
      </c>
      <c r="D1960" t="s">
        <v>9</v>
      </c>
      <c r="E1960">
        <v>0</v>
      </c>
      <c r="F1960">
        <v>0</v>
      </c>
    </row>
    <row r="1961" spans="1:6" x14ac:dyDescent="0.3">
      <c r="A1961" t="s">
        <v>2008</v>
      </c>
      <c r="B1961" t="s">
        <v>35</v>
      </c>
      <c r="C1961">
        <v>2005</v>
      </c>
      <c r="D1961" t="s">
        <v>14</v>
      </c>
      <c r="E1961">
        <v>5128309</v>
      </c>
      <c r="F1961">
        <v>5200000</v>
      </c>
    </row>
    <row r="1962" spans="1:6" x14ac:dyDescent="0.3">
      <c r="A1962" t="s">
        <v>2009</v>
      </c>
      <c r="B1962" t="s">
        <v>35</v>
      </c>
      <c r="C1962">
        <v>2005</v>
      </c>
      <c r="D1962" t="s">
        <v>9</v>
      </c>
      <c r="E1962">
        <v>7000450</v>
      </c>
      <c r="F1962">
        <v>30000</v>
      </c>
    </row>
    <row r="1963" spans="1:6" x14ac:dyDescent="0.3">
      <c r="A1963" t="s">
        <v>2010</v>
      </c>
      <c r="B1963" t="s">
        <v>35</v>
      </c>
      <c r="C1963">
        <v>2005</v>
      </c>
      <c r="D1963" t="s">
        <v>9</v>
      </c>
      <c r="E1963">
        <v>5000</v>
      </c>
      <c r="F1963">
        <v>0</v>
      </c>
    </row>
    <row r="1964" spans="1:6" x14ac:dyDescent="0.3">
      <c r="A1964" t="s">
        <v>2011</v>
      </c>
      <c r="B1964" t="s">
        <v>35</v>
      </c>
      <c r="C1964">
        <v>2005</v>
      </c>
      <c r="D1964" t="s">
        <v>9</v>
      </c>
      <c r="E1964">
        <v>3500</v>
      </c>
      <c r="F1964">
        <v>0</v>
      </c>
    </row>
    <row r="1965" spans="1:6" x14ac:dyDescent="0.3">
      <c r="A1965" t="s">
        <v>2012</v>
      </c>
      <c r="B1965" t="s">
        <v>35</v>
      </c>
      <c r="C1965">
        <v>2005</v>
      </c>
      <c r="D1965" t="s">
        <v>9</v>
      </c>
      <c r="E1965">
        <v>460073</v>
      </c>
      <c r="F1965">
        <v>0</v>
      </c>
    </row>
    <row r="1966" spans="1:6" x14ac:dyDescent="0.3">
      <c r="A1966" t="s">
        <v>2013</v>
      </c>
      <c r="B1966" t="s">
        <v>35</v>
      </c>
      <c r="C1966">
        <v>2005</v>
      </c>
      <c r="D1966" t="s">
        <v>9</v>
      </c>
      <c r="E1966">
        <v>58020</v>
      </c>
      <c r="F1966">
        <v>0</v>
      </c>
    </row>
    <row r="1967" spans="1:6" x14ac:dyDescent="0.3">
      <c r="A1967" t="s">
        <v>2014</v>
      </c>
      <c r="B1967" t="s">
        <v>35</v>
      </c>
      <c r="C1967">
        <v>2005</v>
      </c>
      <c r="D1967" t="s">
        <v>2689</v>
      </c>
      <c r="E1967">
        <v>0</v>
      </c>
      <c r="F1967">
        <v>0</v>
      </c>
    </row>
    <row r="1968" spans="1:6" x14ac:dyDescent="0.3">
      <c r="A1968" t="s">
        <v>2015</v>
      </c>
      <c r="B1968" t="s">
        <v>35</v>
      </c>
      <c r="C1968">
        <v>2006</v>
      </c>
      <c r="D1968" t="s">
        <v>9</v>
      </c>
      <c r="E1968">
        <v>300</v>
      </c>
      <c r="F1968">
        <v>0</v>
      </c>
    </row>
    <row r="1969" spans="1:6" x14ac:dyDescent="0.3">
      <c r="A1969" t="s">
        <v>2016</v>
      </c>
      <c r="B1969" t="s">
        <v>35</v>
      </c>
      <c r="C1969">
        <v>2006</v>
      </c>
      <c r="D1969" t="s">
        <v>9</v>
      </c>
      <c r="E1969">
        <v>2000</v>
      </c>
      <c r="F1969">
        <v>0</v>
      </c>
    </row>
    <row r="1970" spans="1:6" x14ac:dyDescent="0.3">
      <c r="A1970" t="s">
        <v>2017</v>
      </c>
      <c r="B1970" t="s">
        <v>35</v>
      </c>
      <c r="C1970">
        <v>2006</v>
      </c>
      <c r="D1970" t="s">
        <v>9</v>
      </c>
      <c r="E1970">
        <v>5050</v>
      </c>
      <c r="F1970">
        <v>0</v>
      </c>
    </row>
    <row r="1971" spans="1:6" x14ac:dyDescent="0.3">
      <c r="A1971" t="s">
        <v>2018</v>
      </c>
      <c r="B1971" t="s">
        <v>35</v>
      </c>
      <c r="C1971">
        <v>2006</v>
      </c>
      <c r="D1971" t="s">
        <v>9</v>
      </c>
      <c r="E1971">
        <v>0</v>
      </c>
      <c r="F1971">
        <v>0</v>
      </c>
    </row>
    <row r="1972" spans="1:6" x14ac:dyDescent="0.3">
      <c r="A1972" t="s">
        <v>2019</v>
      </c>
      <c r="B1972" t="s">
        <v>35</v>
      </c>
      <c r="C1972">
        <v>2006</v>
      </c>
      <c r="D1972" t="s">
        <v>9</v>
      </c>
      <c r="E1972">
        <v>0</v>
      </c>
      <c r="F1972">
        <v>0</v>
      </c>
    </row>
    <row r="1973" spans="1:6" x14ac:dyDescent="0.3">
      <c r="A1973" t="s">
        <v>2020</v>
      </c>
      <c r="B1973" t="s">
        <v>35</v>
      </c>
      <c r="C1973">
        <v>2006</v>
      </c>
      <c r="D1973" t="s">
        <v>9</v>
      </c>
      <c r="E1973">
        <v>0</v>
      </c>
      <c r="F1973">
        <v>0</v>
      </c>
    </row>
    <row r="1974" spans="1:6" x14ac:dyDescent="0.3">
      <c r="A1974" t="s">
        <v>2021</v>
      </c>
      <c r="B1974" t="s">
        <v>35</v>
      </c>
      <c r="C1974">
        <v>2006</v>
      </c>
      <c r="D1974" t="s">
        <v>9</v>
      </c>
      <c r="E1974">
        <v>775</v>
      </c>
      <c r="F1974">
        <v>0</v>
      </c>
    </row>
    <row r="1975" spans="1:6" x14ac:dyDescent="0.3">
      <c r="A1975" t="s">
        <v>2022</v>
      </c>
      <c r="B1975" t="s">
        <v>35</v>
      </c>
      <c r="C1975">
        <v>2007</v>
      </c>
      <c r="D1975" t="s">
        <v>9</v>
      </c>
      <c r="E1975">
        <v>2000</v>
      </c>
      <c r="F1975">
        <v>0</v>
      </c>
    </row>
    <row r="1976" spans="1:6" x14ac:dyDescent="0.3">
      <c r="A1976" t="s">
        <v>2023</v>
      </c>
      <c r="B1976" t="s">
        <v>35</v>
      </c>
      <c r="C1976">
        <v>2007</v>
      </c>
      <c r="D1976" t="s">
        <v>9</v>
      </c>
      <c r="E1976">
        <v>186</v>
      </c>
      <c r="F1976">
        <v>0</v>
      </c>
    </row>
    <row r="1977" spans="1:6" x14ac:dyDescent="0.3">
      <c r="A1977" t="s">
        <v>2024</v>
      </c>
      <c r="B1977" t="s">
        <v>35</v>
      </c>
      <c r="C1977">
        <v>2007</v>
      </c>
      <c r="D1977" t="s">
        <v>9</v>
      </c>
      <c r="E1977">
        <v>500</v>
      </c>
      <c r="F1977">
        <v>0</v>
      </c>
    </row>
    <row r="1978" spans="1:6" x14ac:dyDescent="0.3">
      <c r="A1978" t="s">
        <v>2025</v>
      </c>
      <c r="B1978" t="s">
        <v>35</v>
      </c>
      <c r="C1978">
        <v>2007</v>
      </c>
      <c r="D1978" t="s">
        <v>9</v>
      </c>
      <c r="E1978">
        <v>0</v>
      </c>
      <c r="F1978">
        <v>0</v>
      </c>
    </row>
    <row r="1979" spans="1:6" x14ac:dyDescent="0.3">
      <c r="A1979" t="s">
        <v>2026</v>
      </c>
      <c r="B1979" t="s">
        <v>35</v>
      </c>
      <c r="C1979">
        <v>2007</v>
      </c>
      <c r="D1979" t="s">
        <v>9</v>
      </c>
      <c r="E1979">
        <v>20</v>
      </c>
      <c r="F1979">
        <v>327118</v>
      </c>
    </row>
    <row r="1980" spans="1:6" x14ac:dyDescent="0.3">
      <c r="A1980" t="s">
        <v>2027</v>
      </c>
      <c r="B1980" t="s">
        <v>35</v>
      </c>
      <c r="C1980">
        <v>2007</v>
      </c>
      <c r="D1980" t="s">
        <v>9</v>
      </c>
      <c r="E1980">
        <v>0</v>
      </c>
      <c r="F1980">
        <v>0</v>
      </c>
    </row>
    <row r="1981" spans="1:6" x14ac:dyDescent="0.3">
      <c r="A1981" t="s">
        <v>2028</v>
      </c>
      <c r="B1981" t="s">
        <v>35</v>
      </c>
      <c r="C1981">
        <v>2007</v>
      </c>
      <c r="D1981" t="s">
        <v>2689</v>
      </c>
      <c r="E1981">
        <v>1650000</v>
      </c>
      <c r="F1981">
        <v>1620000</v>
      </c>
    </row>
    <row r="1982" spans="1:6" x14ac:dyDescent="0.3">
      <c r="A1982" t="s">
        <v>2029</v>
      </c>
      <c r="B1982" t="s">
        <v>35</v>
      </c>
      <c r="C1982">
        <v>2008</v>
      </c>
      <c r="D1982" t="s">
        <v>14</v>
      </c>
      <c r="E1982">
        <v>75320</v>
      </c>
      <c r="F1982">
        <v>10000</v>
      </c>
    </row>
    <row r="1983" spans="1:6" x14ac:dyDescent="0.3">
      <c r="A1983" t="s">
        <v>2030</v>
      </c>
      <c r="B1983" t="s">
        <v>35</v>
      </c>
      <c r="C1983">
        <v>2008</v>
      </c>
      <c r="D1983" t="s">
        <v>9</v>
      </c>
      <c r="E1983">
        <v>0</v>
      </c>
      <c r="F1983">
        <v>0</v>
      </c>
    </row>
    <row r="1984" spans="1:6" x14ac:dyDescent="0.3">
      <c r="A1984" t="s">
        <v>2031</v>
      </c>
      <c r="B1984" t="s">
        <v>35</v>
      </c>
      <c r="C1984">
        <v>2008</v>
      </c>
      <c r="D1984" t="s">
        <v>9</v>
      </c>
      <c r="E1984">
        <v>200012</v>
      </c>
      <c r="F1984">
        <v>103000</v>
      </c>
    </row>
    <row r="1985" spans="1:6" x14ac:dyDescent="0.3">
      <c r="A1985" t="s">
        <v>2032</v>
      </c>
      <c r="B1985" t="s">
        <v>35</v>
      </c>
      <c r="C1985">
        <v>2008</v>
      </c>
      <c r="D1985" t="s">
        <v>9</v>
      </c>
      <c r="E1985">
        <v>90752</v>
      </c>
      <c r="F1985">
        <v>0</v>
      </c>
    </row>
    <row r="1986" spans="1:6" x14ac:dyDescent="0.3">
      <c r="A1986" t="s">
        <v>2033</v>
      </c>
      <c r="B1986" t="s">
        <v>35</v>
      </c>
      <c r="C1986">
        <v>2009</v>
      </c>
      <c r="D1986" t="s">
        <v>9</v>
      </c>
      <c r="E1986">
        <v>10</v>
      </c>
      <c r="F1986">
        <v>0</v>
      </c>
    </row>
    <row r="1987" spans="1:6" x14ac:dyDescent="0.3">
      <c r="A1987" t="s">
        <v>2034</v>
      </c>
      <c r="B1987" t="s">
        <v>35</v>
      </c>
      <c r="C1987">
        <v>2009</v>
      </c>
      <c r="D1987" t="s">
        <v>9</v>
      </c>
      <c r="E1987">
        <v>70</v>
      </c>
      <c r="F1987">
        <v>0</v>
      </c>
    </row>
    <row r="1988" spans="1:6" x14ac:dyDescent="0.3">
      <c r="A1988" t="s">
        <v>2035</v>
      </c>
      <c r="B1988" t="s">
        <v>35</v>
      </c>
      <c r="C1988">
        <v>2009</v>
      </c>
      <c r="D1988" t="s">
        <v>9</v>
      </c>
      <c r="E1988">
        <v>75000</v>
      </c>
      <c r="F1988">
        <v>0</v>
      </c>
    </row>
    <row r="1989" spans="1:6" x14ac:dyDescent="0.3">
      <c r="A1989" t="s">
        <v>2036</v>
      </c>
      <c r="B1989" t="s">
        <v>35</v>
      </c>
      <c r="C1989">
        <v>2010</v>
      </c>
      <c r="D1989" t="s">
        <v>9</v>
      </c>
      <c r="E1989">
        <v>0</v>
      </c>
      <c r="F1989">
        <v>0</v>
      </c>
    </row>
    <row r="1990" spans="1:6" x14ac:dyDescent="0.3">
      <c r="A1990" t="s">
        <v>2037</v>
      </c>
      <c r="B1990" t="s">
        <v>35</v>
      </c>
      <c r="C1990">
        <v>2010</v>
      </c>
      <c r="D1990" t="s">
        <v>9</v>
      </c>
      <c r="E1990">
        <v>0</v>
      </c>
      <c r="F1990">
        <v>0</v>
      </c>
    </row>
    <row r="1991" spans="1:6" x14ac:dyDescent="0.3">
      <c r="A1991" t="s">
        <v>2038</v>
      </c>
      <c r="B1991" t="s">
        <v>35</v>
      </c>
      <c r="C1991">
        <v>2010</v>
      </c>
      <c r="D1991" t="s">
        <v>9</v>
      </c>
      <c r="E1991">
        <v>4000</v>
      </c>
      <c r="F1991">
        <v>0</v>
      </c>
    </row>
    <row r="1992" spans="1:6" x14ac:dyDescent="0.3">
      <c r="A1992" t="s">
        <v>2039</v>
      </c>
      <c r="B1992" t="s">
        <v>35</v>
      </c>
      <c r="C1992">
        <v>2010</v>
      </c>
      <c r="D1992" t="s">
        <v>9</v>
      </c>
      <c r="E1992">
        <v>20359496</v>
      </c>
      <c r="F1992">
        <v>9500000</v>
      </c>
    </row>
    <row r="1993" spans="1:6" x14ac:dyDescent="0.3">
      <c r="A1993" t="s">
        <v>2040</v>
      </c>
      <c r="B1993" t="s">
        <v>35</v>
      </c>
      <c r="C1993">
        <v>2010</v>
      </c>
      <c r="D1993" t="s">
        <v>2689</v>
      </c>
      <c r="E1993">
        <v>4000</v>
      </c>
      <c r="F1993">
        <v>80000</v>
      </c>
    </row>
    <row r="1994" spans="1:6" x14ac:dyDescent="0.3">
      <c r="A1994" t="s">
        <v>2041</v>
      </c>
      <c r="B1994" t="s">
        <v>35</v>
      </c>
      <c r="C1994">
        <v>2011</v>
      </c>
      <c r="D1994" t="s">
        <v>14</v>
      </c>
      <c r="E1994">
        <v>1000</v>
      </c>
      <c r="F1994">
        <v>0</v>
      </c>
    </row>
    <row r="1995" spans="1:6" x14ac:dyDescent="0.3">
      <c r="A1995" t="s">
        <v>2042</v>
      </c>
      <c r="B1995" t="s">
        <v>35</v>
      </c>
      <c r="C1995">
        <v>2011</v>
      </c>
      <c r="D1995" t="s">
        <v>9</v>
      </c>
      <c r="E1995">
        <v>5400755</v>
      </c>
      <c r="F1995">
        <v>2500000</v>
      </c>
    </row>
    <row r="1996" spans="1:6" x14ac:dyDescent="0.3">
      <c r="A1996" t="s">
        <v>2043</v>
      </c>
      <c r="B1996" t="s">
        <v>35</v>
      </c>
      <c r="C1996">
        <v>2012</v>
      </c>
      <c r="D1996" t="s">
        <v>9</v>
      </c>
      <c r="E1996">
        <v>0</v>
      </c>
      <c r="F1996">
        <v>0</v>
      </c>
    </row>
    <row r="1997" spans="1:6" x14ac:dyDescent="0.3">
      <c r="A1997" t="s">
        <v>2044</v>
      </c>
      <c r="B1997" t="s">
        <v>35</v>
      </c>
      <c r="C1997">
        <v>2012</v>
      </c>
      <c r="D1997" t="s">
        <v>9</v>
      </c>
      <c r="E1997">
        <v>5049364</v>
      </c>
      <c r="F1997">
        <v>2500000</v>
      </c>
    </row>
    <row r="1998" spans="1:6" x14ac:dyDescent="0.3">
      <c r="A1998" t="s">
        <v>2045</v>
      </c>
      <c r="B1998" t="s">
        <v>35</v>
      </c>
      <c r="C1998">
        <v>2012</v>
      </c>
      <c r="D1998" t="s">
        <v>9</v>
      </c>
      <c r="E1998">
        <v>1200</v>
      </c>
      <c r="F1998">
        <v>0</v>
      </c>
    </row>
    <row r="1999" spans="1:6" x14ac:dyDescent="0.3">
      <c r="A1999" t="s">
        <v>2046</v>
      </c>
      <c r="B1999" t="s">
        <v>35</v>
      </c>
      <c r="C1999">
        <v>2013</v>
      </c>
      <c r="D1999" t="s">
        <v>14</v>
      </c>
      <c r="E1999">
        <v>15175</v>
      </c>
      <c r="F1999">
        <v>0</v>
      </c>
    </row>
    <row r="2000" spans="1:6" x14ac:dyDescent="0.3">
      <c r="A2000" t="s">
        <v>2047</v>
      </c>
      <c r="B2000" t="s">
        <v>35</v>
      </c>
      <c r="C2000">
        <v>2013</v>
      </c>
      <c r="D2000" t="s">
        <v>14</v>
      </c>
      <c r="E2000">
        <v>185749</v>
      </c>
      <c r="F2000">
        <v>100000</v>
      </c>
    </row>
    <row r="2001" spans="1:6" x14ac:dyDescent="0.3">
      <c r="A2001" t="s">
        <v>2048</v>
      </c>
      <c r="B2001" t="s">
        <v>35</v>
      </c>
      <c r="C2001">
        <v>2013</v>
      </c>
      <c r="D2001" t="s">
        <v>14</v>
      </c>
      <c r="E2001">
        <v>50</v>
      </c>
      <c r="F2001">
        <v>0</v>
      </c>
    </row>
    <row r="2002" spans="1:6" x14ac:dyDescent="0.3">
      <c r="A2002" t="s">
        <v>2049</v>
      </c>
      <c r="B2002" t="s">
        <v>35</v>
      </c>
      <c r="C2002">
        <v>2013</v>
      </c>
      <c r="D2002" t="s">
        <v>9</v>
      </c>
      <c r="E2002">
        <v>57</v>
      </c>
      <c r="F2002">
        <v>0</v>
      </c>
    </row>
    <row r="2003" spans="1:6" x14ac:dyDescent="0.3">
      <c r="A2003" t="s">
        <v>2050</v>
      </c>
      <c r="B2003" t="s">
        <v>35</v>
      </c>
      <c r="C2003">
        <v>2013</v>
      </c>
      <c r="D2003" t="s">
        <v>9</v>
      </c>
      <c r="E2003">
        <v>1497725</v>
      </c>
      <c r="F2003">
        <v>1500000</v>
      </c>
    </row>
    <row r="2004" spans="1:6" x14ac:dyDescent="0.3">
      <c r="A2004" t="s">
        <v>2051</v>
      </c>
      <c r="B2004" t="s">
        <v>35</v>
      </c>
      <c r="C2004">
        <v>2014</v>
      </c>
      <c r="D2004" t="s">
        <v>9</v>
      </c>
      <c r="E2004">
        <v>2530673</v>
      </c>
      <c r="F2004">
        <v>2000000</v>
      </c>
    </row>
    <row r="2005" spans="1:6" x14ac:dyDescent="0.3">
      <c r="A2005" t="s">
        <v>2052</v>
      </c>
      <c r="B2005" t="s">
        <v>35</v>
      </c>
      <c r="C2005">
        <v>2014</v>
      </c>
      <c r="D2005" t="s">
        <v>2689</v>
      </c>
      <c r="E2005">
        <v>82</v>
      </c>
      <c r="F2005">
        <v>0</v>
      </c>
    </row>
    <row r="2006" spans="1:6" x14ac:dyDescent="0.3">
      <c r="A2006" t="s">
        <v>2053</v>
      </c>
      <c r="B2006" t="s">
        <v>35</v>
      </c>
      <c r="C2006">
        <v>2015</v>
      </c>
      <c r="D2006" t="s">
        <v>14</v>
      </c>
      <c r="E2006">
        <v>502590</v>
      </c>
      <c r="F2006">
        <v>0</v>
      </c>
    </row>
    <row r="2007" spans="1:6" x14ac:dyDescent="0.3">
      <c r="A2007" t="s">
        <v>2054</v>
      </c>
      <c r="B2007" t="s">
        <v>35</v>
      </c>
      <c r="C2007">
        <v>2015</v>
      </c>
      <c r="D2007" t="s">
        <v>14</v>
      </c>
      <c r="E2007">
        <v>85</v>
      </c>
      <c r="F2007">
        <v>0</v>
      </c>
    </row>
    <row r="2008" spans="1:6" x14ac:dyDescent="0.3">
      <c r="A2008" t="s">
        <v>2055</v>
      </c>
      <c r="B2008" t="s">
        <v>35</v>
      </c>
      <c r="C2008">
        <v>2015</v>
      </c>
      <c r="D2008" t="s">
        <v>9</v>
      </c>
      <c r="E2008">
        <v>0</v>
      </c>
      <c r="F2008">
        <v>0</v>
      </c>
    </row>
    <row r="2009" spans="1:6" x14ac:dyDescent="0.3">
      <c r="A2009" t="s">
        <v>2056</v>
      </c>
      <c r="B2009" t="s">
        <v>35</v>
      </c>
      <c r="C2009">
        <v>2015</v>
      </c>
      <c r="D2009" t="s">
        <v>9</v>
      </c>
      <c r="E2009">
        <v>5067</v>
      </c>
      <c r="F2009">
        <v>1000</v>
      </c>
    </row>
    <row r="2010" spans="1:6" x14ac:dyDescent="0.3">
      <c r="A2010" t="s">
        <v>2057</v>
      </c>
      <c r="B2010" t="s">
        <v>35</v>
      </c>
      <c r="C2010">
        <v>2015</v>
      </c>
      <c r="D2010" t="s">
        <v>9</v>
      </c>
      <c r="E2010">
        <v>0</v>
      </c>
      <c r="F2010">
        <v>0</v>
      </c>
    </row>
    <row r="2011" spans="1:6" x14ac:dyDescent="0.3">
      <c r="A2011" t="s">
        <v>2058</v>
      </c>
      <c r="B2011" t="s">
        <v>35</v>
      </c>
      <c r="C2011">
        <v>2015</v>
      </c>
      <c r="D2011" t="s">
        <v>9</v>
      </c>
      <c r="E2011">
        <v>0</v>
      </c>
      <c r="F2011">
        <v>0</v>
      </c>
    </row>
    <row r="2012" spans="1:6" x14ac:dyDescent="0.3">
      <c r="A2012" t="s">
        <v>2059</v>
      </c>
      <c r="B2012" t="s">
        <v>35</v>
      </c>
      <c r="C2012">
        <v>2015</v>
      </c>
      <c r="D2012" t="s">
        <v>9</v>
      </c>
      <c r="E2012">
        <v>1572423</v>
      </c>
      <c r="F2012">
        <v>0</v>
      </c>
    </row>
    <row r="2013" spans="1:6" x14ac:dyDescent="0.3">
      <c r="A2013" t="s">
        <v>2060</v>
      </c>
      <c r="B2013" t="s">
        <v>35</v>
      </c>
      <c r="C2013">
        <v>2015</v>
      </c>
      <c r="D2013" t="s">
        <v>9</v>
      </c>
      <c r="E2013">
        <v>0</v>
      </c>
      <c r="F2013">
        <v>0</v>
      </c>
    </row>
    <row r="2014" spans="1:6" x14ac:dyDescent="0.3">
      <c r="A2014" t="s">
        <v>2061</v>
      </c>
      <c r="B2014" t="s">
        <v>35</v>
      </c>
      <c r="C2014">
        <v>2016</v>
      </c>
      <c r="D2014" t="s">
        <v>14</v>
      </c>
      <c r="E2014">
        <v>142</v>
      </c>
      <c r="F2014">
        <v>0</v>
      </c>
    </row>
    <row r="2015" spans="1:6" x14ac:dyDescent="0.3">
      <c r="A2015" t="s">
        <v>2062</v>
      </c>
      <c r="B2015" t="s">
        <v>35</v>
      </c>
      <c r="C2015">
        <v>2016</v>
      </c>
      <c r="D2015" t="s">
        <v>9</v>
      </c>
      <c r="E2015">
        <v>77</v>
      </c>
      <c r="F2015">
        <v>0</v>
      </c>
    </row>
    <row r="2016" spans="1:6" x14ac:dyDescent="0.3">
      <c r="A2016" t="s">
        <v>2063</v>
      </c>
      <c r="B2016" t="s">
        <v>35</v>
      </c>
      <c r="C2016">
        <v>2016</v>
      </c>
      <c r="D2016" t="s">
        <v>9</v>
      </c>
      <c r="E2016">
        <v>410</v>
      </c>
      <c r="F2016">
        <v>0</v>
      </c>
    </row>
    <row r="2017" spans="1:6" x14ac:dyDescent="0.3">
      <c r="A2017" t="s">
        <v>2064</v>
      </c>
      <c r="B2017" t="s">
        <v>35</v>
      </c>
      <c r="C2017">
        <v>2016</v>
      </c>
      <c r="D2017" t="s">
        <v>9</v>
      </c>
      <c r="E2017">
        <v>3</v>
      </c>
      <c r="F2017">
        <v>0</v>
      </c>
    </row>
    <row r="2018" spans="1:6" x14ac:dyDescent="0.3">
      <c r="A2018" t="s">
        <v>2065</v>
      </c>
      <c r="B2018" t="s">
        <v>35</v>
      </c>
      <c r="C2018">
        <v>2016</v>
      </c>
      <c r="D2018" t="s">
        <v>9</v>
      </c>
      <c r="E2018">
        <v>2900</v>
      </c>
      <c r="F2018">
        <v>0</v>
      </c>
    </row>
    <row r="2019" spans="1:6" x14ac:dyDescent="0.3">
      <c r="A2019" t="s">
        <v>2066</v>
      </c>
      <c r="B2019" t="s">
        <v>35</v>
      </c>
      <c r="C2019">
        <v>2016</v>
      </c>
      <c r="D2019" t="s">
        <v>9</v>
      </c>
      <c r="E2019">
        <v>0</v>
      </c>
      <c r="F2019">
        <v>0</v>
      </c>
    </row>
    <row r="2020" spans="1:6" x14ac:dyDescent="0.3">
      <c r="A2020" t="s">
        <v>2067</v>
      </c>
      <c r="B2020" t="s">
        <v>35</v>
      </c>
      <c r="C2020">
        <v>2016</v>
      </c>
      <c r="D2020" t="s">
        <v>9</v>
      </c>
      <c r="E2020">
        <v>4412</v>
      </c>
      <c r="F2020">
        <v>2000</v>
      </c>
    </row>
    <row r="2021" spans="1:6" x14ac:dyDescent="0.3">
      <c r="A2021" t="s">
        <v>2068</v>
      </c>
      <c r="B2021" t="s">
        <v>35</v>
      </c>
      <c r="C2021">
        <v>2016</v>
      </c>
      <c r="D2021" t="s">
        <v>9</v>
      </c>
      <c r="E2021">
        <v>2960</v>
      </c>
      <c r="F2021">
        <v>0</v>
      </c>
    </row>
    <row r="2022" spans="1:6" x14ac:dyDescent="0.3">
      <c r="A2022" t="s">
        <v>2069</v>
      </c>
      <c r="B2022" t="s">
        <v>35</v>
      </c>
      <c r="C2022">
        <v>2016</v>
      </c>
      <c r="D2022" t="s">
        <v>2689</v>
      </c>
      <c r="E2022">
        <v>191</v>
      </c>
      <c r="F2022">
        <v>0</v>
      </c>
    </row>
    <row r="2023" spans="1:6" x14ac:dyDescent="0.3">
      <c r="A2023" t="s">
        <v>2070</v>
      </c>
      <c r="B2023" t="s">
        <v>35</v>
      </c>
      <c r="C2023">
        <v>2017</v>
      </c>
      <c r="D2023" t="s">
        <v>9</v>
      </c>
      <c r="E2023">
        <v>60650</v>
      </c>
      <c r="F2023">
        <v>0</v>
      </c>
    </row>
    <row r="2024" spans="1:6" x14ac:dyDescent="0.3">
      <c r="A2024" t="s">
        <v>2071</v>
      </c>
      <c r="B2024" t="s">
        <v>35</v>
      </c>
      <c r="C2024">
        <v>2017</v>
      </c>
      <c r="D2024" t="s">
        <v>9</v>
      </c>
      <c r="E2024">
        <v>2367</v>
      </c>
      <c r="F2024">
        <v>110000</v>
      </c>
    </row>
    <row r="2025" spans="1:6" x14ac:dyDescent="0.3">
      <c r="A2025" t="s">
        <v>2072</v>
      </c>
      <c r="B2025" t="s">
        <v>35</v>
      </c>
      <c r="C2025">
        <v>2017</v>
      </c>
      <c r="D2025" t="s">
        <v>2689</v>
      </c>
      <c r="E2025">
        <v>0</v>
      </c>
      <c r="F2025">
        <v>0</v>
      </c>
    </row>
    <row r="2026" spans="1:6" x14ac:dyDescent="0.3">
      <c r="A2026" t="s">
        <v>2073</v>
      </c>
      <c r="B2026" t="s">
        <v>35</v>
      </c>
      <c r="C2026">
        <v>2017</v>
      </c>
      <c r="D2026" t="s">
        <v>2689</v>
      </c>
      <c r="E2026">
        <v>113</v>
      </c>
      <c r="F2026">
        <v>0</v>
      </c>
    </row>
    <row r="2027" spans="1:6" x14ac:dyDescent="0.3">
      <c r="A2027" t="s">
        <v>2074</v>
      </c>
      <c r="B2027" t="s">
        <v>35</v>
      </c>
      <c r="C2027">
        <v>2018</v>
      </c>
      <c r="D2027" t="s">
        <v>9</v>
      </c>
      <c r="E2027">
        <v>5000</v>
      </c>
      <c r="F2027">
        <v>0</v>
      </c>
    </row>
    <row r="2028" spans="1:6" x14ac:dyDescent="0.3">
      <c r="A2028" t="s">
        <v>2075</v>
      </c>
      <c r="B2028" t="s">
        <v>35</v>
      </c>
      <c r="C2028">
        <v>2019</v>
      </c>
      <c r="D2028" t="s">
        <v>7</v>
      </c>
      <c r="E2028">
        <v>4680912</v>
      </c>
      <c r="F2028">
        <v>0</v>
      </c>
    </row>
    <row r="2029" spans="1:6" x14ac:dyDescent="0.3">
      <c r="A2029" t="s">
        <v>2076</v>
      </c>
      <c r="B2029" t="s">
        <v>35</v>
      </c>
      <c r="C2029">
        <v>2019</v>
      </c>
      <c r="D2029" t="s">
        <v>14</v>
      </c>
      <c r="E2029">
        <v>130398</v>
      </c>
      <c r="F2029">
        <v>17000</v>
      </c>
    </row>
    <row r="2030" spans="1:6" x14ac:dyDescent="0.3">
      <c r="A2030" t="s">
        <v>2077</v>
      </c>
      <c r="B2030" t="s">
        <v>35</v>
      </c>
      <c r="C2030">
        <v>2019</v>
      </c>
      <c r="D2030" t="s">
        <v>9</v>
      </c>
      <c r="E2030">
        <v>22</v>
      </c>
      <c r="F2030">
        <v>0</v>
      </c>
    </row>
    <row r="2031" spans="1:6" x14ac:dyDescent="0.3">
      <c r="A2031" t="s">
        <v>2078</v>
      </c>
      <c r="B2031" t="s">
        <v>35</v>
      </c>
      <c r="C2031">
        <v>2019</v>
      </c>
      <c r="D2031" t="s">
        <v>9</v>
      </c>
      <c r="E2031">
        <v>0</v>
      </c>
      <c r="F2031">
        <v>0</v>
      </c>
    </row>
    <row r="2032" spans="1:6" x14ac:dyDescent="0.3">
      <c r="A2032" t="s">
        <v>2079</v>
      </c>
      <c r="B2032" t="s">
        <v>35</v>
      </c>
      <c r="C2032">
        <v>2019</v>
      </c>
      <c r="D2032" t="s">
        <v>9</v>
      </c>
      <c r="E2032">
        <v>871</v>
      </c>
      <c r="F2032">
        <v>0</v>
      </c>
    </row>
    <row r="2033" spans="1:6" x14ac:dyDescent="0.3">
      <c r="A2033" t="s">
        <v>2080</v>
      </c>
      <c r="B2033" t="s">
        <v>35</v>
      </c>
      <c r="C2033">
        <v>2019</v>
      </c>
      <c r="D2033" t="s">
        <v>9</v>
      </c>
      <c r="E2033">
        <v>0</v>
      </c>
      <c r="F2033">
        <v>0</v>
      </c>
    </row>
    <row r="2034" spans="1:6" x14ac:dyDescent="0.3">
      <c r="A2034" t="s">
        <v>2081</v>
      </c>
      <c r="B2034" t="s">
        <v>35</v>
      </c>
      <c r="C2034">
        <v>2019</v>
      </c>
      <c r="D2034" t="s">
        <v>9</v>
      </c>
      <c r="E2034">
        <v>4</v>
      </c>
      <c r="F2034">
        <v>0</v>
      </c>
    </row>
    <row r="2035" spans="1:6" x14ac:dyDescent="0.3">
      <c r="A2035" t="s">
        <v>2082</v>
      </c>
      <c r="B2035" t="s">
        <v>35</v>
      </c>
      <c r="C2035">
        <v>2019</v>
      </c>
      <c r="D2035" t="s">
        <v>9</v>
      </c>
      <c r="E2035">
        <v>0</v>
      </c>
      <c r="F2035">
        <v>0</v>
      </c>
    </row>
    <row r="2036" spans="1:6" x14ac:dyDescent="0.3">
      <c r="A2036" t="s">
        <v>2083</v>
      </c>
      <c r="B2036" t="s">
        <v>35</v>
      </c>
      <c r="C2036">
        <v>2019</v>
      </c>
      <c r="D2036" t="s">
        <v>9</v>
      </c>
      <c r="E2036">
        <v>0</v>
      </c>
      <c r="F2036">
        <v>0</v>
      </c>
    </row>
    <row r="2037" spans="1:6" x14ac:dyDescent="0.3">
      <c r="A2037" t="s">
        <v>2084</v>
      </c>
      <c r="B2037" t="s">
        <v>35</v>
      </c>
      <c r="C2037">
        <v>2019</v>
      </c>
      <c r="D2037" t="s">
        <v>9</v>
      </c>
      <c r="E2037">
        <v>0</v>
      </c>
      <c r="F2037">
        <v>0</v>
      </c>
    </row>
    <row r="2038" spans="1:6" x14ac:dyDescent="0.3">
      <c r="A2038" t="s">
        <v>2085</v>
      </c>
      <c r="B2038" t="s">
        <v>35</v>
      </c>
      <c r="C2038">
        <v>2019</v>
      </c>
      <c r="D2038" t="s">
        <v>2689</v>
      </c>
      <c r="E2038">
        <v>135</v>
      </c>
      <c r="F2038">
        <v>0</v>
      </c>
    </row>
    <row r="2039" spans="1:6" x14ac:dyDescent="0.3">
      <c r="A2039" t="s">
        <v>2086</v>
      </c>
      <c r="B2039" t="s">
        <v>35</v>
      </c>
      <c r="C2039">
        <v>2020</v>
      </c>
      <c r="D2039" t="s">
        <v>9</v>
      </c>
      <c r="E2039">
        <v>4836</v>
      </c>
      <c r="F2039">
        <v>0</v>
      </c>
    </row>
    <row r="2040" spans="1:6" x14ac:dyDescent="0.3">
      <c r="A2040" t="s">
        <v>2087</v>
      </c>
      <c r="B2040" t="s">
        <v>35</v>
      </c>
      <c r="C2040">
        <v>2020</v>
      </c>
      <c r="D2040" t="s">
        <v>9</v>
      </c>
      <c r="E2040">
        <v>179</v>
      </c>
      <c r="F2040">
        <v>0</v>
      </c>
    </row>
    <row r="2041" spans="1:6" x14ac:dyDescent="0.3">
      <c r="A2041" t="s">
        <v>2088</v>
      </c>
      <c r="B2041" t="s">
        <v>35</v>
      </c>
      <c r="C2041">
        <v>2020</v>
      </c>
      <c r="D2041" t="s">
        <v>9</v>
      </c>
      <c r="E2041">
        <v>5000</v>
      </c>
      <c r="F2041">
        <v>0</v>
      </c>
    </row>
    <row r="2042" spans="1:6" x14ac:dyDescent="0.3">
      <c r="A2042" t="s">
        <v>2089</v>
      </c>
      <c r="B2042" t="s">
        <v>35</v>
      </c>
      <c r="C2042">
        <v>2020</v>
      </c>
      <c r="D2042" t="s">
        <v>9</v>
      </c>
      <c r="E2042">
        <v>1550170</v>
      </c>
      <c r="F2042">
        <v>1500000</v>
      </c>
    </row>
    <row r="2043" spans="1:6" x14ac:dyDescent="0.3">
      <c r="A2043" t="s">
        <v>2090</v>
      </c>
      <c r="B2043" t="s">
        <v>35</v>
      </c>
      <c r="C2043">
        <v>2020</v>
      </c>
      <c r="D2043" t="s">
        <v>2689</v>
      </c>
      <c r="E2043">
        <v>1000104</v>
      </c>
      <c r="F2043">
        <v>0</v>
      </c>
    </row>
    <row r="2044" spans="1:6" x14ac:dyDescent="0.3">
      <c r="A2044" t="s">
        <v>2091</v>
      </c>
      <c r="B2044" t="s">
        <v>35</v>
      </c>
      <c r="C2044">
        <v>2021</v>
      </c>
      <c r="D2044" t="s">
        <v>14</v>
      </c>
      <c r="E2044">
        <v>64100</v>
      </c>
      <c r="F2044">
        <v>0</v>
      </c>
    </row>
    <row r="2045" spans="1:6" x14ac:dyDescent="0.3">
      <c r="A2045" t="s">
        <v>2092</v>
      </c>
      <c r="B2045" t="s">
        <v>35</v>
      </c>
      <c r="C2045">
        <v>2021</v>
      </c>
      <c r="D2045" t="s">
        <v>9</v>
      </c>
      <c r="E2045">
        <v>256</v>
      </c>
      <c r="F2045">
        <v>0</v>
      </c>
    </row>
    <row r="2046" spans="1:6" x14ac:dyDescent="0.3">
      <c r="A2046" t="s">
        <v>2093</v>
      </c>
      <c r="B2046" t="s">
        <v>35</v>
      </c>
      <c r="C2046">
        <v>2021</v>
      </c>
      <c r="D2046" t="s">
        <v>9</v>
      </c>
      <c r="E2046">
        <v>97</v>
      </c>
      <c r="F2046">
        <v>0</v>
      </c>
    </row>
    <row r="2047" spans="1:6" x14ac:dyDescent="0.3">
      <c r="A2047" t="s">
        <v>2094</v>
      </c>
      <c r="B2047" t="s">
        <v>35</v>
      </c>
      <c r="C2047">
        <v>2021</v>
      </c>
      <c r="D2047" t="s">
        <v>9</v>
      </c>
      <c r="E2047">
        <v>4</v>
      </c>
      <c r="F2047">
        <v>0</v>
      </c>
    </row>
    <row r="2048" spans="1:6" x14ac:dyDescent="0.3">
      <c r="A2048" t="s">
        <v>2095</v>
      </c>
      <c r="B2048" t="s">
        <v>35</v>
      </c>
      <c r="C2048">
        <v>2021</v>
      </c>
      <c r="D2048" t="s">
        <v>9</v>
      </c>
      <c r="E2048">
        <v>0</v>
      </c>
      <c r="F2048">
        <v>10000</v>
      </c>
    </row>
    <row r="2049" spans="1:6" x14ac:dyDescent="0.3">
      <c r="A2049" t="s">
        <v>2096</v>
      </c>
      <c r="B2049" t="s">
        <v>35</v>
      </c>
      <c r="C2049">
        <v>2021</v>
      </c>
      <c r="D2049" t="s">
        <v>2689</v>
      </c>
      <c r="E2049">
        <v>6</v>
      </c>
      <c r="F2049">
        <v>0</v>
      </c>
    </row>
    <row r="2050" spans="1:6" x14ac:dyDescent="0.3">
      <c r="A2050" t="s">
        <v>2097</v>
      </c>
      <c r="B2050" t="s">
        <v>35</v>
      </c>
      <c r="C2050">
        <v>2021</v>
      </c>
      <c r="D2050" t="s">
        <v>2689</v>
      </c>
      <c r="E2050">
        <v>22</v>
      </c>
      <c r="F2050">
        <v>0</v>
      </c>
    </row>
    <row r="2051" spans="1:6" x14ac:dyDescent="0.3">
      <c r="A2051" t="s">
        <v>2098</v>
      </c>
      <c r="B2051" t="s">
        <v>35</v>
      </c>
      <c r="C2051">
        <v>2022</v>
      </c>
      <c r="D2051" t="s">
        <v>14</v>
      </c>
      <c r="E2051">
        <v>0</v>
      </c>
      <c r="F2051">
        <v>0</v>
      </c>
    </row>
    <row r="2052" spans="1:6" x14ac:dyDescent="0.3">
      <c r="A2052" t="s">
        <v>2099</v>
      </c>
      <c r="B2052" t="s">
        <v>35</v>
      </c>
      <c r="C2052">
        <v>2022</v>
      </c>
      <c r="D2052" t="s">
        <v>9</v>
      </c>
      <c r="E2052">
        <v>33012865</v>
      </c>
      <c r="F2052">
        <v>15000000</v>
      </c>
    </row>
    <row r="2053" spans="1:6" x14ac:dyDescent="0.3">
      <c r="A2053" t="s">
        <v>2100</v>
      </c>
      <c r="B2053" t="s">
        <v>35</v>
      </c>
      <c r="C2053">
        <v>2022</v>
      </c>
      <c r="D2053" t="s">
        <v>2689</v>
      </c>
      <c r="E2053">
        <v>0</v>
      </c>
      <c r="F2053">
        <v>0</v>
      </c>
    </row>
    <row r="2054" spans="1:6" x14ac:dyDescent="0.3">
      <c r="A2054" t="s">
        <v>2101</v>
      </c>
      <c r="B2054" t="s">
        <v>35</v>
      </c>
      <c r="C2054">
        <v>2023</v>
      </c>
      <c r="D2054" t="s">
        <v>14</v>
      </c>
      <c r="E2054">
        <v>939</v>
      </c>
      <c r="F2054">
        <v>0</v>
      </c>
    </row>
    <row r="2055" spans="1:6" x14ac:dyDescent="0.3">
      <c r="A2055" t="s">
        <v>2102</v>
      </c>
      <c r="B2055" t="s">
        <v>35</v>
      </c>
      <c r="C2055">
        <v>2023</v>
      </c>
      <c r="D2055" t="s">
        <v>9</v>
      </c>
      <c r="E2055">
        <v>0</v>
      </c>
      <c r="F2055">
        <v>0</v>
      </c>
    </row>
    <row r="2056" spans="1:6" x14ac:dyDescent="0.3">
      <c r="A2056" t="s">
        <v>2103</v>
      </c>
      <c r="B2056" t="s">
        <v>35</v>
      </c>
      <c r="C2056">
        <v>2023</v>
      </c>
      <c r="D2056" t="s">
        <v>9</v>
      </c>
      <c r="E2056">
        <v>50</v>
      </c>
      <c r="F2056">
        <v>0</v>
      </c>
    </row>
    <row r="2057" spans="1:6" x14ac:dyDescent="0.3">
      <c r="A2057" t="s">
        <v>2104</v>
      </c>
      <c r="B2057" t="s">
        <v>35</v>
      </c>
      <c r="C2057">
        <v>2023</v>
      </c>
      <c r="D2057" t="s">
        <v>9</v>
      </c>
      <c r="E2057">
        <v>777</v>
      </c>
      <c r="F2057">
        <v>0</v>
      </c>
    </row>
    <row r="2058" spans="1:6" x14ac:dyDescent="0.3">
      <c r="A2058" t="s">
        <v>2105</v>
      </c>
      <c r="B2058" t="s">
        <v>35</v>
      </c>
      <c r="C2058">
        <v>2023</v>
      </c>
      <c r="D2058" t="s">
        <v>9</v>
      </c>
      <c r="E2058">
        <v>3</v>
      </c>
      <c r="F2058">
        <v>0</v>
      </c>
    </row>
    <row r="2059" spans="1:6" x14ac:dyDescent="0.3">
      <c r="A2059" t="s">
        <v>2106</v>
      </c>
      <c r="B2059" t="s">
        <v>35</v>
      </c>
      <c r="C2059">
        <v>2023</v>
      </c>
      <c r="D2059" t="s">
        <v>9</v>
      </c>
      <c r="E2059">
        <v>198</v>
      </c>
      <c r="F2059">
        <v>0</v>
      </c>
    </row>
    <row r="2060" spans="1:6" x14ac:dyDescent="0.3">
      <c r="A2060" t="s">
        <v>2107</v>
      </c>
      <c r="B2060" t="s">
        <v>35</v>
      </c>
      <c r="C2060">
        <v>2023</v>
      </c>
      <c r="D2060" t="s">
        <v>9</v>
      </c>
      <c r="E2060">
        <v>29175</v>
      </c>
      <c r="F2060">
        <v>0</v>
      </c>
    </row>
    <row r="2061" spans="1:6" x14ac:dyDescent="0.3">
      <c r="A2061" t="s">
        <v>2108</v>
      </c>
      <c r="B2061" t="s">
        <v>35</v>
      </c>
      <c r="C2061">
        <v>2023</v>
      </c>
      <c r="D2061" t="s">
        <v>9</v>
      </c>
      <c r="E2061">
        <v>0</v>
      </c>
      <c r="F2061">
        <v>0</v>
      </c>
    </row>
    <row r="2062" spans="1:6" x14ac:dyDescent="0.3">
      <c r="A2062" t="s">
        <v>2109</v>
      </c>
      <c r="B2062" t="s">
        <v>35</v>
      </c>
      <c r="C2062">
        <v>2023</v>
      </c>
      <c r="D2062" t="s">
        <v>9</v>
      </c>
      <c r="E2062">
        <v>0</v>
      </c>
      <c r="F2062">
        <v>0</v>
      </c>
    </row>
    <row r="2063" spans="1:6" x14ac:dyDescent="0.3">
      <c r="A2063" t="s">
        <v>2110</v>
      </c>
      <c r="B2063" t="s">
        <v>35</v>
      </c>
      <c r="C2063">
        <v>2023</v>
      </c>
      <c r="D2063" t="s">
        <v>9</v>
      </c>
      <c r="E2063">
        <v>89601</v>
      </c>
      <c r="F2063">
        <v>0</v>
      </c>
    </row>
    <row r="2064" spans="1:6" x14ac:dyDescent="0.3">
      <c r="A2064" t="s">
        <v>2111</v>
      </c>
      <c r="B2064" t="s">
        <v>35</v>
      </c>
      <c r="C2064">
        <v>2023</v>
      </c>
      <c r="D2064" t="s">
        <v>2689</v>
      </c>
      <c r="E2064">
        <v>0</v>
      </c>
      <c r="F2064">
        <v>0</v>
      </c>
    </row>
    <row r="2065" spans="1:6" x14ac:dyDescent="0.3">
      <c r="A2065" t="s">
        <v>2112</v>
      </c>
      <c r="B2065" t="s">
        <v>35</v>
      </c>
      <c r="C2065">
        <v>2024</v>
      </c>
      <c r="D2065" t="s">
        <v>9</v>
      </c>
      <c r="E2065">
        <v>3232</v>
      </c>
      <c r="F2065">
        <v>0</v>
      </c>
    </row>
    <row r="2066" spans="1:6" x14ac:dyDescent="0.3">
      <c r="A2066" t="s">
        <v>2113</v>
      </c>
      <c r="B2066" t="s">
        <v>35</v>
      </c>
      <c r="C2066">
        <v>2024</v>
      </c>
      <c r="D2066" t="s">
        <v>9</v>
      </c>
      <c r="E2066">
        <v>551768</v>
      </c>
      <c r="F2066">
        <v>0</v>
      </c>
    </row>
    <row r="2067" spans="1:6" x14ac:dyDescent="0.3">
      <c r="A2067" t="s">
        <v>2114</v>
      </c>
      <c r="B2067" t="s">
        <v>35</v>
      </c>
      <c r="C2067">
        <v>2024</v>
      </c>
      <c r="D2067" t="s">
        <v>2689</v>
      </c>
      <c r="E2067">
        <v>17594</v>
      </c>
      <c r="F2067">
        <v>0</v>
      </c>
    </row>
    <row r="2068" spans="1:6" x14ac:dyDescent="0.3">
      <c r="A2068" t="s">
        <v>2115</v>
      </c>
      <c r="B2068" t="s">
        <v>35</v>
      </c>
      <c r="C2068">
        <v>2024</v>
      </c>
      <c r="D2068" t="s">
        <v>2689</v>
      </c>
      <c r="E2068">
        <v>309</v>
      </c>
      <c r="F2068">
        <v>0</v>
      </c>
    </row>
    <row r="2069" spans="1:6" x14ac:dyDescent="0.3">
      <c r="A2069" t="s">
        <v>2116</v>
      </c>
      <c r="B2069" t="s">
        <v>36</v>
      </c>
      <c r="C2069">
        <v>2001</v>
      </c>
      <c r="D2069" t="s">
        <v>14</v>
      </c>
      <c r="E2069">
        <v>349978</v>
      </c>
      <c r="F2069">
        <v>300000</v>
      </c>
    </row>
    <row r="2070" spans="1:6" x14ac:dyDescent="0.3">
      <c r="A2070" t="s">
        <v>2117</v>
      </c>
      <c r="B2070" t="s">
        <v>36</v>
      </c>
      <c r="C2070">
        <v>2001</v>
      </c>
      <c r="D2070" t="s">
        <v>14</v>
      </c>
      <c r="E2070">
        <v>155</v>
      </c>
      <c r="F2070">
        <v>0</v>
      </c>
    </row>
    <row r="2071" spans="1:6" x14ac:dyDescent="0.3">
      <c r="A2071" t="s">
        <v>2118</v>
      </c>
      <c r="B2071" t="s">
        <v>36</v>
      </c>
      <c r="C2071">
        <v>2001</v>
      </c>
      <c r="D2071" t="s">
        <v>14</v>
      </c>
      <c r="E2071">
        <v>3965</v>
      </c>
      <c r="F2071">
        <v>0</v>
      </c>
    </row>
    <row r="2072" spans="1:6" x14ac:dyDescent="0.3">
      <c r="A2072" t="s">
        <v>2119</v>
      </c>
      <c r="B2072" t="s">
        <v>36</v>
      </c>
      <c r="C2072">
        <v>2001</v>
      </c>
      <c r="D2072" t="s">
        <v>9</v>
      </c>
      <c r="E2072">
        <v>46000</v>
      </c>
      <c r="F2072">
        <v>0</v>
      </c>
    </row>
    <row r="2073" spans="1:6" x14ac:dyDescent="0.3">
      <c r="A2073" t="s">
        <v>2120</v>
      </c>
      <c r="B2073" t="s">
        <v>36</v>
      </c>
      <c r="C2073">
        <v>2001</v>
      </c>
      <c r="D2073" t="s">
        <v>9</v>
      </c>
      <c r="E2073">
        <v>310</v>
      </c>
      <c r="F2073">
        <v>0</v>
      </c>
    </row>
    <row r="2074" spans="1:6" x14ac:dyDescent="0.3">
      <c r="A2074" t="s">
        <v>2121</v>
      </c>
      <c r="B2074" t="s">
        <v>36</v>
      </c>
      <c r="C2074">
        <v>2001</v>
      </c>
      <c r="D2074" t="s">
        <v>9</v>
      </c>
      <c r="E2074">
        <v>20000</v>
      </c>
      <c r="F2074">
        <v>0</v>
      </c>
    </row>
    <row r="2075" spans="1:6" x14ac:dyDescent="0.3">
      <c r="A2075" t="s">
        <v>2122</v>
      </c>
      <c r="B2075" t="s">
        <v>36</v>
      </c>
      <c r="C2075">
        <v>2002</v>
      </c>
      <c r="D2075" t="s">
        <v>7</v>
      </c>
      <c r="E2075">
        <v>21500</v>
      </c>
      <c r="F2075">
        <v>0</v>
      </c>
    </row>
    <row r="2076" spans="1:6" x14ac:dyDescent="0.3">
      <c r="A2076" t="s">
        <v>2123</v>
      </c>
      <c r="B2076" t="s">
        <v>36</v>
      </c>
      <c r="C2076">
        <v>2002</v>
      </c>
      <c r="D2076" t="s">
        <v>9</v>
      </c>
      <c r="E2076">
        <v>8349</v>
      </c>
      <c r="F2076">
        <v>0</v>
      </c>
    </row>
    <row r="2077" spans="1:6" x14ac:dyDescent="0.3">
      <c r="A2077" t="s">
        <v>2124</v>
      </c>
      <c r="B2077" t="s">
        <v>36</v>
      </c>
      <c r="C2077">
        <v>2002</v>
      </c>
      <c r="D2077" t="s">
        <v>9</v>
      </c>
      <c r="E2077">
        <v>2169</v>
      </c>
      <c r="F2077">
        <v>0</v>
      </c>
    </row>
    <row r="2078" spans="1:6" x14ac:dyDescent="0.3">
      <c r="A2078" t="s">
        <v>2125</v>
      </c>
      <c r="B2078" t="s">
        <v>36</v>
      </c>
      <c r="C2078">
        <v>2002</v>
      </c>
      <c r="D2078" t="s">
        <v>9</v>
      </c>
      <c r="E2078">
        <v>350</v>
      </c>
      <c r="F2078">
        <v>0</v>
      </c>
    </row>
    <row r="2079" spans="1:6" x14ac:dyDescent="0.3">
      <c r="A2079" t="s">
        <v>2126</v>
      </c>
      <c r="B2079" t="s">
        <v>36</v>
      </c>
      <c r="C2079">
        <v>2002</v>
      </c>
      <c r="D2079" t="s">
        <v>2689</v>
      </c>
      <c r="E2079">
        <v>86682</v>
      </c>
      <c r="F2079">
        <v>0</v>
      </c>
    </row>
    <row r="2080" spans="1:6" x14ac:dyDescent="0.3">
      <c r="A2080" t="s">
        <v>2127</v>
      </c>
      <c r="B2080" t="s">
        <v>36</v>
      </c>
      <c r="C2080">
        <v>2003</v>
      </c>
      <c r="D2080" t="s">
        <v>9</v>
      </c>
      <c r="E2080">
        <v>60012</v>
      </c>
      <c r="F2080">
        <v>0</v>
      </c>
    </row>
    <row r="2081" spans="1:6" x14ac:dyDescent="0.3">
      <c r="A2081" t="s">
        <v>2128</v>
      </c>
      <c r="B2081" t="s">
        <v>36</v>
      </c>
      <c r="C2081">
        <v>2003</v>
      </c>
      <c r="D2081" t="s">
        <v>9</v>
      </c>
      <c r="E2081">
        <v>5450</v>
      </c>
      <c r="F2081">
        <v>0</v>
      </c>
    </row>
    <row r="2082" spans="1:6" x14ac:dyDescent="0.3">
      <c r="A2082" t="s">
        <v>2129</v>
      </c>
      <c r="B2082" t="s">
        <v>36</v>
      </c>
      <c r="C2082">
        <v>2004</v>
      </c>
      <c r="D2082" t="s">
        <v>7</v>
      </c>
      <c r="E2082">
        <v>0</v>
      </c>
      <c r="F2082">
        <v>0</v>
      </c>
    </row>
    <row r="2083" spans="1:6" x14ac:dyDescent="0.3">
      <c r="A2083" t="s">
        <v>2130</v>
      </c>
      <c r="B2083" t="s">
        <v>36</v>
      </c>
      <c r="C2083">
        <v>2004</v>
      </c>
      <c r="D2083" t="s">
        <v>9</v>
      </c>
      <c r="E2083">
        <v>7500</v>
      </c>
      <c r="F2083">
        <v>0</v>
      </c>
    </row>
    <row r="2084" spans="1:6" x14ac:dyDescent="0.3">
      <c r="A2084" t="s">
        <v>2131</v>
      </c>
      <c r="B2084" t="s">
        <v>36</v>
      </c>
      <c r="C2084">
        <v>2005</v>
      </c>
      <c r="D2084" t="s">
        <v>14</v>
      </c>
      <c r="E2084">
        <v>0</v>
      </c>
      <c r="F2084">
        <v>50</v>
      </c>
    </row>
    <row r="2085" spans="1:6" x14ac:dyDescent="0.3">
      <c r="A2085" t="s">
        <v>2132</v>
      </c>
      <c r="B2085" t="s">
        <v>36</v>
      </c>
      <c r="C2085">
        <v>2005</v>
      </c>
      <c r="D2085" t="s">
        <v>14</v>
      </c>
      <c r="E2085">
        <v>2505</v>
      </c>
      <c r="F2085">
        <v>0</v>
      </c>
    </row>
    <row r="2086" spans="1:6" x14ac:dyDescent="0.3">
      <c r="A2086" t="s">
        <v>2133</v>
      </c>
      <c r="B2086" t="s">
        <v>36</v>
      </c>
      <c r="C2086">
        <v>2006</v>
      </c>
      <c r="D2086" t="s">
        <v>7</v>
      </c>
      <c r="E2086">
        <v>0</v>
      </c>
      <c r="F2086">
        <v>0</v>
      </c>
    </row>
    <row r="2087" spans="1:6" x14ac:dyDescent="0.3">
      <c r="A2087" t="s">
        <v>2134</v>
      </c>
      <c r="B2087" t="s">
        <v>36</v>
      </c>
      <c r="C2087">
        <v>2006</v>
      </c>
      <c r="D2087" t="s">
        <v>9</v>
      </c>
      <c r="E2087">
        <v>15325</v>
      </c>
      <c r="F2087">
        <v>0</v>
      </c>
    </row>
    <row r="2088" spans="1:6" x14ac:dyDescent="0.3">
      <c r="A2088" t="s">
        <v>2135</v>
      </c>
      <c r="B2088" t="s">
        <v>36</v>
      </c>
      <c r="C2088">
        <v>2007</v>
      </c>
      <c r="D2088" t="s">
        <v>14</v>
      </c>
      <c r="E2088">
        <v>658331</v>
      </c>
      <c r="F2088">
        <v>600000</v>
      </c>
    </row>
    <row r="2089" spans="1:6" x14ac:dyDescent="0.3">
      <c r="A2089" t="s">
        <v>2136</v>
      </c>
      <c r="B2089" t="s">
        <v>36</v>
      </c>
      <c r="C2089">
        <v>2007</v>
      </c>
      <c r="D2089" t="s">
        <v>9</v>
      </c>
      <c r="E2089">
        <v>47714</v>
      </c>
      <c r="F2089">
        <v>0</v>
      </c>
    </row>
    <row r="2090" spans="1:6" x14ac:dyDescent="0.3">
      <c r="A2090" t="s">
        <v>2137</v>
      </c>
      <c r="B2090" t="s">
        <v>36</v>
      </c>
      <c r="C2090">
        <v>2008</v>
      </c>
      <c r="D2090" t="s">
        <v>9</v>
      </c>
      <c r="E2090">
        <v>450012</v>
      </c>
      <c r="F2090">
        <v>0</v>
      </c>
    </row>
    <row r="2091" spans="1:6" x14ac:dyDescent="0.3">
      <c r="A2091" t="s">
        <v>2138</v>
      </c>
      <c r="B2091" t="s">
        <v>36</v>
      </c>
      <c r="C2091">
        <v>2009</v>
      </c>
      <c r="D2091" t="s">
        <v>9</v>
      </c>
      <c r="E2091">
        <v>236308</v>
      </c>
      <c r="F2091">
        <v>0</v>
      </c>
    </row>
    <row r="2092" spans="1:6" x14ac:dyDescent="0.3">
      <c r="A2092" t="s">
        <v>2139</v>
      </c>
      <c r="B2092" t="s">
        <v>36</v>
      </c>
      <c r="C2092">
        <v>2010</v>
      </c>
      <c r="D2092" t="s">
        <v>9</v>
      </c>
      <c r="E2092">
        <v>80000</v>
      </c>
      <c r="F2092">
        <v>0</v>
      </c>
    </row>
    <row r="2093" spans="1:6" x14ac:dyDescent="0.3">
      <c r="A2093" t="s">
        <v>2140</v>
      </c>
      <c r="B2093" t="s">
        <v>36</v>
      </c>
      <c r="C2093">
        <v>2011</v>
      </c>
      <c r="D2093" t="s">
        <v>14</v>
      </c>
      <c r="E2093">
        <v>2681</v>
      </c>
      <c r="F2093">
        <v>0</v>
      </c>
    </row>
    <row r="2094" spans="1:6" x14ac:dyDescent="0.3">
      <c r="A2094" t="s">
        <v>2141</v>
      </c>
      <c r="B2094" t="s">
        <v>36</v>
      </c>
      <c r="C2094">
        <v>2011</v>
      </c>
      <c r="D2094" t="s">
        <v>9</v>
      </c>
      <c r="E2094">
        <v>10000</v>
      </c>
      <c r="F2094">
        <v>0</v>
      </c>
    </row>
    <row r="2095" spans="1:6" x14ac:dyDescent="0.3">
      <c r="A2095" t="s">
        <v>2142</v>
      </c>
      <c r="B2095" t="s">
        <v>36</v>
      </c>
      <c r="C2095">
        <v>2011</v>
      </c>
      <c r="D2095" t="s">
        <v>9</v>
      </c>
      <c r="E2095">
        <v>3000</v>
      </c>
      <c r="F2095">
        <v>0</v>
      </c>
    </row>
    <row r="2096" spans="1:6" x14ac:dyDescent="0.3">
      <c r="A2096" t="s">
        <v>2143</v>
      </c>
      <c r="B2096" t="s">
        <v>36</v>
      </c>
      <c r="C2096">
        <v>2011</v>
      </c>
      <c r="D2096" t="s">
        <v>9</v>
      </c>
      <c r="E2096">
        <v>809945</v>
      </c>
      <c r="F2096">
        <v>0</v>
      </c>
    </row>
    <row r="2097" spans="1:6" x14ac:dyDescent="0.3">
      <c r="A2097" t="s">
        <v>2144</v>
      </c>
      <c r="B2097" t="s">
        <v>36</v>
      </c>
      <c r="C2097">
        <v>2011</v>
      </c>
      <c r="D2097" t="s">
        <v>2689</v>
      </c>
      <c r="E2097">
        <v>0</v>
      </c>
      <c r="F2097">
        <v>0</v>
      </c>
    </row>
    <row r="2098" spans="1:6" x14ac:dyDescent="0.3">
      <c r="A2098" t="s">
        <v>2145</v>
      </c>
      <c r="B2098" t="s">
        <v>36</v>
      </c>
      <c r="C2098">
        <v>2012</v>
      </c>
      <c r="D2098" t="s">
        <v>14</v>
      </c>
      <c r="E2098">
        <v>4435</v>
      </c>
      <c r="F2098">
        <v>0</v>
      </c>
    </row>
    <row r="2099" spans="1:6" x14ac:dyDescent="0.3">
      <c r="A2099" t="s">
        <v>2146</v>
      </c>
      <c r="B2099" t="s">
        <v>36</v>
      </c>
      <c r="C2099">
        <v>2012</v>
      </c>
      <c r="D2099" t="s">
        <v>9</v>
      </c>
      <c r="E2099">
        <v>50029</v>
      </c>
      <c r="F2099">
        <v>0</v>
      </c>
    </row>
    <row r="2100" spans="1:6" x14ac:dyDescent="0.3">
      <c r="A2100" t="s">
        <v>2147</v>
      </c>
      <c r="B2100" t="s">
        <v>36</v>
      </c>
      <c r="C2100">
        <v>2013</v>
      </c>
      <c r="D2100" t="s">
        <v>14</v>
      </c>
      <c r="E2100">
        <v>7084</v>
      </c>
      <c r="F2100">
        <v>0</v>
      </c>
    </row>
    <row r="2101" spans="1:6" x14ac:dyDescent="0.3">
      <c r="A2101" t="s">
        <v>2148</v>
      </c>
      <c r="B2101" t="s">
        <v>36</v>
      </c>
      <c r="C2101">
        <v>2013</v>
      </c>
      <c r="D2101" t="s">
        <v>9</v>
      </c>
      <c r="E2101">
        <v>180766</v>
      </c>
      <c r="F2101">
        <v>0</v>
      </c>
    </row>
    <row r="2102" spans="1:6" x14ac:dyDescent="0.3">
      <c r="A2102" t="s">
        <v>2149</v>
      </c>
      <c r="B2102" t="s">
        <v>36</v>
      </c>
      <c r="C2102">
        <v>2013</v>
      </c>
      <c r="D2102" t="s">
        <v>9</v>
      </c>
      <c r="E2102">
        <v>355</v>
      </c>
      <c r="F2102">
        <v>0</v>
      </c>
    </row>
    <row r="2103" spans="1:6" x14ac:dyDescent="0.3">
      <c r="A2103" t="s">
        <v>2150</v>
      </c>
      <c r="B2103" t="s">
        <v>36</v>
      </c>
      <c r="C2103">
        <v>2014</v>
      </c>
      <c r="D2103" t="s">
        <v>14</v>
      </c>
      <c r="E2103">
        <v>604</v>
      </c>
      <c r="F2103">
        <v>0</v>
      </c>
    </row>
    <row r="2104" spans="1:6" x14ac:dyDescent="0.3">
      <c r="A2104" t="s">
        <v>2151</v>
      </c>
      <c r="B2104" t="s">
        <v>36</v>
      </c>
      <c r="C2104">
        <v>2014</v>
      </c>
      <c r="D2104" t="s">
        <v>9</v>
      </c>
      <c r="E2104">
        <v>9000</v>
      </c>
      <c r="F2104">
        <v>0</v>
      </c>
    </row>
    <row r="2105" spans="1:6" x14ac:dyDescent="0.3">
      <c r="A2105" t="s">
        <v>2152</v>
      </c>
      <c r="B2105" t="s">
        <v>36</v>
      </c>
      <c r="C2105">
        <v>2014</v>
      </c>
      <c r="D2105" t="s">
        <v>9</v>
      </c>
      <c r="E2105">
        <v>83878</v>
      </c>
      <c r="F2105">
        <v>0</v>
      </c>
    </row>
    <row r="2106" spans="1:6" x14ac:dyDescent="0.3">
      <c r="A2106" t="s">
        <v>2153</v>
      </c>
      <c r="B2106" t="s">
        <v>36</v>
      </c>
      <c r="C2106">
        <v>2014</v>
      </c>
      <c r="D2106" t="s">
        <v>9</v>
      </c>
      <c r="E2106">
        <v>0</v>
      </c>
      <c r="F2106">
        <v>0</v>
      </c>
    </row>
    <row r="2107" spans="1:6" x14ac:dyDescent="0.3">
      <c r="A2107" t="s">
        <v>2154</v>
      </c>
      <c r="B2107" t="s">
        <v>36</v>
      </c>
      <c r="C2107">
        <v>2015</v>
      </c>
      <c r="D2107" t="s">
        <v>9</v>
      </c>
      <c r="E2107">
        <v>147405</v>
      </c>
      <c r="F2107">
        <v>0</v>
      </c>
    </row>
    <row r="2108" spans="1:6" x14ac:dyDescent="0.3">
      <c r="A2108" t="s">
        <v>2155</v>
      </c>
      <c r="B2108" t="s">
        <v>36</v>
      </c>
      <c r="C2108">
        <v>2015</v>
      </c>
      <c r="D2108" t="s">
        <v>9</v>
      </c>
      <c r="E2108">
        <v>3235</v>
      </c>
      <c r="F2108">
        <v>0</v>
      </c>
    </row>
    <row r="2109" spans="1:6" x14ac:dyDescent="0.3">
      <c r="A2109" t="s">
        <v>2156</v>
      </c>
      <c r="B2109" t="s">
        <v>36</v>
      </c>
      <c r="C2109">
        <v>2016</v>
      </c>
      <c r="D2109" t="s">
        <v>14</v>
      </c>
      <c r="E2109">
        <v>11182</v>
      </c>
      <c r="F2109">
        <v>0</v>
      </c>
    </row>
    <row r="2110" spans="1:6" x14ac:dyDescent="0.3">
      <c r="A2110" t="s">
        <v>2157</v>
      </c>
      <c r="B2110" t="s">
        <v>36</v>
      </c>
      <c r="C2110">
        <v>2016</v>
      </c>
      <c r="D2110" t="s">
        <v>14</v>
      </c>
      <c r="E2110">
        <v>257</v>
      </c>
      <c r="F2110">
        <v>0</v>
      </c>
    </row>
    <row r="2111" spans="1:6" x14ac:dyDescent="0.3">
      <c r="A2111" t="s">
        <v>2158</v>
      </c>
      <c r="B2111" t="s">
        <v>36</v>
      </c>
      <c r="C2111">
        <v>2016</v>
      </c>
      <c r="D2111" t="s">
        <v>9</v>
      </c>
      <c r="E2111">
        <v>10000</v>
      </c>
      <c r="F2111">
        <v>2000</v>
      </c>
    </row>
    <row r="2112" spans="1:6" x14ac:dyDescent="0.3">
      <c r="A2112" t="s">
        <v>2159</v>
      </c>
      <c r="B2112" t="s">
        <v>36</v>
      </c>
      <c r="C2112">
        <v>2017</v>
      </c>
      <c r="D2112" t="s">
        <v>9</v>
      </c>
      <c r="E2112">
        <v>376000</v>
      </c>
      <c r="F2112">
        <v>100000</v>
      </c>
    </row>
    <row r="2113" spans="1:6" x14ac:dyDescent="0.3">
      <c r="A2113" t="s">
        <v>2160</v>
      </c>
      <c r="B2113" t="s">
        <v>36</v>
      </c>
      <c r="C2113">
        <v>2017</v>
      </c>
      <c r="D2113" t="s">
        <v>9</v>
      </c>
      <c r="E2113">
        <v>12000</v>
      </c>
      <c r="F2113">
        <v>0</v>
      </c>
    </row>
    <row r="2114" spans="1:6" x14ac:dyDescent="0.3">
      <c r="A2114" t="s">
        <v>2161</v>
      </c>
      <c r="B2114" t="s">
        <v>36</v>
      </c>
      <c r="C2114">
        <v>2017</v>
      </c>
      <c r="D2114" t="s">
        <v>9</v>
      </c>
      <c r="E2114">
        <v>1800505</v>
      </c>
      <c r="F2114">
        <v>3100000</v>
      </c>
    </row>
    <row r="2115" spans="1:6" x14ac:dyDescent="0.3">
      <c r="A2115" t="s">
        <v>2162</v>
      </c>
      <c r="B2115" t="s">
        <v>36</v>
      </c>
      <c r="C2115">
        <v>2018</v>
      </c>
      <c r="D2115" t="s">
        <v>14</v>
      </c>
      <c r="E2115">
        <v>9319</v>
      </c>
      <c r="F2115">
        <v>0</v>
      </c>
    </row>
    <row r="2116" spans="1:6" x14ac:dyDescent="0.3">
      <c r="A2116" t="s">
        <v>2163</v>
      </c>
      <c r="B2116" t="s">
        <v>36</v>
      </c>
      <c r="C2116">
        <v>2019</v>
      </c>
      <c r="D2116" t="s">
        <v>14</v>
      </c>
      <c r="E2116">
        <v>4272</v>
      </c>
      <c r="F2116">
        <v>0</v>
      </c>
    </row>
    <row r="2117" spans="1:6" x14ac:dyDescent="0.3">
      <c r="A2117" t="s">
        <v>2164</v>
      </c>
      <c r="B2117" t="s">
        <v>36</v>
      </c>
      <c r="C2117">
        <v>2019</v>
      </c>
      <c r="D2117" t="s">
        <v>9</v>
      </c>
      <c r="E2117">
        <v>8379</v>
      </c>
      <c r="F2117">
        <v>0</v>
      </c>
    </row>
    <row r="2118" spans="1:6" x14ac:dyDescent="0.3">
      <c r="A2118" t="s">
        <v>2165</v>
      </c>
      <c r="B2118" t="s">
        <v>36</v>
      </c>
      <c r="C2118">
        <v>2019</v>
      </c>
      <c r="D2118" t="s">
        <v>9</v>
      </c>
      <c r="E2118">
        <v>0</v>
      </c>
      <c r="F2118">
        <v>0</v>
      </c>
    </row>
    <row r="2119" spans="1:6" x14ac:dyDescent="0.3">
      <c r="A2119" t="s">
        <v>2166</v>
      </c>
      <c r="B2119" t="s">
        <v>36</v>
      </c>
      <c r="C2119">
        <v>2019</v>
      </c>
      <c r="D2119" t="s">
        <v>9</v>
      </c>
      <c r="E2119">
        <v>900</v>
      </c>
      <c r="F2119">
        <v>0</v>
      </c>
    </row>
    <row r="2120" spans="1:6" x14ac:dyDescent="0.3">
      <c r="A2120" t="s">
        <v>2167</v>
      </c>
      <c r="B2120" t="s">
        <v>36</v>
      </c>
      <c r="C2120">
        <v>2020</v>
      </c>
      <c r="D2120" t="s">
        <v>9</v>
      </c>
      <c r="E2120">
        <v>240</v>
      </c>
      <c r="F2120">
        <v>0</v>
      </c>
    </row>
    <row r="2121" spans="1:6" x14ac:dyDescent="0.3">
      <c r="A2121" t="s">
        <v>2168</v>
      </c>
      <c r="B2121" t="s">
        <v>36</v>
      </c>
      <c r="C2121">
        <v>2020</v>
      </c>
      <c r="D2121" t="s">
        <v>9</v>
      </c>
      <c r="E2121">
        <v>6461</v>
      </c>
      <c r="F2121">
        <v>10000</v>
      </c>
    </row>
    <row r="2122" spans="1:6" x14ac:dyDescent="0.3">
      <c r="A2122" t="s">
        <v>2169</v>
      </c>
      <c r="B2122" t="s">
        <v>36</v>
      </c>
      <c r="C2122">
        <v>2020</v>
      </c>
      <c r="D2122" t="s">
        <v>9</v>
      </c>
      <c r="E2122">
        <v>550</v>
      </c>
      <c r="F2122">
        <v>0</v>
      </c>
    </row>
    <row r="2123" spans="1:6" x14ac:dyDescent="0.3">
      <c r="A2123" t="s">
        <v>2170</v>
      </c>
      <c r="B2123" t="s">
        <v>36</v>
      </c>
      <c r="C2123">
        <v>2021</v>
      </c>
      <c r="D2123" t="s">
        <v>14</v>
      </c>
      <c r="E2123">
        <v>1421</v>
      </c>
      <c r="F2123">
        <v>0</v>
      </c>
    </row>
    <row r="2124" spans="1:6" x14ac:dyDescent="0.3">
      <c r="A2124" t="s">
        <v>2171</v>
      </c>
      <c r="B2124" t="s">
        <v>36</v>
      </c>
      <c r="C2124">
        <v>2021</v>
      </c>
      <c r="D2124" t="s">
        <v>14</v>
      </c>
      <c r="E2124">
        <v>17912</v>
      </c>
      <c r="F2124">
        <v>0</v>
      </c>
    </row>
    <row r="2125" spans="1:6" x14ac:dyDescent="0.3">
      <c r="A2125" t="s">
        <v>2172</v>
      </c>
      <c r="B2125" t="s">
        <v>36</v>
      </c>
      <c r="C2125">
        <v>2021</v>
      </c>
      <c r="D2125" t="s">
        <v>9</v>
      </c>
      <c r="E2125">
        <v>84</v>
      </c>
      <c r="F2125">
        <v>0</v>
      </c>
    </row>
    <row r="2126" spans="1:6" x14ac:dyDescent="0.3">
      <c r="A2126" t="s">
        <v>2173</v>
      </c>
      <c r="B2126" t="s">
        <v>36</v>
      </c>
      <c r="C2126">
        <v>2021</v>
      </c>
      <c r="D2126" t="s">
        <v>9</v>
      </c>
      <c r="E2126">
        <v>12000</v>
      </c>
      <c r="F2126">
        <v>25000</v>
      </c>
    </row>
    <row r="2127" spans="1:6" x14ac:dyDescent="0.3">
      <c r="A2127" t="s">
        <v>2174</v>
      </c>
      <c r="B2127" t="s">
        <v>36</v>
      </c>
      <c r="C2127">
        <v>2021</v>
      </c>
      <c r="D2127" t="s">
        <v>9</v>
      </c>
      <c r="E2127">
        <v>1875</v>
      </c>
      <c r="F2127">
        <v>0</v>
      </c>
    </row>
    <row r="2128" spans="1:6" x14ac:dyDescent="0.3">
      <c r="A2128" t="s">
        <v>2175</v>
      </c>
      <c r="B2128" t="s">
        <v>36</v>
      </c>
      <c r="C2128">
        <v>2021</v>
      </c>
      <c r="D2128" t="s">
        <v>9</v>
      </c>
      <c r="E2128">
        <v>561</v>
      </c>
      <c r="F2128">
        <v>0</v>
      </c>
    </row>
    <row r="2129" spans="1:6" x14ac:dyDescent="0.3">
      <c r="A2129" t="s">
        <v>2176</v>
      </c>
      <c r="B2129" t="s">
        <v>36</v>
      </c>
      <c r="C2129">
        <v>2021</v>
      </c>
      <c r="D2129" t="s">
        <v>9</v>
      </c>
      <c r="E2129">
        <v>9000</v>
      </c>
      <c r="F2129">
        <v>0</v>
      </c>
    </row>
    <row r="2130" spans="1:6" x14ac:dyDescent="0.3">
      <c r="A2130" t="s">
        <v>2177</v>
      </c>
      <c r="B2130" t="s">
        <v>36</v>
      </c>
      <c r="C2130">
        <v>2021</v>
      </c>
      <c r="D2130" t="s">
        <v>9</v>
      </c>
      <c r="E2130">
        <v>2595</v>
      </c>
      <c r="F2130">
        <v>0</v>
      </c>
    </row>
    <row r="2131" spans="1:6" x14ac:dyDescent="0.3">
      <c r="A2131" t="s">
        <v>2178</v>
      </c>
      <c r="B2131" t="s">
        <v>36</v>
      </c>
      <c r="C2131">
        <v>2021</v>
      </c>
      <c r="D2131" t="s">
        <v>9</v>
      </c>
      <c r="E2131">
        <v>105</v>
      </c>
      <c r="F2131">
        <v>0</v>
      </c>
    </row>
    <row r="2132" spans="1:6" x14ac:dyDescent="0.3">
      <c r="A2132" t="s">
        <v>2179</v>
      </c>
      <c r="B2132" t="s">
        <v>36</v>
      </c>
      <c r="C2132">
        <v>2021</v>
      </c>
      <c r="D2132" t="s">
        <v>9</v>
      </c>
      <c r="E2132">
        <v>2984</v>
      </c>
      <c r="F2132">
        <v>0</v>
      </c>
    </row>
    <row r="2133" spans="1:6" x14ac:dyDescent="0.3">
      <c r="A2133" t="s">
        <v>2180</v>
      </c>
      <c r="B2133" t="s">
        <v>36</v>
      </c>
      <c r="C2133">
        <v>2022</v>
      </c>
      <c r="D2133" t="s">
        <v>14</v>
      </c>
      <c r="E2133">
        <v>300</v>
      </c>
      <c r="F2133">
        <v>0</v>
      </c>
    </row>
    <row r="2134" spans="1:6" x14ac:dyDescent="0.3">
      <c r="A2134" t="s">
        <v>2181</v>
      </c>
      <c r="B2134" t="s">
        <v>36</v>
      </c>
      <c r="C2134">
        <v>2022</v>
      </c>
      <c r="D2134" t="s">
        <v>14</v>
      </c>
      <c r="E2134">
        <v>302</v>
      </c>
      <c r="F2134">
        <v>0</v>
      </c>
    </row>
    <row r="2135" spans="1:6" x14ac:dyDescent="0.3">
      <c r="A2135" t="s">
        <v>2182</v>
      </c>
      <c r="B2135" t="s">
        <v>36</v>
      </c>
      <c r="C2135">
        <v>2022</v>
      </c>
      <c r="D2135" t="s">
        <v>9</v>
      </c>
      <c r="E2135">
        <v>500</v>
      </c>
      <c r="F2135">
        <v>0</v>
      </c>
    </row>
    <row r="2136" spans="1:6" x14ac:dyDescent="0.3">
      <c r="A2136" t="s">
        <v>2183</v>
      </c>
      <c r="B2136" t="s">
        <v>36</v>
      </c>
      <c r="C2136">
        <v>2023</v>
      </c>
      <c r="D2136" t="s">
        <v>14</v>
      </c>
      <c r="E2136">
        <v>141</v>
      </c>
      <c r="F2136">
        <v>0</v>
      </c>
    </row>
    <row r="2137" spans="1:6" x14ac:dyDescent="0.3">
      <c r="A2137" t="s">
        <v>2184</v>
      </c>
      <c r="B2137" t="s">
        <v>36</v>
      </c>
      <c r="C2137">
        <v>2023</v>
      </c>
      <c r="D2137" t="s">
        <v>9</v>
      </c>
      <c r="E2137">
        <v>410000</v>
      </c>
      <c r="F2137">
        <v>0</v>
      </c>
    </row>
    <row r="2138" spans="1:6" x14ac:dyDescent="0.3">
      <c r="A2138" t="s">
        <v>2185</v>
      </c>
      <c r="B2138" t="s">
        <v>36</v>
      </c>
      <c r="C2138">
        <v>2023</v>
      </c>
      <c r="D2138" t="s">
        <v>9</v>
      </c>
      <c r="E2138">
        <v>124326</v>
      </c>
      <c r="F2138">
        <v>305000</v>
      </c>
    </row>
    <row r="2139" spans="1:6" x14ac:dyDescent="0.3">
      <c r="A2139" t="s">
        <v>2186</v>
      </c>
      <c r="B2139" t="s">
        <v>36</v>
      </c>
      <c r="C2139">
        <v>2023</v>
      </c>
      <c r="D2139" t="s">
        <v>9</v>
      </c>
      <c r="E2139">
        <v>168</v>
      </c>
      <c r="F2139">
        <v>0</v>
      </c>
    </row>
    <row r="2140" spans="1:6" x14ac:dyDescent="0.3">
      <c r="A2140" t="s">
        <v>2187</v>
      </c>
      <c r="B2140" t="s">
        <v>36</v>
      </c>
      <c r="C2140">
        <v>2023</v>
      </c>
      <c r="D2140" t="s">
        <v>2689</v>
      </c>
      <c r="E2140">
        <v>45000</v>
      </c>
      <c r="F2140">
        <v>705000</v>
      </c>
    </row>
    <row r="2141" spans="1:6" x14ac:dyDescent="0.3">
      <c r="A2141" t="s">
        <v>2188</v>
      </c>
      <c r="B2141" t="s">
        <v>36</v>
      </c>
      <c r="C2141">
        <v>2024</v>
      </c>
      <c r="D2141" t="s">
        <v>14</v>
      </c>
      <c r="E2141">
        <v>9063</v>
      </c>
      <c r="F2141">
        <v>0</v>
      </c>
    </row>
    <row r="2142" spans="1:6" x14ac:dyDescent="0.3">
      <c r="A2142" t="s">
        <v>2189</v>
      </c>
      <c r="B2142" t="s">
        <v>36</v>
      </c>
      <c r="C2142">
        <v>2024</v>
      </c>
      <c r="D2142" t="s">
        <v>9</v>
      </c>
      <c r="E2142">
        <v>346</v>
      </c>
      <c r="F2142">
        <v>0</v>
      </c>
    </row>
    <row r="2143" spans="1:6" x14ac:dyDescent="0.3">
      <c r="A2143" t="s">
        <v>2190</v>
      </c>
      <c r="B2143" t="s">
        <v>36</v>
      </c>
      <c r="C2143">
        <v>2024</v>
      </c>
      <c r="D2143" t="s">
        <v>9</v>
      </c>
      <c r="E2143">
        <v>203</v>
      </c>
      <c r="F2143">
        <v>0</v>
      </c>
    </row>
    <row r="2144" spans="1:6" x14ac:dyDescent="0.3">
      <c r="A2144" t="s">
        <v>2191</v>
      </c>
      <c r="B2144" t="s">
        <v>36</v>
      </c>
      <c r="C2144">
        <v>2024</v>
      </c>
      <c r="D2144" t="s">
        <v>2689</v>
      </c>
      <c r="E2144">
        <v>149</v>
      </c>
      <c r="F2144">
        <v>0</v>
      </c>
    </row>
    <row r="2145" spans="1:6" x14ac:dyDescent="0.3">
      <c r="A2145" t="s">
        <v>2192</v>
      </c>
      <c r="B2145" t="s">
        <v>39</v>
      </c>
      <c r="C2145">
        <v>2001</v>
      </c>
      <c r="D2145" t="s">
        <v>9</v>
      </c>
      <c r="E2145">
        <v>4000</v>
      </c>
      <c r="F2145">
        <v>15000</v>
      </c>
    </row>
    <row r="2146" spans="1:6" x14ac:dyDescent="0.3">
      <c r="A2146" t="s">
        <v>2193</v>
      </c>
      <c r="B2146" t="s">
        <v>39</v>
      </c>
      <c r="C2146">
        <v>2001</v>
      </c>
      <c r="D2146" t="s">
        <v>9</v>
      </c>
      <c r="E2146">
        <v>10803</v>
      </c>
      <c r="F2146">
        <v>120000</v>
      </c>
    </row>
    <row r="2147" spans="1:6" x14ac:dyDescent="0.3">
      <c r="A2147" t="s">
        <v>2194</v>
      </c>
      <c r="B2147" t="s">
        <v>39</v>
      </c>
      <c r="C2147">
        <v>2002</v>
      </c>
      <c r="D2147" t="s">
        <v>9</v>
      </c>
      <c r="E2147">
        <v>4500</v>
      </c>
      <c r="F2147">
        <v>0</v>
      </c>
    </row>
    <row r="2148" spans="1:6" x14ac:dyDescent="0.3">
      <c r="A2148" t="s">
        <v>2195</v>
      </c>
      <c r="B2148" t="s">
        <v>39</v>
      </c>
      <c r="C2148">
        <v>2002</v>
      </c>
      <c r="D2148" t="s">
        <v>9</v>
      </c>
      <c r="E2148">
        <v>3900</v>
      </c>
      <c r="F2148">
        <v>0</v>
      </c>
    </row>
    <row r="2149" spans="1:6" x14ac:dyDescent="0.3">
      <c r="A2149" t="s">
        <v>2196</v>
      </c>
      <c r="B2149" t="s">
        <v>39</v>
      </c>
      <c r="C2149">
        <v>2002</v>
      </c>
      <c r="D2149" t="s">
        <v>9</v>
      </c>
      <c r="E2149">
        <v>301</v>
      </c>
      <c r="F2149">
        <v>290</v>
      </c>
    </row>
    <row r="2150" spans="1:6" x14ac:dyDescent="0.3">
      <c r="A2150" t="s">
        <v>2197</v>
      </c>
      <c r="B2150" t="s">
        <v>39</v>
      </c>
      <c r="C2150">
        <v>2003</v>
      </c>
      <c r="D2150" t="s">
        <v>9</v>
      </c>
      <c r="E2150">
        <v>0</v>
      </c>
      <c r="F2150">
        <v>0</v>
      </c>
    </row>
    <row r="2151" spans="1:6" x14ac:dyDescent="0.3">
      <c r="A2151" t="s">
        <v>2198</v>
      </c>
      <c r="B2151" t="s">
        <v>39</v>
      </c>
      <c r="C2151">
        <v>2003</v>
      </c>
      <c r="D2151" t="s">
        <v>9</v>
      </c>
      <c r="E2151">
        <v>600</v>
      </c>
      <c r="F2151">
        <v>0</v>
      </c>
    </row>
    <row r="2152" spans="1:6" x14ac:dyDescent="0.3">
      <c r="A2152" t="s">
        <v>2199</v>
      </c>
      <c r="B2152" t="s">
        <v>39</v>
      </c>
      <c r="C2152">
        <v>2004</v>
      </c>
      <c r="D2152" t="s">
        <v>9</v>
      </c>
      <c r="E2152">
        <v>14128</v>
      </c>
      <c r="F2152">
        <v>0</v>
      </c>
    </row>
    <row r="2153" spans="1:6" x14ac:dyDescent="0.3">
      <c r="A2153" t="s">
        <v>2200</v>
      </c>
      <c r="B2153" t="s">
        <v>39</v>
      </c>
      <c r="C2153">
        <v>2004</v>
      </c>
      <c r="D2153" t="s">
        <v>9</v>
      </c>
      <c r="E2153">
        <v>14000</v>
      </c>
      <c r="F2153">
        <v>0</v>
      </c>
    </row>
    <row r="2154" spans="1:6" x14ac:dyDescent="0.3">
      <c r="A2154" t="s">
        <v>2201</v>
      </c>
      <c r="B2154" t="s">
        <v>39</v>
      </c>
      <c r="C2154">
        <v>2004</v>
      </c>
      <c r="D2154" t="s">
        <v>2689</v>
      </c>
      <c r="E2154">
        <v>600</v>
      </c>
      <c r="F2154">
        <v>0</v>
      </c>
    </row>
    <row r="2155" spans="1:6" x14ac:dyDescent="0.3">
      <c r="A2155" t="s">
        <v>2202</v>
      </c>
      <c r="B2155" t="s">
        <v>39</v>
      </c>
      <c r="C2155">
        <v>2004</v>
      </c>
      <c r="D2155" t="s">
        <v>2689</v>
      </c>
      <c r="E2155">
        <v>1200</v>
      </c>
      <c r="F2155">
        <v>0</v>
      </c>
    </row>
    <row r="2156" spans="1:6" x14ac:dyDescent="0.3">
      <c r="A2156" t="s">
        <v>2203</v>
      </c>
      <c r="B2156" t="s">
        <v>39</v>
      </c>
      <c r="C2156">
        <v>2004</v>
      </c>
      <c r="D2156" t="s">
        <v>2689</v>
      </c>
      <c r="E2156">
        <v>600</v>
      </c>
      <c r="F2156">
        <v>0</v>
      </c>
    </row>
    <row r="2157" spans="1:6" x14ac:dyDescent="0.3">
      <c r="A2157" t="s">
        <v>2204</v>
      </c>
      <c r="B2157" t="s">
        <v>39</v>
      </c>
      <c r="C2157">
        <v>2005</v>
      </c>
      <c r="D2157" t="s">
        <v>9</v>
      </c>
      <c r="E2157">
        <v>600</v>
      </c>
      <c r="F2157">
        <v>0</v>
      </c>
    </row>
    <row r="2158" spans="1:6" x14ac:dyDescent="0.3">
      <c r="A2158" t="s">
        <v>2205</v>
      </c>
      <c r="B2158" t="s">
        <v>39</v>
      </c>
      <c r="C2158">
        <v>2005</v>
      </c>
      <c r="D2158" t="s">
        <v>9</v>
      </c>
      <c r="E2158">
        <v>3400</v>
      </c>
      <c r="F2158">
        <v>200000</v>
      </c>
    </row>
    <row r="2159" spans="1:6" x14ac:dyDescent="0.3">
      <c r="A2159" t="s">
        <v>2206</v>
      </c>
      <c r="B2159" t="s">
        <v>39</v>
      </c>
      <c r="C2159">
        <v>2005</v>
      </c>
      <c r="D2159" t="s">
        <v>9</v>
      </c>
      <c r="E2159">
        <v>5102</v>
      </c>
      <c r="F2159">
        <v>0</v>
      </c>
    </row>
    <row r="2160" spans="1:6" x14ac:dyDescent="0.3">
      <c r="A2160" t="s">
        <v>2207</v>
      </c>
      <c r="B2160" t="s">
        <v>39</v>
      </c>
      <c r="C2160">
        <v>2005</v>
      </c>
      <c r="D2160" t="s">
        <v>9</v>
      </c>
      <c r="E2160">
        <v>14669</v>
      </c>
      <c r="F2160">
        <v>800000</v>
      </c>
    </row>
    <row r="2161" spans="1:6" x14ac:dyDescent="0.3">
      <c r="A2161" t="s">
        <v>2208</v>
      </c>
      <c r="B2161" t="s">
        <v>39</v>
      </c>
      <c r="C2161">
        <v>2005</v>
      </c>
      <c r="D2161" t="s">
        <v>9</v>
      </c>
      <c r="E2161">
        <v>2000</v>
      </c>
      <c r="F2161">
        <v>313000</v>
      </c>
    </row>
    <row r="2162" spans="1:6" x14ac:dyDescent="0.3">
      <c r="A2162" t="s">
        <v>2209</v>
      </c>
      <c r="B2162" t="s">
        <v>39</v>
      </c>
      <c r="C2162">
        <v>2005</v>
      </c>
      <c r="D2162" t="s">
        <v>9</v>
      </c>
      <c r="E2162">
        <v>30800</v>
      </c>
      <c r="F2162">
        <v>0</v>
      </c>
    </row>
    <row r="2163" spans="1:6" x14ac:dyDescent="0.3">
      <c r="A2163" t="s">
        <v>2210</v>
      </c>
      <c r="B2163" t="s">
        <v>39</v>
      </c>
      <c r="C2163">
        <v>2005</v>
      </c>
      <c r="D2163" t="s">
        <v>2689</v>
      </c>
      <c r="E2163">
        <v>0</v>
      </c>
      <c r="F2163">
        <v>0</v>
      </c>
    </row>
    <row r="2164" spans="1:6" x14ac:dyDescent="0.3">
      <c r="A2164" t="s">
        <v>2211</v>
      </c>
      <c r="B2164" t="s">
        <v>39</v>
      </c>
      <c r="C2164">
        <v>2006</v>
      </c>
      <c r="D2164" t="s">
        <v>9</v>
      </c>
      <c r="E2164">
        <v>600</v>
      </c>
      <c r="F2164">
        <v>0</v>
      </c>
    </row>
    <row r="2165" spans="1:6" x14ac:dyDescent="0.3">
      <c r="A2165" t="s">
        <v>2212</v>
      </c>
      <c r="B2165" t="s">
        <v>39</v>
      </c>
      <c r="C2165">
        <v>2006</v>
      </c>
      <c r="D2165" t="s">
        <v>9</v>
      </c>
      <c r="E2165">
        <v>17071</v>
      </c>
      <c r="F2165">
        <v>0</v>
      </c>
    </row>
    <row r="2166" spans="1:6" x14ac:dyDescent="0.3">
      <c r="A2166" t="s">
        <v>2213</v>
      </c>
      <c r="B2166" t="s">
        <v>39</v>
      </c>
      <c r="C2166">
        <v>2006</v>
      </c>
      <c r="D2166" t="s">
        <v>9</v>
      </c>
      <c r="E2166">
        <v>0</v>
      </c>
      <c r="F2166">
        <v>0</v>
      </c>
    </row>
    <row r="2167" spans="1:6" x14ac:dyDescent="0.3">
      <c r="A2167" t="s">
        <v>2214</v>
      </c>
      <c r="B2167" t="s">
        <v>39</v>
      </c>
      <c r="C2167">
        <v>2006</v>
      </c>
      <c r="D2167" t="s">
        <v>9</v>
      </c>
      <c r="E2167">
        <v>5712</v>
      </c>
      <c r="F2167">
        <v>0</v>
      </c>
    </row>
    <row r="2168" spans="1:6" x14ac:dyDescent="0.3">
      <c r="A2168" t="s">
        <v>2215</v>
      </c>
      <c r="B2168" t="s">
        <v>39</v>
      </c>
      <c r="C2168">
        <v>2006</v>
      </c>
      <c r="D2168" t="s">
        <v>9</v>
      </c>
      <c r="E2168">
        <v>600</v>
      </c>
      <c r="F2168">
        <v>0</v>
      </c>
    </row>
    <row r="2169" spans="1:6" x14ac:dyDescent="0.3">
      <c r="A2169" t="s">
        <v>2216</v>
      </c>
      <c r="B2169" t="s">
        <v>39</v>
      </c>
      <c r="C2169">
        <v>2006</v>
      </c>
      <c r="D2169" t="s">
        <v>9</v>
      </c>
      <c r="E2169">
        <v>600</v>
      </c>
      <c r="F2169">
        <v>0</v>
      </c>
    </row>
    <row r="2170" spans="1:6" x14ac:dyDescent="0.3">
      <c r="A2170" t="s">
        <v>2217</v>
      </c>
      <c r="B2170" t="s">
        <v>39</v>
      </c>
      <c r="C2170">
        <v>2007</v>
      </c>
      <c r="D2170" t="s">
        <v>9</v>
      </c>
      <c r="E2170">
        <v>500</v>
      </c>
      <c r="F2170">
        <v>0</v>
      </c>
    </row>
    <row r="2171" spans="1:6" x14ac:dyDescent="0.3">
      <c r="A2171" t="s">
        <v>2218</v>
      </c>
      <c r="B2171" t="s">
        <v>39</v>
      </c>
      <c r="C2171">
        <v>2007</v>
      </c>
      <c r="D2171" t="s">
        <v>9</v>
      </c>
      <c r="E2171">
        <v>960</v>
      </c>
      <c r="F2171">
        <v>0</v>
      </c>
    </row>
    <row r="2172" spans="1:6" x14ac:dyDescent="0.3">
      <c r="A2172" t="s">
        <v>2219</v>
      </c>
      <c r="B2172" t="s">
        <v>39</v>
      </c>
      <c r="C2172">
        <v>2007</v>
      </c>
      <c r="D2172" t="s">
        <v>9</v>
      </c>
      <c r="E2172">
        <v>1400</v>
      </c>
      <c r="F2172">
        <v>0</v>
      </c>
    </row>
    <row r="2173" spans="1:6" x14ac:dyDescent="0.3">
      <c r="A2173" t="s">
        <v>2220</v>
      </c>
      <c r="B2173" t="s">
        <v>39</v>
      </c>
      <c r="C2173">
        <v>2007</v>
      </c>
      <c r="D2173" t="s">
        <v>9</v>
      </c>
      <c r="E2173">
        <v>1400</v>
      </c>
      <c r="F2173">
        <v>0</v>
      </c>
    </row>
    <row r="2174" spans="1:6" x14ac:dyDescent="0.3">
      <c r="A2174" t="s">
        <v>2221</v>
      </c>
      <c r="B2174" t="s">
        <v>39</v>
      </c>
      <c r="C2174">
        <v>2008</v>
      </c>
      <c r="D2174" t="s">
        <v>9</v>
      </c>
      <c r="E2174">
        <v>11000</v>
      </c>
      <c r="F2174">
        <v>0</v>
      </c>
    </row>
    <row r="2175" spans="1:6" x14ac:dyDescent="0.3">
      <c r="A2175" t="s">
        <v>2222</v>
      </c>
      <c r="B2175" t="s">
        <v>39</v>
      </c>
      <c r="C2175">
        <v>2008</v>
      </c>
      <c r="D2175" t="s">
        <v>2689</v>
      </c>
      <c r="E2175">
        <v>90</v>
      </c>
      <c r="F2175">
        <v>0</v>
      </c>
    </row>
    <row r="2176" spans="1:6" x14ac:dyDescent="0.3">
      <c r="A2176" t="s">
        <v>2223</v>
      </c>
      <c r="B2176" t="s">
        <v>39</v>
      </c>
      <c r="C2176">
        <v>2009</v>
      </c>
      <c r="D2176" t="s">
        <v>9</v>
      </c>
      <c r="E2176">
        <v>0</v>
      </c>
      <c r="F2176">
        <v>0</v>
      </c>
    </row>
    <row r="2177" spans="1:6" x14ac:dyDescent="0.3">
      <c r="A2177" t="s">
        <v>2224</v>
      </c>
      <c r="B2177" t="s">
        <v>39</v>
      </c>
      <c r="C2177">
        <v>2009</v>
      </c>
      <c r="D2177" t="s">
        <v>9</v>
      </c>
      <c r="E2177">
        <v>4</v>
      </c>
      <c r="F2177">
        <v>0</v>
      </c>
    </row>
    <row r="2178" spans="1:6" x14ac:dyDescent="0.3">
      <c r="A2178" t="s">
        <v>2225</v>
      </c>
      <c r="B2178" t="s">
        <v>39</v>
      </c>
      <c r="C2178">
        <v>2010</v>
      </c>
      <c r="D2178" t="s">
        <v>9</v>
      </c>
      <c r="E2178">
        <v>12237</v>
      </c>
      <c r="F2178">
        <v>1111428</v>
      </c>
    </row>
    <row r="2179" spans="1:6" x14ac:dyDescent="0.3">
      <c r="A2179" t="s">
        <v>2226</v>
      </c>
      <c r="B2179" t="s">
        <v>39</v>
      </c>
      <c r="C2179">
        <v>2013</v>
      </c>
      <c r="D2179" t="s">
        <v>9</v>
      </c>
      <c r="E2179">
        <v>5400</v>
      </c>
      <c r="F2179">
        <v>11000</v>
      </c>
    </row>
    <row r="2180" spans="1:6" x14ac:dyDescent="0.3">
      <c r="A2180" t="s">
        <v>2227</v>
      </c>
      <c r="B2180" t="s">
        <v>39</v>
      </c>
      <c r="C2180">
        <v>2014</v>
      </c>
      <c r="D2180" t="s">
        <v>9</v>
      </c>
      <c r="E2180">
        <v>525</v>
      </c>
      <c r="F2180">
        <v>0</v>
      </c>
    </row>
    <row r="2181" spans="1:6" x14ac:dyDescent="0.3">
      <c r="A2181" t="s">
        <v>2228</v>
      </c>
      <c r="B2181" t="s">
        <v>39</v>
      </c>
      <c r="C2181">
        <v>2014</v>
      </c>
      <c r="D2181" t="s">
        <v>9</v>
      </c>
      <c r="E2181">
        <v>0</v>
      </c>
      <c r="F2181">
        <v>0</v>
      </c>
    </row>
    <row r="2182" spans="1:6" x14ac:dyDescent="0.3">
      <c r="A2182" t="s">
        <v>2229</v>
      </c>
      <c r="B2182" t="s">
        <v>39</v>
      </c>
      <c r="C2182">
        <v>2015</v>
      </c>
      <c r="D2182" t="s">
        <v>9</v>
      </c>
      <c r="E2182">
        <v>1500</v>
      </c>
      <c r="F2182">
        <v>0</v>
      </c>
    </row>
    <row r="2183" spans="1:6" x14ac:dyDescent="0.3">
      <c r="A2183" t="s">
        <v>2230</v>
      </c>
      <c r="B2183" t="s">
        <v>39</v>
      </c>
      <c r="C2183">
        <v>2016</v>
      </c>
      <c r="D2183" t="s">
        <v>9</v>
      </c>
      <c r="E2183">
        <v>0</v>
      </c>
      <c r="F2183">
        <v>0</v>
      </c>
    </row>
    <row r="2184" spans="1:6" x14ac:dyDescent="0.3">
      <c r="A2184" t="s">
        <v>2231</v>
      </c>
      <c r="B2184" t="s">
        <v>39</v>
      </c>
      <c r="C2184">
        <v>2016</v>
      </c>
      <c r="D2184" t="s">
        <v>9</v>
      </c>
      <c r="E2184">
        <v>300</v>
      </c>
      <c r="F2184">
        <v>0</v>
      </c>
    </row>
    <row r="2185" spans="1:6" x14ac:dyDescent="0.3">
      <c r="A2185" t="s">
        <v>2232</v>
      </c>
      <c r="B2185" t="s">
        <v>39</v>
      </c>
      <c r="C2185">
        <v>2017</v>
      </c>
      <c r="D2185" t="s">
        <v>2689</v>
      </c>
      <c r="E2185">
        <v>137</v>
      </c>
      <c r="F2185">
        <v>7300</v>
      </c>
    </row>
    <row r="2186" spans="1:6" x14ac:dyDescent="0.3">
      <c r="A2186" t="s">
        <v>2233</v>
      </c>
      <c r="B2186" t="s">
        <v>39</v>
      </c>
      <c r="C2186">
        <v>2018</v>
      </c>
      <c r="D2186" t="s">
        <v>9</v>
      </c>
      <c r="E2186">
        <v>1500</v>
      </c>
      <c r="F2186">
        <v>0</v>
      </c>
    </row>
    <row r="2187" spans="1:6" x14ac:dyDescent="0.3">
      <c r="A2187" t="s">
        <v>2234</v>
      </c>
      <c r="B2187" t="s">
        <v>39</v>
      </c>
      <c r="C2187">
        <v>2018</v>
      </c>
      <c r="D2187" t="s">
        <v>9</v>
      </c>
      <c r="E2187">
        <v>1200</v>
      </c>
      <c r="F2187">
        <v>0</v>
      </c>
    </row>
    <row r="2188" spans="1:6" x14ac:dyDescent="0.3">
      <c r="A2188" t="s">
        <v>2235</v>
      </c>
      <c r="B2188" t="s">
        <v>39</v>
      </c>
      <c r="C2188">
        <v>2019</v>
      </c>
      <c r="D2188" t="s">
        <v>9</v>
      </c>
      <c r="E2188">
        <v>362</v>
      </c>
      <c r="F2188">
        <v>0</v>
      </c>
    </row>
    <row r="2189" spans="1:6" x14ac:dyDescent="0.3">
      <c r="A2189" t="s">
        <v>2236</v>
      </c>
      <c r="B2189" t="s">
        <v>39</v>
      </c>
      <c r="C2189">
        <v>2020</v>
      </c>
      <c r="D2189" t="s">
        <v>9</v>
      </c>
      <c r="E2189">
        <v>1161</v>
      </c>
      <c r="F2189">
        <v>85000</v>
      </c>
    </row>
    <row r="2190" spans="1:6" x14ac:dyDescent="0.3">
      <c r="A2190" t="s">
        <v>2237</v>
      </c>
      <c r="B2190" t="s">
        <v>39</v>
      </c>
      <c r="C2190">
        <v>2021</v>
      </c>
      <c r="D2190" t="s">
        <v>9</v>
      </c>
      <c r="E2190">
        <v>100</v>
      </c>
      <c r="F2190">
        <v>0</v>
      </c>
    </row>
    <row r="2191" spans="1:6" x14ac:dyDescent="0.3">
      <c r="A2191" t="s">
        <v>2238</v>
      </c>
      <c r="B2191" t="s">
        <v>39</v>
      </c>
      <c r="C2191">
        <v>2023</v>
      </c>
      <c r="D2191" t="s">
        <v>2689</v>
      </c>
      <c r="E2191">
        <v>0</v>
      </c>
      <c r="F2191">
        <v>0</v>
      </c>
    </row>
    <row r="2192" spans="1:6" x14ac:dyDescent="0.3">
      <c r="A2192" t="s">
        <v>2239</v>
      </c>
      <c r="B2192" t="s">
        <v>39</v>
      </c>
      <c r="C2192">
        <v>2023</v>
      </c>
      <c r="D2192" t="s">
        <v>2689</v>
      </c>
      <c r="E2192">
        <v>0</v>
      </c>
      <c r="F2192">
        <v>0</v>
      </c>
    </row>
    <row r="2193" spans="1:6" x14ac:dyDescent="0.3">
      <c r="A2193" t="s">
        <v>2240</v>
      </c>
      <c r="B2193" t="s">
        <v>39</v>
      </c>
      <c r="C2193">
        <v>2024</v>
      </c>
      <c r="D2193" t="s">
        <v>2689</v>
      </c>
      <c r="E2193">
        <v>15000</v>
      </c>
      <c r="F2193">
        <v>0</v>
      </c>
    </row>
    <row r="2194" spans="1:6" x14ac:dyDescent="0.3">
      <c r="A2194" t="s">
        <v>2241</v>
      </c>
      <c r="B2194" t="s">
        <v>41</v>
      </c>
      <c r="C2194">
        <v>2001</v>
      </c>
      <c r="D2194" t="s">
        <v>9</v>
      </c>
      <c r="E2194">
        <v>6500</v>
      </c>
      <c r="F2194">
        <v>0</v>
      </c>
    </row>
    <row r="2195" spans="1:6" x14ac:dyDescent="0.3">
      <c r="A2195" t="s">
        <v>2242</v>
      </c>
      <c r="B2195" t="s">
        <v>41</v>
      </c>
      <c r="C2195">
        <v>2003</v>
      </c>
      <c r="D2195" t="s">
        <v>9</v>
      </c>
      <c r="E2195">
        <v>0</v>
      </c>
      <c r="F2195">
        <v>0</v>
      </c>
    </row>
    <row r="2196" spans="1:6" x14ac:dyDescent="0.3">
      <c r="A2196" t="s">
        <v>2243</v>
      </c>
      <c r="B2196" t="s">
        <v>41</v>
      </c>
      <c r="C2196">
        <v>2003</v>
      </c>
      <c r="D2196" t="s">
        <v>9</v>
      </c>
      <c r="E2196">
        <v>300</v>
      </c>
      <c r="F2196">
        <v>0</v>
      </c>
    </row>
    <row r="2197" spans="1:6" x14ac:dyDescent="0.3">
      <c r="A2197" t="s">
        <v>2244</v>
      </c>
      <c r="B2197" t="s">
        <v>41</v>
      </c>
      <c r="C2197">
        <v>2004</v>
      </c>
      <c r="D2197" t="s">
        <v>7</v>
      </c>
      <c r="E2197">
        <v>200000</v>
      </c>
      <c r="F2197">
        <v>0</v>
      </c>
    </row>
    <row r="2198" spans="1:6" x14ac:dyDescent="0.3">
      <c r="A2198" t="s">
        <v>2245</v>
      </c>
      <c r="B2198" t="s">
        <v>41</v>
      </c>
      <c r="C2198">
        <v>2004</v>
      </c>
      <c r="D2198" t="s">
        <v>14</v>
      </c>
      <c r="E2198">
        <v>105083</v>
      </c>
      <c r="F2198">
        <v>100000</v>
      </c>
    </row>
    <row r="2199" spans="1:6" x14ac:dyDescent="0.3">
      <c r="A2199" t="s">
        <v>2246</v>
      </c>
      <c r="B2199" t="s">
        <v>41</v>
      </c>
      <c r="C2199">
        <v>2004</v>
      </c>
      <c r="D2199" t="s">
        <v>9</v>
      </c>
      <c r="E2199">
        <v>1500</v>
      </c>
      <c r="F2199">
        <v>0</v>
      </c>
    </row>
    <row r="2200" spans="1:6" x14ac:dyDescent="0.3">
      <c r="A2200" t="s">
        <v>2247</v>
      </c>
      <c r="B2200" t="s">
        <v>41</v>
      </c>
      <c r="C2200">
        <v>2005</v>
      </c>
      <c r="D2200" t="s">
        <v>7</v>
      </c>
      <c r="E2200">
        <v>0</v>
      </c>
      <c r="F2200">
        <v>0</v>
      </c>
    </row>
    <row r="2201" spans="1:6" x14ac:dyDescent="0.3">
      <c r="A2201" t="s">
        <v>2248</v>
      </c>
      <c r="B2201" t="s">
        <v>41</v>
      </c>
      <c r="C2201">
        <v>2005</v>
      </c>
      <c r="D2201" t="s">
        <v>9</v>
      </c>
      <c r="E2201">
        <v>5020</v>
      </c>
      <c r="F2201">
        <v>20</v>
      </c>
    </row>
    <row r="2202" spans="1:6" x14ac:dyDescent="0.3">
      <c r="A2202" t="s">
        <v>2249</v>
      </c>
      <c r="B2202" t="s">
        <v>41</v>
      </c>
      <c r="C2202">
        <v>2005</v>
      </c>
      <c r="D2202" t="s">
        <v>9</v>
      </c>
      <c r="E2202">
        <v>2500</v>
      </c>
      <c r="F2202">
        <v>0</v>
      </c>
    </row>
    <row r="2203" spans="1:6" x14ac:dyDescent="0.3">
      <c r="A2203" t="s">
        <v>2250</v>
      </c>
      <c r="B2203" t="s">
        <v>41</v>
      </c>
      <c r="C2203">
        <v>2006</v>
      </c>
      <c r="D2203" t="s">
        <v>9</v>
      </c>
      <c r="E2203">
        <v>2000</v>
      </c>
      <c r="F2203">
        <v>0</v>
      </c>
    </row>
    <row r="2204" spans="1:6" x14ac:dyDescent="0.3">
      <c r="A2204" t="s">
        <v>2251</v>
      </c>
      <c r="B2204" t="s">
        <v>41</v>
      </c>
      <c r="C2204">
        <v>2006</v>
      </c>
      <c r="D2204" t="s">
        <v>9</v>
      </c>
      <c r="E2204">
        <v>30000</v>
      </c>
      <c r="F2204">
        <v>0</v>
      </c>
    </row>
    <row r="2205" spans="1:6" x14ac:dyDescent="0.3">
      <c r="A2205" t="s">
        <v>2252</v>
      </c>
      <c r="B2205" t="s">
        <v>41</v>
      </c>
      <c r="C2205">
        <v>2006</v>
      </c>
      <c r="D2205" t="s">
        <v>9</v>
      </c>
      <c r="E2205">
        <v>299000</v>
      </c>
      <c r="F2205">
        <v>0</v>
      </c>
    </row>
    <row r="2206" spans="1:6" x14ac:dyDescent="0.3">
      <c r="A2206" t="s">
        <v>2253</v>
      </c>
      <c r="B2206" t="s">
        <v>41</v>
      </c>
      <c r="C2206">
        <v>2006</v>
      </c>
      <c r="D2206" t="s">
        <v>9</v>
      </c>
      <c r="E2206">
        <v>155500</v>
      </c>
      <c r="F2206">
        <v>0</v>
      </c>
    </row>
    <row r="2207" spans="1:6" x14ac:dyDescent="0.3">
      <c r="A2207" t="s">
        <v>2254</v>
      </c>
      <c r="B2207" t="s">
        <v>41</v>
      </c>
      <c r="C2207">
        <v>2007</v>
      </c>
      <c r="D2207" t="s">
        <v>9</v>
      </c>
      <c r="E2207">
        <v>8000</v>
      </c>
      <c r="F2207">
        <v>0</v>
      </c>
    </row>
    <row r="2208" spans="1:6" x14ac:dyDescent="0.3">
      <c r="A2208" t="s">
        <v>2255</v>
      </c>
      <c r="B2208" t="s">
        <v>41</v>
      </c>
      <c r="C2208">
        <v>2007</v>
      </c>
      <c r="D2208" t="s">
        <v>9</v>
      </c>
      <c r="E2208">
        <v>2012</v>
      </c>
      <c r="F2208">
        <v>0</v>
      </c>
    </row>
    <row r="2209" spans="1:6" x14ac:dyDescent="0.3">
      <c r="A2209" t="s">
        <v>2256</v>
      </c>
      <c r="B2209" t="s">
        <v>41</v>
      </c>
      <c r="C2209">
        <v>2008</v>
      </c>
      <c r="D2209" t="s">
        <v>7</v>
      </c>
      <c r="E2209">
        <v>3300000</v>
      </c>
      <c r="F2209">
        <v>0</v>
      </c>
    </row>
    <row r="2210" spans="1:6" x14ac:dyDescent="0.3">
      <c r="A2210" t="s">
        <v>2257</v>
      </c>
      <c r="B2210" t="s">
        <v>41</v>
      </c>
      <c r="C2210">
        <v>2008</v>
      </c>
      <c r="D2210" t="s">
        <v>9</v>
      </c>
      <c r="E2210">
        <v>52000</v>
      </c>
      <c r="F2210">
        <v>0</v>
      </c>
    </row>
    <row r="2211" spans="1:6" x14ac:dyDescent="0.3">
      <c r="A2211" t="s">
        <v>2258</v>
      </c>
      <c r="B2211" t="s">
        <v>41</v>
      </c>
      <c r="C2211">
        <v>2009</v>
      </c>
      <c r="D2211" t="s">
        <v>9</v>
      </c>
      <c r="E2211">
        <v>1750</v>
      </c>
      <c r="F2211">
        <v>0</v>
      </c>
    </row>
    <row r="2212" spans="1:6" x14ac:dyDescent="0.3">
      <c r="A2212" t="s">
        <v>2259</v>
      </c>
      <c r="B2212" t="s">
        <v>41</v>
      </c>
      <c r="C2212">
        <v>2010</v>
      </c>
      <c r="D2212" t="s">
        <v>7</v>
      </c>
      <c r="E2212">
        <v>4000000</v>
      </c>
      <c r="F2212">
        <v>0</v>
      </c>
    </row>
    <row r="2213" spans="1:6" x14ac:dyDescent="0.3">
      <c r="A2213" t="s">
        <v>2260</v>
      </c>
      <c r="B2213" t="s">
        <v>41</v>
      </c>
      <c r="C2213">
        <v>2010</v>
      </c>
      <c r="D2213" t="s">
        <v>9</v>
      </c>
      <c r="E2213">
        <v>16000</v>
      </c>
      <c r="F2213">
        <v>0</v>
      </c>
    </row>
    <row r="2214" spans="1:6" x14ac:dyDescent="0.3">
      <c r="A2214" t="s">
        <v>2261</v>
      </c>
      <c r="B2214" t="s">
        <v>41</v>
      </c>
      <c r="C2214">
        <v>2010</v>
      </c>
      <c r="D2214" t="s">
        <v>9</v>
      </c>
      <c r="E2214">
        <v>200</v>
      </c>
      <c r="F2214">
        <v>0</v>
      </c>
    </row>
    <row r="2215" spans="1:6" x14ac:dyDescent="0.3">
      <c r="A2215" t="s">
        <v>2262</v>
      </c>
      <c r="B2215" t="s">
        <v>41</v>
      </c>
      <c r="C2215">
        <v>2011</v>
      </c>
      <c r="D2215" t="s">
        <v>9</v>
      </c>
      <c r="E2215">
        <v>2800</v>
      </c>
      <c r="F2215">
        <v>0</v>
      </c>
    </row>
    <row r="2216" spans="1:6" x14ac:dyDescent="0.3">
      <c r="A2216" t="s">
        <v>2263</v>
      </c>
      <c r="B2216" t="s">
        <v>41</v>
      </c>
      <c r="C2216">
        <v>2012</v>
      </c>
      <c r="D2216" t="s">
        <v>7</v>
      </c>
      <c r="E2216">
        <v>3000000</v>
      </c>
      <c r="F2216">
        <v>0</v>
      </c>
    </row>
    <row r="2217" spans="1:6" x14ac:dyDescent="0.3">
      <c r="A2217" t="s">
        <v>2264</v>
      </c>
      <c r="B2217" t="s">
        <v>41</v>
      </c>
      <c r="C2217">
        <v>2012</v>
      </c>
      <c r="D2217" t="s">
        <v>9</v>
      </c>
      <c r="E2217">
        <v>12200</v>
      </c>
      <c r="F2217">
        <v>0</v>
      </c>
    </row>
    <row r="2218" spans="1:6" x14ac:dyDescent="0.3">
      <c r="A2218" t="s">
        <v>2265</v>
      </c>
      <c r="B2218" t="s">
        <v>41</v>
      </c>
      <c r="C2218">
        <v>2012</v>
      </c>
      <c r="D2218" t="s">
        <v>9</v>
      </c>
      <c r="E2218">
        <v>20000</v>
      </c>
      <c r="F2218">
        <v>0</v>
      </c>
    </row>
    <row r="2219" spans="1:6" x14ac:dyDescent="0.3">
      <c r="A2219" t="s">
        <v>2266</v>
      </c>
      <c r="B2219" t="s">
        <v>41</v>
      </c>
      <c r="C2219">
        <v>2013</v>
      </c>
      <c r="D2219" t="s">
        <v>9</v>
      </c>
      <c r="E2219">
        <v>50000</v>
      </c>
      <c r="F2219">
        <v>0</v>
      </c>
    </row>
    <row r="2220" spans="1:6" x14ac:dyDescent="0.3">
      <c r="A2220" t="s">
        <v>2267</v>
      </c>
      <c r="B2220" t="s">
        <v>41</v>
      </c>
      <c r="C2220">
        <v>2013</v>
      </c>
      <c r="D2220" t="s">
        <v>9</v>
      </c>
      <c r="E2220">
        <v>55000</v>
      </c>
      <c r="F2220">
        <v>0</v>
      </c>
    </row>
    <row r="2221" spans="1:6" x14ac:dyDescent="0.3">
      <c r="A2221" t="s">
        <v>2268</v>
      </c>
      <c r="B2221" t="s">
        <v>41</v>
      </c>
      <c r="C2221">
        <v>2013</v>
      </c>
      <c r="D2221" t="s">
        <v>2689</v>
      </c>
      <c r="E2221">
        <v>142380</v>
      </c>
      <c r="F2221">
        <v>2000</v>
      </c>
    </row>
    <row r="2222" spans="1:6" x14ac:dyDescent="0.3">
      <c r="A2222" t="s">
        <v>2269</v>
      </c>
      <c r="B2222" t="s">
        <v>41</v>
      </c>
      <c r="C2222">
        <v>2014</v>
      </c>
      <c r="D2222" t="s">
        <v>7</v>
      </c>
      <c r="E2222">
        <v>535624</v>
      </c>
      <c r="F2222">
        <v>0</v>
      </c>
    </row>
    <row r="2223" spans="1:6" x14ac:dyDescent="0.3">
      <c r="A2223" t="s">
        <v>2270</v>
      </c>
      <c r="B2223" t="s">
        <v>41</v>
      </c>
      <c r="C2223">
        <v>2014</v>
      </c>
      <c r="D2223" t="s">
        <v>9</v>
      </c>
      <c r="E2223">
        <v>90000</v>
      </c>
      <c r="F2223">
        <v>0</v>
      </c>
    </row>
    <row r="2224" spans="1:6" x14ac:dyDescent="0.3">
      <c r="A2224" t="s">
        <v>2271</v>
      </c>
      <c r="B2224" t="s">
        <v>41</v>
      </c>
      <c r="C2224">
        <v>2015</v>
      </c>
      <c r="D2224" t="s">
        <v>7</v>
      </c>
      <c r="E2224">
        <v>6700000</v>
      </c>
      <c r="F2224">
        <v>0</v>
      </c>
    </row>
    <row r="2225" spans="1:6" x14ac:dyDescent="0.3">
      <c r="A2225" t="s">
        <v>2272</v>
      </c>
      <c r="B2225" t="s">
        <v>41</v>
      </c>
      <c r="C2225">
        <v>2015</v>
      </c>
      <c r="D2225" t="s">
        <v>9</v>
      </c>
      <c r="E2225">
        <v>900000</v>
      </c>
      <c r="F2225">
        <v>0</v>
      </c>
    </row>
    <row r="2226" spans="1:6" x14ac:dyDescent="0.3">
      <c r="A2226" t="s">
        <v>2273</v>
      </c>
      <c r="B2226" t="s">
        <v>41</v>
      </c>
      <c r="C2226">
        <v>2015</v>
      </c>
      <c r="D2226" t="s">
        <v>9</v>
      </c>
      <c r="E2226">
        <v>16296</v>
      </c>
      <c r="F2226">
        <v>0</v>
      </c>
    </row>
    <row r="2227" spans="1:6" x14ac:dyDescent="0.3">
      <c r="A2227" t="s">
        <v>2274</v>
      </c>
      <c r="B2227" t="s">
        <v>41</v>
      </c>
      <c r="C2227">
        <v>2015</v>
      </c>
      <c r="D2227" t="s">
        <v>2689</v>
      </c>
      <c r="E2227">
        <v>4000</v>
      </c>
      <c r="F2227">
        <v>0</v>
      </c>
    </row>
    <row r="2228" spans="1:6" x14ac:dyDescent="0.3">
      <c r="A2228" t="s">
        <v>2275</v>
      </c>
      <c r="B2228" t="s">
        <v>41</v>
      </c>
      <c r="C2228">
        <v>2015</v>
      </c>
      <c r="D2228" t="s">
        <v>2689</v>
      </c>
      <c r="E2228">
        <v>0</v>
      </c>
      <c r="F2228">
        <v>0</v>
      </c>
    </row>
    <row r="2229" spans="1:6" x14ac:dyDescent="0.3">
      <c r="A2229" t="s">
        <v>2276</v>
      </c>
      <c r="B2229" t="s">
        <v>41</v>
      </c>
      <c r="C2229">
        <v>2016</v>
      </c>
      <c r="D2229" t="s">
        <v>9</v>
      </c>
      <c r="E2229">
        <v>0</v>
      </c>
      <c r="F2229">
        <v>0</v>
      </c>
    </row>
    <row r="2230" spans="1:6" x14ac:dyDescent="0.3">
      <c r="A2230" t="s">
        <v>2277</v>
      </c>
      <c r="B2230" t="s">
        <v>41</v>
      </c>
      <c r="C2230">
        <v>2018</v>
      </c>
      <c r="D2230" t="s">
        <v>9</v>
      </c>
      <c r="E2230">
        <v>700000</v>
      </c>
      <c r="F2230">
        <v>80000</v>
      </c>
    </row>
    <row r="2231" spans="1:6" x14ac:dyDescent="0.3">
      <c r="A2231" t="s">
        <v>2278</v>
      </c>
      <c r="B2231" t="s">
        <v>41</v>
      </c>
      <c r="C2231">
        <v>2018</v>
      </c>
      <c r="D2231" t="s">
        <v>2689</v>
      </c>
      <c r="E2231">
        <v>228000</v>
      </c>
      <c r="F2231">
        <v>0</v>
      </c>
    </row>
    <row r="2232" spans="1:6" x14ac:dyDescent="0.3">
      <c r="A2232" t="s">
        <v>2279</v>
      </c>
      <c r="B2232" t="s">
        <v>41</v>
      </c>
      <c r="C2232">
        <v>2019</v>
      </c>
      <c r="D2232" t="s">
        <v>7</v>
      </c>
      <c r="E2232">
        <v>1500000</v>
      </c>
      <c r="F2232">
        <v>0</v>
      </c>
    </row>
    <row r="2233" spans="1:6" x14ac:dyDescent="0.3">
      <c r="A2233" t="s">
        <v>2280</v>
      </c>
      <c r="B2233" t="s">
        <v>41</v>
      </c>
      <c r="C2233">
        <v>2019</v>
      </c>
      <c r="D2233" t="s">
        <v>9</v>
      </c>
      <c r="E2233">
        <v>500000</v>
      </c>
      <c r="F2233">
        <v>0</v>
      </c>
    </row>
    <row r="2234" spans="1:6" x14ac:dyDescent="0.3">
      <c r="A2234" t="s">
        <v>2281</v>
      </c>
      <c r="B2234" t="s">
        <v>41</v>
      </c>
      <c r="C2234">
        <v>2019</v>
      </c>
      <c r="D2234" t="s">
        <v>2689</v>
      </c>
      <c r="E2234">
        <v>30000</v>
      </c>
      <c r="F2234">
        <v>0</v>
      </c>
    </row>
    <row r="2235" spans="1:6" x14ac:dyDescent="0.3">
      <c r="A2235" t="s">
        <v>2282</v>
      </c>
      <c r="B2235" t="s">
        <v>41</v>
      </c>
      <c r="C2235">
        <v>2020</v>
      </c>
      <c r="D2235" t="s">
        <v>9</v>
      </c>
      <c r="E2235">
        <v>1000020</v>
      </c>
      <c r="F2235">
        <v>0</v>
      </c>
    </row>
    <row r="2236" spans="1:6" x14ac:dyDescent="0.3">
      <c r="A2236" t="s">
        <v>2283</v>
      </c>
      <c r="B2236" t="s">
        <v>41</v>
      </c>
      <c r="C2236">
        <v>2020</v>
      </c>
      <c r="D2236" t="s">
        <v>9</v>
      </c>
      <c r="E2236">
        <v>191000</v>
      </c>
      <c r="F2236">
        <v>0</v>
      </c>
    </row>
    <row r="2237" spans="1:6" x14ac:dyDescent="0.3">
      <c r="A2237" t="s">
        <v>2284</v>
      </c>
      <c r="B2237" t="s">
        <v>41</v>
      </c>
      <c r="C2237">
        <v>2020</v>
      </c>
      <c r="D2237" t="s">
        <v>2689</v>
      </c>
      <c r="E2237">
        <v>120000</v>
      </c>
      <c r="F2237">
        <v>0</v>
      </c>
    </row>
    <row r="2238" spans="1:6" x14ac:dyDescent="0.3">
      <c r="A2238" t="s">
        <v>2285</v>
      </c>
      <c r="B2238" t="s">
        <v>41</v>
      </c>
      <c r="C2238">
        <v>2021</v>
      </c>
      <c r="D2238" t="s">
        <v>7</v>
      </c>
      <c r="E2238">
        <v>7100000</v>
      </c>
      <c r="F2238">
        <v>993000</v>
      </c>
    </row>
    <row r="2239" spans="1:6" x14ac:dyDescent="0.3">
      <c r="A2239" t="s">
        <v>2286</v>
      </c>
      <c r="B2239" t="s">
        <v>41</v>
      </c>
      <c r="C2239">
        <v>2021</v>
      </c>
      <c r="D2239" t="s">
        <v>9</v>
      </c>
      <c r="E2239">
        <v>400000</v>
      </c>
      <c r="F2239">
        <v>0</v>
      </c>
    </row>
    <row r="2240" spans="1:6" x14ac:dyDescent="0.3">
      <c r="A2240" t="s">
        <v>2287</v>
      </c>
      <c r="B2240" t="s">
        <v>41</v>
      </c>
      <c r="C2240">
        <v>2022</v>
      </c>
      <c r="D2240" t="s">
        <v>9</v>
      </c>
      <c r="E2240">
        <v>4416</v>
      </c>
      <c r="F2240">
        <v>0</v>
      </c>
    </row>
    <row r="2241" spans="1:6" x14ac:dyDescent="0.3">
      <c r="A2241" t="s">
        <v>2288</v>
      </c>
      <c r="B2241" t="s">
        <v>41</v>
      </c>
      <c r="C2241">
        <v>2023</v>
      </c>
      <c r="D2241" t="s">
        <v>9</v>
      </c>
      <c r="E2241">
        <v>100003</v>
      </c>
      <c r="F2241">
        <v>0</v>
      </c>
    </row>
    <row r="2242" spans="1:6" x14ac:dyDescent="0.3">
      <c r="A2242" t="s">
        <v>2289</v>
      </c>
      <c r="B2242" t="s">
        <v>41</v>
      </c>
      <c r="C2242">
        <v>2023</v>
      </c>
      <c r="D2242" t="s">
        <v>9</v>
      </c>
      <c r="E2242">
        <v>468000</v>
      </c>
      <c r="F2242">
        <v>0</v>
      </c>
    </row>
    <row r="2243" spans="1:6" x14ac:dyDescent="0.3">
      <c r="A2243" t="s">
        <v>2290</v>
      </c>
      <c r="B2243" t="s">
        <v>41</v>
      </c>
      <c r="C2243">
        <v>2023</v>
      </c>
      <c r="D2243" t="s">
        <v>9</v>
      </c>
      <c r="E2243">
        <v>278000</v>
      </c>
      <c r="F2243">
        <v>0</v>
      </c>
    </row>
    <row r="2244" spans="1:6" x14ac:dyDescent="0.3">
      <c r="A2244" t="s">
        <v>2291</v>
      </c>
      <c r="B2244" t="s">
        <v>41</v>
      </c>
      <c r="C2244">
        <v>2023</v>
      </c>
      <c r="D2244" t="s">
        <v>9</v>
      </c>
      <c r="E2244">
        <v>2480000</v>
      </c>
      <c r="F2244">
        <v>0</v>
      </c>
    </row>
    <row r="2245" spans="1:6" x14ac:dyDescent="0.3">
      <c r="A2245" t="s">
        <v>2292</v>
      </c>
      <c r="B2245" t="s">
        <v>41</v>
      </c>
      <c r="C2245">
        <v>2024</v>
      </c>
      <c r="D2245" t="s">
        <v>9</v>
      </c>
      <c r="E2245">
        <v>226000</v>
      </c>
      <c r="F2245">
        <v>0</v>
      </c>
    </row>
    <row r="2246" spans="1:6" x14ac:dyDescent="0.3">
      <c r="A2246" t="s">
        <v>2293</v>
      </c>
      <c r="B2246" t="s">
        <v>38</v>
      </c>
      <c r="C2246">
        <v>2001</v>
      </c>
      <c r="D2246" t="s">
        <v>9</v>
      </c>
      <c r="E2246">
        <v>42356</v>
      </c>
      <c r="F2246">
        <v>0</v>
      </c>
    </row>
    <row r="2247" spans="1:6" x14ac:dyDescent="0.3">
      <c r="A2247" t="s">
        <v>2294</v>
      </c>
      <c r="B2247" t="s">
        <v>38</v>
      </c>
      <c r="C2247">
        <v>2001</v>
      </c>
      <c r="D2247" t="s">
        <v>9</v>
      </c>
      <c r="E2247">
        <v>312</v>
      </c>
      <c r="F2247">
        <v>0</v>
      </c>
    </row>
    <row r="2248" spans="1:6" x14ac:dyDescent="0.3">
      <c r="A2248" t="s">
        <v>2295</v>
      </c>
      <c r="B2248" t="s">
        <v>38</v>
      </c>
      <c r="C2248">
        <v>2001</v>
      </c>
      <c r="D2248" t="s">
        <v>2689</v>
      </c>
      <c r="E2248">
        <v>10</v>
      </c>
      <c r="F2248">
        <v>0</v>
      </c>
    </row>
    <row r="2249" spans="1:6" x14ac:dyDescent="0.3">
      <c r="A2249" t="s">
        <v>2296</v>
      </c>
      <c r="B2249" t="s">
        <v>38</v>
      </c>
      <c r="C2249">
        <v>2001</v>
      </c>
      <c r="D2249" t="s">
        <v>2689</v>
      </c>
      <c r="E2249">
        <v>630</v>
      </c>
      <c r="F2249">
        <v>0</v>
      </c>
    </row>
    <row r="2250" spans="1:6" x14ac:dyDescent="0.3">
      <c r="A2250" t="s">
        <v>2297</v>
      </c>
      <c r="B2250" t="s">
        <v>38</v>
      </c>
      <c r="C2250">
        <v>2002</v>
      </c>
      <c r="D2250" t="s">
        <v>9</v>
      </c>
      <c r="E2250">
        <v>2500</v>
      </c>
      <c r="F2250">
        <v>0</v>
      </c>
    </row>
    <row r="2251" spans="1:6" x14ac:dyDescent="0.3">
      <c r="A2251" t="s">
        <v>2298</v>
      </c>
      <c r="B2251" t="s">
        <v>38</v>
      </c>
      <c r="C2251">
        <v>2002</v>
      </c>
      <c r="D2251" t="s">
        <v>2689</v>
      </c>
      <c r="E2251">
        <v>150</v>
      </c>
      <c r="F2251">
        <v>0</v>
      </c>
    </row>
    <row r="2252" spans="1:6" x14ac:dyDescent="0.3">
      <c r="A2252" t="s">
        <v>2299</v>
      </c>
      <c r="B2252" t="s">
        <v>38</v>
      </c>
      <c r="C2252">
        <v>2002</v>
      </c>
      <c r="D2252" t="s">
        <v>2689</v>
      </c>
      <c r="E2252">
        <v>1000</v>
      </c>
      <c r="F2252">
        <v>41</v>
      </c>
    </row>
    <row r="2253" spans="1:6" x14ac:dyDescent="0.3">
      <c r="A2253" t="s">
        <v>2300</v>
      </c>
      <c r="B2253" t="s">
        <v>38</v>
      </c>
      <c r="C2253">
        <v>2002</v>
      </c>
      <c r="D2253" t="s">
        <v>2689</v>
      </c>
      <c r="E2253">
        <v>100000</v>
      </c>
      <c r="F2253">
        <v>5000</v>
      </c>
    </row>
    <row r="2254" spans="1:6" x14ac:dyDescent="0.3">
      <c r="A2254" t="s">
        <v>2301</v>
      </c>
      <c r="B2254" t="s">
        <v>38</v>
      </c>
      <c r="C2254">
        <v>2002</v>
      </c>
      <c r="D2254" t="s">
        <v>2689</v>
      </c>
      <c r="E2254">
        <v>66</v>
      </c>
      <c r="F2254">
        <v>9000</v>
      </c>
    </row>
    <row r="2255" spans="1:6" x14ac:dyDescent="0.3">
      <c r="A2255" t="s">
        <v>2302</v>
      </c>
      <c r="B2255" t="s">
        <v>38</v>
      </c>
      <c r="C2255">
        <v>2003</v>
      </c>
      <c r="D2255" t="s">
        <v>9</v>
      </c>
      <c r="E2255">
        <v>500</v>
      </c>
      <c r="F2255">
        <v>0</v>
      </c>
    </row>
    <row r="2256" spans="1:6" x14ac:dyDescent="0.3">
      <c r="A2256" t="s">
        <v>2303</v>
      </c>
      <c r="B2256" t="s">
        <v>38</v>
      </c>
      <c r="C2256">
        <v>2003</v>
      </c>
      <c r="D2256" t="s">
        <v>2689</v>
      </c>
      <c r="E2256">
        <v>600</v>
      </c>
      <c r="F2256">
        <v>0</v>
      </c>
    </row>
    <row r="2257" spans="1:6" x14ac:dyDescent="0.3">
      <c r="A2257" t="s">
        <v>2304</v>
      </c>
      <c r="B2257" t="s">
        <v>38</v>
      </c>
      <c r="C2257">
        <v>2004</v>
      </c>
      <c r="D2257" t="s">
        <v>7</v>
      </c>
      <c r="E2257">
        <v>15000000</v>
      </c>
      <c r="F2257">
        <v>0</v>
      </c>
    </row>
    <row r="2258" spans="1:6" x14ac:dyDescent="0.3">
      <c r="A2258" t="s">
        <v>2305</v>
      </c>
      <c r="B2258" t="s">
        <v>38</v>
      </c>
      <c r="C2258">
        <v>2004</v>
      </c>
      <c r="D2258" t="s">
        <v>9</v>
      </c>
      <c r="E2258">
        <v>15000</v>
      </c>
      <c r="F2258">
        <v>0</v>
      </c>
    </row>
    <row r="2259" spans="1:6" x14ac:dyDescent="0.3">
      <c r="A2259" t="s">
        <v>2306</v>
      </c>
      <c r="B2259" t="s">
        <v>38</v>
      </c>
      <c r="C2259">
        <v>2005</v>
      </c>
      <c r="D2259" t="s">
        <v>14</v>
      </c>
      <c r="E2259">
        <v>58</v>
      </c>
      <c r="F2259">
        <v>20000</v>
      </c>
    </row>
    <row r="2260" spans="1:6" x14ac:dyDescent="0.3">
      <c r="A2260" t="s">
        <v>2307</v>
      </c>
      <c r="B2260" t="s">
        <v>38</v>
      </c>
      <c r="C2260">
        <v>2006</v>
      </c>
      <c r="D2260" t="s">
        <v>9</v>
      </c>
      <c r="E2260">
        <v>4160</v>
      </c>
      <c r="F2260">
        <v>71000</v>
      </c>
    </row>
    <row r="2261" spans="1:6" x14ac:dyDescent="0.3">
      <c r="A2261" t="s">
        <v>2308</v>
      </c>
      <c r="B2261" t="s">
        <v>38</v>
      </c>
      <c r="C2261">
        <v>2006</v>
      </c>
      <c r="D2261" t="s">
        <v>9</v>
      </c>
      <c r="E2261">
        <v>3000</v>
      </c>
      <c r="F2261">
        <v>145000</v>
      </c>
    </row>
    <row r="2262" spans="1:6" x14ac:dyDescent="0.3">
      <c r="A2262" t="s">
        <v>2309</v>
      </c>
      <c r="B2262" t="s">
        <v>38</v>
      </c>
      <c r="C2262">
        <v>2007</v>
      </c>
      <c r="D2262" t="s">
        <v>9</v>
      </c>
      <c r="E2262">
        <v>38000</v>
      </c>
      <c r="F2262">
        <v>0</v>
      </c>
    </row>
    <row r="2263" spans="1:6" x14ac:dyDescent="0.3">
      <c r="A2263" t="s">
        <v>2310</v>
      </c>
      <c r="B2263" t="s">
        <v>38</v>
      </c>
      <c r="C2263">
        <v>2008</v>
      </c>
      <c r="D2263" t="s">
        <v>9</v>
      </c>
      <c r="E2263">
        <v>4000</v>
      </c>
      <c r="F2263">
        <v>1264</v>
      </c>
    </row>
    <row r="2264" spans="1:6" x14ac:dyDescent="0.3">
      <c r="A2264" t="s">
        <v>2311</v>
      </c>
      <c r="B2264" t="s">
        <v>38</v>
      </c>
      <c r="C2264">
        <v>2008</v>
      </c>
      <c r="D2264" t="s">
        <v>2689</v>
      </c>
      <c r="E2264">
        <v>3576</v>
      </c>
      <c r="F2264">
        <v>0</v>
      </c>
    </row>
    <row r="2265" spans="1:6" x14ac:dyDescent="0.3">
      <c r="A2265" t="s">
        <v>2312</v>
      </c>
      <c r="B2265" t="s">
        <v>38</v>
      </c>
      <c r="C2265">
        <v>2009</v>
      </c>
      <c r="D2265" t="s">
        <v>9</v>
      </c>
      <c r="E2265">
        <v>300</v>
      </c>
      <c r="F2265">
        <v>0</v>
      </c>
    </row>
    <row r="2266" spans="1:6" x14ac:dyDescent="0.3">
      <c r="A2266" t="s">
        <v>2313</v>
      </c>
      <c r="B2266" t="s">
        <v>38</v>
      </c>
      <c r="C2266">
        <v>2009</v>
      </c>
      <c r="D2266" t="s">
        <v>9</v>
      </c>
      <c r="E2266">
        <v>20000</v>
      </c>
      <c r="F2266">
        <v>0</v>
      </c>
    </row>
    <row r="2267" spans="1:6" x14ac:dyDescent="0.3">
      <c r="A2267" t="s">
        <v>2314</v>
      </c>
      <c r="B2267" t="s">
        <v>38</v>
      </c>
      <c r="C2267">
        <v>2009</v>
      </c>
      <c r="D2267" t="s">
        <v>2689</v>
      </c>
      <c r="E2267">
        <v>0</v>
      </c>
      <c r="F2267">
        <v>0</v>
      </c>
    </row>
    <row r="2268" spans="1:6" x14ac:dyDescent="0.3">
      <c r="A2268" t="s">
        <v>2315</v>
      </c>
      <c r="B2268" t="s">
        <v>38</v>
      </c>
      <c r="C2268">
        <v>2010</v>
      </c>
      <c r="D2268" t="s">
        <v>2689</v>
      </c>
      <c r="E2268">
        <v>6000</v>
      </c>
      <c r="F2268">
        <v>0</v>
      </c>
    </row>
    <row r="2269" spans="1:6" x14ac:dyDescent="0.3">
      <c r="A2269" t="s">
        <v>2316</v>
      </c>
      <c r="B2269" t="s">
        <v>38</v>
      </c>
      <c r="C2269">
        <v>2011</v>
      </c>
      <c r="D2269" t="s">
        <v>9</v>
      </c>
      <c r="E2269">
        <v>200321</v>
      </c>
      <c r="F2269">
        <v>211000</v>
      </c>
    </row>
    <row r="2270" spans="1:6" x14ac:dyDescent="0.3">
      <c r="A2270" t="s">
        <v>2317</v>
      </c>
      <c r="B2270" t="s">
        <v>38</v>
      </c>
      <c r="C2270">
        <v>2011</v>
      </c>
      <c r="D2270" t="s">
        <v>2689</v>
      </c>
      <c r="E2270">
        <v>2773</v>
      </c>
      <c r="F2270">
        <v>0</v>
      </c>
    </row>
    <row r="2271" spans="1:6" x14ac:dyDescent="0.3">
      <c r="A2271" t="s">
        <v>2318</v>
      </c>
      <c r="B2271" t="s">
        <v>38</v>
      </c>
      <c r="C2271">
        <v>2011</v>
      </c>
      <c r="D2271" t="s">
        <v>2689</v>
      </c>
      <c r="E2271">
        <v>3550</v>
      </c>
      <c r="F2271">
        <v>10000</v>
      </c>
    </row>
    <row r="2272" spans="1:6" x14ac:dyDescent="0.3">
      <c r="A2272" t="s">
        <v>2319</v>
      </c>
      <c r="B2272" t="s">
        <v>38</v>
      </c>
      <c r="C2272">
        <v>2012</v>
      </c>
      <c r="D2272" t="s">
        <v>9</v>
      </c>
      <c r="E2272">
        <v>125000</v>
      </c>
      <c r="F2272">
        <v>200000</v>
      </c>
    </row>
    <row r="2273" spans="1:6" x14ac:dyDescent="0.3">
      <c r="A2273" t="s">
        <v>2320</v>
      </c>
      <c r="B2273" t="s">
        <v>38</v>
      </c>
      <c r="C2273">
        <v>2012</v>
      </c>
      <c r="D2273" t="s">
        <v>2689</v>
      </c>
      <c r="E2273">
        <v>1350</v>
      </c>
      <c r="F2273">
        <v>0</v>
      </c>
    </row>
    <row r="2274" spans="1:6" x14ac:dyDescent="0.3">
      <c r="A2274" t="s">
        <v>2321</v>
      </c>
      <c r="B2274" t="s">
        <v>38</v>
      </c>
      <c r="C2274">
        <v>2013</v>
      </c>
      <c r="D2274" t="s">
        <v>2689</v>
      </c>
      <c r="E2274">
        <v>2870</v>
      </c>
      <c r="F2274">
        <v>0</v>
      </c>
    </row>
    <row r="2275" spans="1:6" x14ac:dyDescent="0.3">
      <c r="A2275" t="s">
        <v>2322</v>
      </c>
      <c r="B2275" t="s">
        <v>38</v>
      </c>
      <c r="C2275">
        <v>2014</v>
      </c>
      <c r="D2275" t="s">
        <v>14</v>
      </c>
      <c r="E2275">
        <v>2002</v>
      </c>
      <c r="F2275">
        <v>0</v>
      </c>
    </row>
    <row r="2276" spans="1:6" x14ac:dyDescent="0.3">
      <c r="A2276" t="s">
        <v>2323</v>
      </c>
      <c r="B2276" t="s">
        <v>38</v>
      </c>
      <c r="C2276">
        <v>2014</v>
      </c>
      <c r="D2276" t="s">
        <v>9</v>
      </c>
      <c r="E2276">
        <v>7185</v>
      </c>
      <c r="F2276">
        <v>85000</v>
      </c>
    </row>
    <row r="2277" spans="1:6" x14ac:dyDescent="0.3">
      <c r="A2277" t="s">
        <v>2324</v>
      </c>
      <c r="B2277" t="s">
        <v>38</v>
      </c>
      <c r="C2277">
        <v>2015</v>
      </c>
      <c r="D2277" t="s">
        <v>7</v>
      </c>
      <c r="E2277">
        <v>2700000</v>
      </c>
      <c r="F2277">
        <v>250000</v>
      </c>
    </row>
    <row r="2278" spans="1:6" x14ac:dyDescent="0.3">
      <c r="A2278" t="s">
        <v>2325</v>
      </c>
      <c r="B2278" t="s">
        <v>38</v>
      </c>
      <c r="C2278">
        <v>2016</v>
      </c>
      <c r="D2278" t="s">
        <v>9</v>
      </c>
      <c r="E2278">
        <v>6900</v>
      </c>
      <c r="F2278">
        <v>180000</v>
      </c>
    </row>
    <row r="2279" spans="1:6" x14ac:dyDescent="0.3">
      <c r="A2279" t="s">
        <v>2326</v>
      </c>
      <c r="B2279" t="s">
        <v>38</v>
      </c>
      <c r="C2279">
        <v>2016</v>
      </c>
      <c r="D2279" t="s">
        <v>9</v>
      </c>
      <c r="E2279">
        <v>600</v>
      </c>
      <c r="F2279">
        <v>100000</v>
      </c>
    </row>
    <row r="2280" spans="1:6" x14ac:dyDescent="0.3">
      <c r="A2280" t="s">
        <v>2327</v>
      </c>
      <c r="B2280" t="s">
        <v>38</v>
      </c>
      <c r="C2280">
        <v>2017</v>
      </c>
      <c r="D2280" t="s">
        <v>7</v>
      </c>
      <c r="E2280">
        <v>0</v>
      </c>
      <c r="F2280">
        <v>1200000</v>
      </c>
    </row>
    <row r="2281" spans="1:6" x14ac:dyDescent="0.3">
      <c r="A2281" t="s">
        <v>2328</v>
      </c>
      <c r="B2281" t="s">
        <v>38</v>
      </c>
      <c r="C2281">
        <v>2017</v>
      </c>
      <c r="D2281" t="s">
        <v>9</v>
      </c>
      <c r="E2281">
        <v>200</v>
      </c>
      <c r="F2281">
        <v>0</v>
      </c>
    </row>
    <row r="2282" spans="1:6" x14ac:dyDescent="0.3">
      <c r="A2282" t="s">
        <v>2329</v>
      </c>
      <c r="B2282" t="s">
        <v>38</v>
      </c>
      <c r="C2282">
        <v>2017</v>
      </c>
      <c r="D2282" t="s">
        <v>2689</v>
      </c>
      <c r="E2282">
        <v>6918</v>
      </c>
      <c r="F2282">
        <v>283000</v>
      </c>
    </row>
    <row r="2283" spans="1:6" x14ac:dyDescent="0.3">
      <c r="A2283" t="s">
        <v>2330</v>
      </c>
      <c r="B2283" t="s">
        <v>38</v>
      </c>
      <c r="C2283">
        <v>2017</v>
      </c>
      <c r="D2283" t="s">
        <v>2689</v>
      </c>
      <c r="E2283">
        <v>518</v>
      </c>
      <c r="F2283">
        <v>320000</v>
      </c>
    </row>
    <row r="2284" spans="1:6" x14ac:dyDescent="0.3">
      <c r="A2284" t="s">
        <v>2331</v>
      </c>
      <c r="B2284" t="s">
        <v>38</v>
      </c>
      <c r="C2284">
        <v>2019</v>
      </c>
      <c r="D2284" t="s">
        <v>7</v>
      </c>
      <c r="E2284">
        <v>750000</v>
      </c>
      <c r="F2284">
        <v>135000</v>
      </c>
    </row>
    <row r="2285" spans="1:6" x14ac:dyDescent="0.3">
      <c r="A2285" t="s">
        <v>2332</v>
      </c>
      <c r="B2285" t="s">
        <v>38</v>
      </c>
      <c r="C2285">
        <v>2019</v>
      </c>
      <c r="D2285" t="s">
        <v>9</v>
      </c>
      <c r="E2285">
        <v>0</v>
      </c>
      <c r="F2285">
        <v>0</v>
      </c>
    </row>
    <row r="2286" spans="1:6" x14ac:dyDescent="0.3">
      <c r="A2286" t="s">
        <v>2333</v>
      </c>
      <c r="B2286" t="s">
        <v>38</v>
      </c>
      <c r="C2286">
        <v>2019</v>
      </c>
      <c r="D2286" t="s">
        <v>9</v>
      </c>
      <c r="E2286">
        <v>1000</v>
      </c>
      <c r="F2286">
        <v>50000</v>
      </c>
    </row>
    <row r="2287" spans="1:6" x14ac:dyDescent="0.3">
      <c r="A2287" t="s">
        <v>2334</v>
      </c>
      <c r="B2287" t="s">
        <v>38</v>
      </c>
      <c r="C2287">
        <v>2019</v>
      </c>
      <c r="D2287" t="s">
        <v>9</v>
      </c>
      <c r="E2287">
        <v>0</v>
      </c>
      <c r="F2287">
        <v>0</v>
      </c>
    </row>
    <row r="2288" spans="1:6" x14ac:dyDescent="0.3">
      <c r="A2288" t="s">
        <v>2335</v>
      </c>
      <c r="B2288" t="s">
        <v>38</v>
      </c>
      <c r="C2288">
        <v>2019</v>
      </c>
      <c r="D2288" t="s">
        <v>9</v>
      </c>
      <c r="E2288">
        <v>3500</v>
      </c>
      <c r="F2288">
        <v>0</v>
      </c>
    </row>
    <row r="2289" spans="1:6" x14ac:dyDescent="0.3">
      <c r="A2289" t="s">
        <v>2336</v>
      </c>
      <c r="B2289" t="s">
        <v>38</v>
      </c>
      <c r="C2289">
        <v>2019</v>
      </c>
      <c r="D2289" t="s">
        <v>2689</v>
      </c>
      <c r="E2289">
        <v>20</v>
      </c>
      <c r="F2289">
        <v>0</v>
      </c>
    </row>
    <row r="2290" spans="1:6" x14ac:dyDescent="0.3">
      <c r="A2290" t="s">
        <v>2337</v>
      </c>
      <c r="B2290" t="s">
        <v>38</v>
      </c>
      <c r="C2290">
        <v>2020</v>
      </c>
      <c r="D2290" t="s">
        <v>9</v>
      </c>
      <c r="E2290">
        <v>200</v>
      </c>
      <c r="F2290">
        <v>0</v>
      </c>
    </row>
    <row r="2291" spans="1:6" x14ac:dyDescent="0.3">
      <c r="A2291" t="s">
        <v>2338</v>
      </c>
      <c r="B2291" t="s">
        <v>38</v>
      </c>
      <c r="C2291">
        <v>2020</v>
      </c>
      <c r="D2291" t="s">
        <v>2689</v>
      </c>
      <c r="E2291">
        <v>210</v>
      </c>
      <c r="F2291">
        <v>0</v>
      </c>
    </row>
    <row r="2292" spans="1:6" x14ac:dyDescent="0.3">
      <c r="A2292" t="s">
        <v>2339</v>
      </c>
      <c r="B2292" t="s">
        <v>38</v>
      </c>
      <c r="C2292">
        <v>2021</v>
      </c>
      <c r="D2292" t="s">
        <v>7</v>
      </c>
      <c r="E2292">
        <v>12000000</v>
      </c>
      <c r="F2292">
        <v>0</v>
      </c>
    </row>
    <row r="2293" spans="1:6" x14ac:dyDescent="0.3">
      <c r="A2293" t="s">
        <v>2340</v>
      </c>
      <c r="B2293" t="s">
        <v>38</v>
      </c>
      <c r="C2293">
        <v>2021</v>
      </c>
      <c r="D2293" t="s">
        <v>9</v>
      </c>
      <c r="E2293">
        <v>400</v>
      </c>
      <c r="F2293">
        <v>75000</v>
      </c>
    </row>
    <row r="2294" spans="1:6" x14ac:dyDescent="0.3">
      <c r="A2294" t="s">
        <v>2341</v>
      </c>
      <c r="B2294" t="s">
        <v>38</v>
      </c>
      <c r="C2294">
        <v>2021</v>
      </c>
      <c r="D2294" t="s">
        <v>2689</v>
      </c>
      <c r="E2294">
        <v>3200</v>
      </c>
      <c r="F2294">
        <v>0</v>
      </c>
    </row>
    <row r="2295" spans="1:6" x14ac:dyDescent="0.3">
      <c r="A2295" t="s">
        <v>2342</v>
      </c>
      <c r="B2295" t="s">
        <v>38</v>
      </c>
      <c r="C2295">
        <v>2021</v>
      </c>
      <c r="D2295" t="s">
        <v>2689</v>
      </c>
      <c r="E2295">
        <v>8837</v>
      </c>
      <c r="F2295">
        <v>0</v>
      </c>
    </row>
    <row r="2296" spans="1:6" x14ac:dyDescent="0.3">
      <c r="A2296" t="s">
        <v>2343</v>
      </c>
      <c r="B2296" t="s">
        <v>38</v>
      </c>
      <c r="C2296">
        <v>2022</v>
      </c>
      <c r="D2296" t="s">
        <v>9</v>
      </c>
      <c r="E2296">
        <v>0</v>
      </c>
      <c r="F2296">
        <v>70000</v>
      </c>
    </row>
    <row r="2297" spans="1:6" x14ac:dyDescent="0.3">
      <c r="A2297" t="s">
        <v>2344</v>
      </c>
      <c r="B2297" t="s">
        <v>38</v>
      </c>
      <c r="C2297">
        <v>2022</v>
      </c>
      <c r="D2297" t="s">
        <v>9</v>
      </c>
      <c r="E2297">
        <v>100</v>
      </c>
      <c r="F2297">
        <v>105000</v>
      </c>
    </row>
    <row r="2298" spans="1:6" x14ac:dyDescent="0.3">
      <c r="A2298" t="s">
        <v>2345</v>
      </c>
      <c r="B2298" t="s">
        <v>38</v>
      </c>
      <c r="C2298">
        <v>2022</v>
      </c>
      <c r="D2298" t="s">
        <v>9</v>
      </c>
      <c r="E2298">
        <v>138</v>
      </c>
      <c r="F2298">
        <v>0</v>
      </c>
    </row>
    <row r="2299" spans="1:6" x14ac:dyDescent="0.3">
      <c r="A2299" t="s">
        <v>2346</v>
      </c>
      <c r="B2299" t="s">
        <v>38</v>
      </c>
      <c r="C2299">
        <v>2022</v>
      </c>
      <c r="D2299" t="s">
        <v>9</v>
      </c>
      <c r="E2299">
        <v>187</v>
      </c>
      <c r="F2299">
        <v>0</v>
      </c>
    </row>
    <row r="2300" spans="1:6" x14ac:dyDescent="0.3">
      <c r="A2300" t="s">
        <v>2347</v>
      </c>
      <c r="B2300" t="s">
        <v>38</v>
      </c>
      <c r="C2300">
        <v>2022</v>
      </c>
      <c r="D2300" t="s">
        <v>9</v>
      </c>
      <c r="E2300">
        <v>142290</v>
      </c>
      <c r="F2300">
        <v>3500000</v>
      </c>
    </row>
    <row r="2301" spans="1:6" x14ac:dyDescent="0.3">
      <c r="A2301" t="s">
        <v>2348</v>
      </c>
      <c r="B2301" t="s">
        <v>38</v>
      </c>
      <c r="C2301">
        <v>2022</v>
      </c>
      <c r="D2301" t="s">
        <v>9</v>
      </c>
      <c r="E2301">
        <v>200</v>
      </c>
      <c r="F2301">
        <v>0</v>
      </c>
    </row>
    <row r="2302" spans="1:6" x14ac:dyDescent="0.3">
      <c r="A2302" t="s">
        <v>2349</v>
      </c>
      <c r="B2302" t="s">
        <v>38</v>
      </c>
      <c r="C2302">
        <v>2022</v>
      </c>
      <c r="D2302" t="s">
        <v>9</v>
      </c>
      <c r="E2302">
        <v>204</v>
      </c>
      <c r="F2302">
        <v>0</v>
      </c>
    </row>
    <row r="2303" spans="1:6" x14ac:dyDescent="0.3">
      <c r="A2303" t="s">
        <v>2350</v>
      </c>
      <c r="B2303" t="s">
        <v>38</v>
      </c>
      <c r="C2303">
        <v>2022</v>
      </c>
      <c r="D2303" t="s">
        <v>9</v>
      </c>
      <c r="E2303">
        <v>56177</v>
      </c>
      <c r="F2303">
        <v>0</v>
      </c>
    </row>
    <row r="2304" spans="1:6" x14ac:dyDescent="0.3">
      <c r="A2304" t="s">
        <v>2351</v>
      </c>
      <c r="B2304" t="s">
        <v>38</v>
      </c>
      <c r="C2304">
        <v>2023</v>
      </c>
      <c r="D2304" t="s">
        <v>9</v>
      </c>
      <c r="E2304">
        <v>1000</v>
      </c>
      <c r="F2304">
        <v>0</v>
      </c>
    </row>
    <row r="2305" spans="1:6" x14ac:dyDescent="0.3">
      <c r="A2305" t="s">
        <v>2352</v>
      </c>
      <c r="B2305" t="s">
        <v>38</v>
      </c>
      <c r="C2305">
        <v>2023</v>
      </c>
      <c r="D2305" t="s">
        <v>9</v>
      </c>
      <c r="E2305">
        <v>500</v>
      </c>
      <c r="F2305">
        <v>0</v>
      </c>
    </row>
    <row r="2306" spans="1:6" x14ac:dyDescent="0.3">
      <c r="A2306" t="s">
        <v>2353</v>
      </c>
      <c r="B2306" t="s">
        <v>38</v>
      </c>
      <c r="C2306">
        <v>2023</v>
      </c>
      <c r="D2306" t="s">
        <v>9</v>
      </c>
      <c r="E2306">
        <v>5000</v>
      </c>
      <c r="F2306">
        <v>0</v>
      </c>
    </row>
    <row r="2307" spans="1:6" x14ac:dyDescent="0.3">
      <c r="A2307" t="s">
        <v>2354</v>
      </c>
      <c r="B2307" t="s">
        <v>38</v>
      </c>
      <c r="C2307">
        <v>2023</v>
      </c>
      <c r="D2307" t="s">
        <v>9</v>
      </c>
      <c r="E2307">
        <v>1800</v>
      </c>
      <c r="F2307">
        <v>0</v>
      </c>
    </row>
    <row r="2308" spans="1:6" x14ac:dyDescent="0.3">
      <c r="A2308" t="s">
        <v>2355</v>
      </c>
      <c r="B2308" t="s">
        <v>38</v>
      </c>
      <c r="C2308">
        <v>2023</v>
      </c>
      <c r="D2308" t="s">
        <v>2689</v>
      </c>
      <c r="E2308">
        <v>150</v>
      </c>
      <c r="F2308">
        <v>0</v>
      </c>
    </row>
    <row r="2309" spans="1:6" x14ac:dyDescent="0.3">
      <c r="A2309" t="s">
        <v>2356</v>
      </c>
      <c r="B2309" t="s">
        <v>38</v>
      </c>
      <c r="C2309">
        <v>2023</v>
      </c>
      <c r="D2309" t="s">
        <v>2689</v>
      </c>
      <c r="E2309">
        <v>1217</v>
      </c>
      <c r="F2309">
        <v>0</v>
      </c>
    </row>
    <row r="2310" spans="1:6" x14ac:dyDescent="0.3">
      <c r="A2310" t="s">
        <v>2357</v>
      </c>
      <c r="B2310" t="s">
        <v>38</v>
      </c>
      <c r="C2310">
        <v>2024</v>
      </c>
      <c r="D2310" t="s">
        <v>9</v>
      </c>
      <c r="E2310">
        <v>756</v>
      </c>
      <c r="F2310">
        <v>10000</v>
      </c>
    </row>
    <row r="2311" spans="1:6" x14ac:dyDescent="0.3">
      <c r="A2311" t="s">
        <v>2358</v>
      </c>
      <c r="B2311" t="s">
        <v>38</v>
      </c>
      <c r="C2311">
        <v>2024</v>
      </c>
      <c r="D2311" t="s">
        <v>9</v>
      </c>
      <c r="E2311">
        <v>46620</v>
      </c>
      <c r="F2311">
        <v>50000</v>
      </c>
    </row>
    <row r="2312" spans="1:6" x14ac:dyDescent="0.3">
      <c r="A2312" t="s">
        <v>2359</v>
      </c>
      <c r="B2312" t="s">
        <v>38</v>
      </c>
      <c r="C2312">
        <v>2024</v>
      </c>
      <c r="D2312" t="s">
        <v>9</v>
      </c>
      <c r="E2312">
        <v>3090</v>
      </c>
      <c r="F2312">
        <v>0</v>
      </c>
    </row>
    <row r="2313" spans="1:6" x14ac:dyDescent="0.3">
      <c r="A2313" t="s">
        <v>2360</v>
      </c>
      <c r="B2313" t="s">
        <v>38</v>
      </c>
      <c r="C2313">
        <v>2024</v>
      </c>
      <c r="D2313" t="s">
        <v>2689</v>
      </c>
      <c r="E2313">
        <v>7813</v>
      </c>
      <c r="F2313">
        <v>0</v>
      </c>
    </row>
    <row r="2314" spans="1:6" x14ac:dyDescent="0.3">
      <c r="A2314" t="s">
        <v>2361</v>
      </c>
      <c r="B2314" t="s">
        <v>38</v>
      </c>
      <c r="C2314">
        <v>2024</v>
      </c>
      <c r="D2314" t="s">
        <v>2689</v>
      </c>
      <c r="E2314">
        <v>13895</v>
      </c>
      <c r="F2314">
        <v>0</v>
      </c>
    </row>
    <row r="2315" spans="1:6" x14ac:dyDescent="0.3">
      <c r="A2315" t="s">
        <v>2362</v>
      </c>
      <c r="B2315" t="s">
        <v>17</v>
      </c>
      <c r="C2315">
        <v>2001</v>
      </c>
      <c r="D2315" t="s">
        <v>7</v>
      </c>
      <c r="E2315">
        <v>1000000</v>
      </c>
      <c r="F2315">
        <v>0</v>
      </c>
    </row>
    <row r="2316" spans="1:6" x14ac:dyDescent="0.3">
      <c r="A2316" t="s">
        <v>2363</v>
      </c>
      <c r="B2316" t="s">
        <v>17</v>
      </c>
      <c r="C2316">
        <v>2001</v>
      </c>
      <c r="D2316" t="s">
        <v>9</v>
      </c>
      <c r="E2316">
        <v>160</v>
      </c>
      <c r="F2316">
        <v>0</v>
      </c>
    </row>
    <row r="2317" spans="1:6" x14ac:dyDescent="0.3">
      <c r="A2317" t="s">
        <v>2364</v>
      </c>
      <c r="B2317" t="s">
        <v>17</v>
      </c>
      <c r="C2317">
        <v>2002</v>
      </c>
      <c r="D2317" t="s">
        <v>9</v>
      </c>
      <c r="E2317">
        <v>500000</v>
      </c>
      <c r="F2317">
        <v>0</v>
      </c>
    </row>
    <row r="2318" spans="1:6" x14ac:dyDescent="0.3">
      <c r="A2318" t="s">
        <v>2365</v>
      </c>
      <c r="B2318" t="s">
        <v>17</v>
      </c>
      <c r="C2318">
        <v>2003</v>
      </c>
      <c r="D2318" t="s">
        <v>9</v>
      </c>
      <c r="E2318">
        <v>695000</v>
      </c>
      <c r="F2318">
        <v>29000</v>
      </c>
    </row>
    <row r="2319" spans="1:6" x14ac:dyDescent="0.3">
      <c r="A2319" t="s">
        <v>2366</v>
      </c>
      <c r="B2319" t="s">
        <v>17</v>
      </c>
      <c r="C2319">
        <v>2004</v>
      </c>
      <c r="D2319" t="s">
        <v>14</v>
      </c>
      <c r="E2319">
        <v>1019306</v>
      </c>
      <c r="F2319">
        <v>1316500</v>
      </c>
    </row>
    <row r="2320" spans="1:6" x14ac:dyDescent="0.3">
      <c r="A2320" t="s">
        <v>2367</v>
      </c>
      <c r="B2320" t="s">
        <v>17</v>
      </c>
      <c r="C2320">
        <v>2004</v>
      </c>
      <c r="D2320" t="s">
        <v>9</v>
      </c>
      <c r="E2320">
        <v>200000</v>
      </c>
      <c r="F2320">
        <v>0</v>
      </c>
    </row>
    <row r="2321" spans="1:6" x14ac:dyDescent="0.3">
      <c r="A2321" t="s">
        <v>2368</v>
      </c>
      <c r="B2321" t="s">
        <v>17</v>
      </c>
      <c r="C2321">
        <v>2005</v>
      </c>
      <c r="D2321" t="s">
        <v>9</v>
      </c>
      <c r="E2321">
        <v>145000</v>
      </c>
      <c r="F2321">
        <v>0</v>
      </c>
    </row>
    <row r="2322" spans="1:6" x14ac:dyDescent="0.3">
      <c r="A2322" t="s">
        <v>2369</v>
      </c>
      <c r="B2322" t="s">
        <v>17</v>
      </c>
      <c r="C2322">
        <v>2006</v>
      </c>
      <c r="D2322" t="s">
        <v>9</v>
      </c>
      <c r="E2322">
        <v>333002</v>
      </c>
      <c r="F2322">
        <v>3000</v>
      </c>
    </row>
    <row r="2323" spans="1:6" x14ac:dyDescent="0.3">
      <c r="A2323" t="s">
        <v>2370</v>
      </c>
      <c r="B2323" t="s">
        <v>17</v>
      </c>
      <c r="C2323">
        <v>2007</v>
      </c>
      <c r="D2323" t="s">
        <v>9</v>
      </c>
      <c r="E2323">
        <v>35000</v>
      </c>
      <c r="F2323">
        <v>0</v>
      </c>
    </row>
    <row r="2324" spans="1:6" x14ac:dyDescent="0.3">
      <c r="A2324" t="s">
        <v>2371</v>
      </c>
      <c r="B2324" t="s">
        <v>17</v>
      </c>
      <c r="C2324">
        <v>2007</v>
      </c>
      <c r="D2324" t="s">
        <v>9</v>
      </c>
      <c r="E2324">
        <v>121000</v>
      </c>
      <c r="F2324">
        <v>50</v>
      </c>
    </row>
    <row r="2325" spans="1:6" x14ac:dyDescent="0.3">
      <c r="A2325" t="s">
        <v>2372</v>
      </c>
      <c r="B2325" t="s">
        <v>17</v>
      </c>
      <c r="C2325">
        <v>2007</v>
      </c>
      <c r="D2325" t="s">
        <v>9</v>
      </c>
      <c r="E2325">
        <v>250000</v>
      </c>
      <c r="F2325">
        <v>0</v>
      </c>
    </row>
    <row r="2326" spans="1:6" x14ac:dyDescent="0.3">
      <c r="A2326" t="s">
        <v>2373</v>
      </c>
      <c r="B2326" t="s">
        <v>17</v>
      </c>
      <c r="C2326">
        <v>2008</v>
      </c>
      <c r="D2326" t="s">
        <v>9</v>
      </c>
      <c r="E2326">
        <v>54323</v>
      </c>
      <c r="F2326">
        <v>0</v>
      </c>
    </row>
    <row r="2327" spans="1:6" x14ac:dyDescent="0.3">
      <c r="A2327" t="s">
        <v>2374</v>
      </c>
      <c r="B2327" t="s">
        <v>17</v>
      </c>
      <c r="C2327">
        <v>2008</v>
      </c>
      <c r="D2327" t="s">
        <v>9</v>
      </c>
      <c r="E2327">
        <v>362582</v>
      </c>
      <c r="F2327">
        <v>0</v>
      </c>
    </row>
    <row r="2328" spans="1:6" x14ac:dyDescent="0.3">
      <c r="A2328" t="s">
        <v>2375</v>
      </c>
      <c r="B2328" t="s">
        <v>17</v>
      </c>
      <c r="C2328">
        <v>2008</v>
      </c>
      <c r="D2328" t="s">
        <v>9</v>
      </c>
      <c r="E2328">
        <v>360000</v>
      </c>
      <c r="F2328">
        <v>0</v>
      </c>
    </row>
    <row r="2329" spans="1:6" x14ac:dyDescent="0.3">
      <c r="A2329" t="s">
        <v>2376</v>
      </c>
      <c r="B2329" t="s">
        <v>17</v>
      </c>
      <c r="C2329">
        <v>2008</v>
      </c>
      <c r="D2329" t="s">
        <v>2689</v>
      </c>
      <c r="E2329">
        <v>50000</v>
      </c>
      <c r="F2329">
        <v>0</v>
      </c>
    </row>
    <row r="2330" spans="1:6" x14ac:dyDescent="0.3">
      <c r="A2330" t="s">
        <v>2377</v>
      </c>
      <c r="B2330" t="s">
        <v>17</v>
      </c>
      <c r="C2330">
        <v>2009</v>
      </c>
      <c r="D2330" t="s">
        <v>9</v>
      </c>
      <c r="E2330">
        <v>20000</v>
      </c>
      <c r="F2330">
        <v>0</v>
      </c>
    </row>
    <row r="2331" spans="1:6" x14ac:dyDescent="0.3">
      <c r="A2331" t="s">
        <v>2378</v>
      </c>
      <c r="B2331" t="s">
        <v>17</v>
      </c>
      <c r="C2331">
        <v>2009</v>
      </c>
      <c r="D2331" t="s">
        <v>9</v>
      </c>
      <c r="E2331">
        <v>60000</v>
      </c>
      <c r="F2331">
        <v>0</v>
      </c>
    </row>
    <row r="2332" spans="1:6" x14ac:dyDescent="0.3">
      <c r="A2332" t="s">
        <v>2379</v>
      </c>
      <c r="B2332" t="s">
        <v>17</v>
      </c>
      <c r="C2332">
        <v>2009</v>
      </c>
      <c r="D2332" t="s">
        <v>9</v>
      </c>
      <c r="E2332">
        <v>300000</v>
      </c>
      <c r="F2332">
        <v>0</v>
      </c>
    </row>
    <row r="2333" spans="1:6" x14ac:dyDescent="0.3">
      <c r="A2333" t="s">
        <v>2380</v>
      </c>
      <c r="B2333" t="s">
        <v>17</v>
      </c>
      <c r="C2333">
        <v>2010</v>
      </c>
      <c r="D2333" t="s">
        <v>9</v>
      </c>
      <c r="E2333">
        <v>606072</v>
      </c>
      <c r="F2333">
        <v>105000</v>
      </c>
    </row>
    <row r="2334" spans="1:6" x14ac:dyDescent="0.3">
      <c r="A2334" t="s">
        <v>2381</v>
      </c>
      <c r="B2334" t="s">
        <v>17</v>
      </c>
      <c r="C2334">
        <v>2010</v>
      </c>
      <c r="D2334" t="s">
        <v>9</v>
      </c>
      <c r="E2334">
        <v>164193</v>
      </c>
      <c r="F2334">
        <v>0</v>
      </c>
    </row>
    <row r="2335" spans="1:6" x14ac:dyDescent="0.3">
      <c r="A2335" t="s">
        <v>2382</v>
      </c>
      <c r="B2335" t="s">
        <v>17</v>
      </c>
      <c r="C2335">
        <v>2011</v>
      </c>
      <c r="D2335" t="s">
        <v>9</v>
      </c>
      <c r="E2335">
        <v>1060324</v>
      </c>
      <c r="F2335">
        <v>200000</v>
      </c>
    </row>
    <row r="2336" spans="1:6" x14ac:dyDescent="0.3">
      <c r="A2336" t="s">
        <v>2383</v>
      </c>
      <c r="B2336" t="s">
        <v>17</v>
      </c>
      <c r="C2336">
        <v>2011</v>
      </c>
      <c r="D2336" t="s">
        <v>9</v>
      </c>
      <c r="E2336">
        <v>225000</v>
      </c>
      <c r="F2336">
        <v>300000</v>
      </c>
    </row>
    <row r="2337" spans="1:6" x14ac:dyDescent="0.3">
      <c r="A2337" t="s">
        <v>2384</v>
      </c>
      <c r="B2337" t="s">
        <v>17</v>
      </c>
      <c r="C2337">
        <v>2011</v>
      </c>
      <c r="D2337" t="s">
        <v>9</v>
      </c>
      <c r="E2337">
        <v>8600</v>
      </c>
      <c r="F2337">
        <v>0</v>
      </c>
    </row>
    <row r="2338" spans="1:6" x14ac:dyDescent="0.3">
      <c r="A2338" t="s">
        <v>2385</v>
      </c>
      <c r="B2338" t="s">
        <v>17</v>
      </c>
      <c r="C2338">
        <v>2011</v>
      </c>
      <c r="D2338" t="s">
        <v>2689</v>
      </c>
      <c r="E2338">
        <v>35041</v>
      </c>
      <c r="F2338">
        <v>0</v>
      </c>
    </row>
    <row r="2339" spans="1:6" x14ac:dyDescent="0.3">
      <c r="A2339" t="s">
        <v>2386</v>
      </c>
      <c r="B2339" t="s">
        <v>17</v>
      </c>
      <c r="C2339">
        <v>2012</v>
      </c>
      <c r="D2339" t="s">
        <v>7</v>
      </c>
      <c r="E2339">
        <v>1800000</v>
      </c>
      <c r="F2339">
        <v>0</v>
      </c>
    </row>
    <row r="2340" spans="1:6" x14ac:dyDescent="0.3">
      <c r="A2340" t="s">
        <v>2387</v>
      </c>
      <c r="B2340" t="s">
        <v>17</v>
      </c>
      <c r="C2340">
        <v>2012</v>
      </c>
      <c r="D2340" t="s">
        <v>9</v>
      </c>
      <c r="E2340">
        <v>447021</v>
      </c>
      <c r="F2340">
        <v>1200</v>
      </c>
    </row>
    <row r="2341" spans="1:6" x14ac:dyDescent="0.3">
      <c r="A2341" t="s">
        <v>2388</v>
      </c>
      <c r="B2341" t="s">
        <v>17</v>
      </c>
      <c r="C2341">
        <v>2012</v>
      </c>
      <c r="D2341" t="s">
        <v>2689</v>
      </c>
      <c r="E2341">
        <v>69000</v>
      </c>
      <c r="F2341">
        <v>57000</v>
      </c>
    </row>
    <row r="2342" spans="1:6" x14ac:dyDescent="0.3">
      <c r="A2342" t="s">
        <v>2389</v>
      </c>
      <c r="B2342" t="s">
        <v>17</v>
      </c>
      <c r="C2342">
        <v>2013</v>
      </c>
      <c r="D2342" t="s">
        <v>9</v>
      </c>
      <c r="E2342">
        <v>56747</v>
      </c>
      <c r="F2342">
        <v>0</v>
      </c>
    </row>
    <row r="2343" spans="1:6" x14ac:dyDescent="0.3">
      <c r="A2343" t="s">
        <v>2390</v>
      </c>
      <c r="B2343" t="s">
        <v>17</v>
      </c>
      <c r="C2343">
        <v>2013</v>
      </c>
      <c r="D2343" t="s">
        <v>9</v>
      </c>
      <c r="E2343">
        <v>17214</v>
      </c>
      <c r="F2343">
        <v>2000</v>
      </c>
    </row>
    <row r="2344" spans="1:6" x14ac:dyDescent="0.3">
      <c r="A2344" t="s">
        <v>2391</v>
      </c>
      <c r="B2344" t="s">
        <v>17</v>
      </c>
      <c r="C2344">
        <v>2013</v>
      </c>
      <c r="D2344" t="s">
        <v>2689</v>
      </c>
      <c r="E2344">
        <v>7339</v>
      </c>
      <c r="F2344">
        <v>0</v>
      </c>
    </row>
    <row r="2345" spans="1:6" x14ac:dyDescent="0.3">
      <c r="A2345" t="s">
        <v>2392</v>
      </c>
      <c r="B2345" t="s">
        <v>17</v>
      </c>
      <c r="C2345">
        <v>2014</v>
      </c>
      <c r="D2345" t="s">
        <v>7</v>
      </c>
      <c r="E2345">
        <v>1800000</v>
      </c>
      <c r="F2345">
        <v>25000</v>
      </c>
    </row>
    <row r="2346" spans="1:6" x14ac:dyDescent="0.3">
      <c r="A2346" t="s">
        <v>2393</v>
      </c>
      <c r="B2346" t="s">
        <v>17</v>
      </c>
      <c r="C2346">
        <v>2014</v>
      </c>
      <c r="D2346" t="s">
        <v>9</v>
      </c>
      <c r="E2346">
        <v>104009</v>
      </c>
      <c r="F2346">
        <v>2000</v>
      </c>
    </row>
    <row r="2347" spans="1:6" x14ac:dyDescent="0.3">
      <c r="A2347" t="s">
        <v>2394</v>
      </c>
      <c r="B2347" t="s">
        <v>17</v>
      </c>
      <c r="C2347">
        <v>2014</v>
      </c>
      <c r="D2347" t="s">
        <v>9</v>
      </c>
      <c r="E2347">
        <v>1100020</v>
      </c>
      <c r="F2347">
        <v>0</v>
      </c>
    </row>
    <row r="2348" spans="1:6" x14ac:dyDescent="0.3">
      <c r="A2348" t="s">
        <v>2395</v>
      </c>
      <c r="B2348" t="s">
        <v>17</v>
      </c>
      <c r="C2348">
        <v>2014</v>
      </c>
      <c r="D2348" t="s">
        <v>9</v>
      </c>
      <c r="E2348">
        <v>0</v>
      </c>
      <c r="F2348">
        <v>0</v>
      </c>
    </row>
    <row r="2349" spans="1:6" x14ac:dyDescent="0.3">
      <c r="A2349" t="s">
        <v>2396</v>
      </c>
      <c r="B2349" t="s">
        <v>17</v>
      </c>
      <c r="C2349">
        <v>2015</v>
      </c>
      <c r="D2349" t="s">
        <v>9</v>
      </c>
      <c r="E2349">
        <v>20000</v>
      </c>
      <c r="F2349">
        <v>0</v>
      </c>
    </row>
    <row r="2350" spans="1:6" x14ac:dyDescent="0.3">
      <c r="A2350" t="s">
        <v>2397</v>
      </c>
      <c r="B2350" t="s">
        <v>17</v>
      </c>
      <c r="C2350">
        <v>2015</v>
      </c>
      <c r="D2350" t="s">
        <v>9</v>
      </c>
      <c r="E2350">
        <v>7309</v>
      </c>
      <c r="F2350">
        <v>0</v>
      </c>
    </row>
    <row r="2351" spans="1:6" x14ac:dyDescent="0.3">
      <c r="A2351" t="s">
        <v>2398</v>
      </c>
      <c r="B2351" t="s">
        <v>17</v>
      </c>
      <c r="C2351">
        <v>2016</v>
      </c>
      <c r="D2351" t="s">
        <v>7</v>
      </c>
      <c r="E2351">
        <v>900000</v>
      </c>
      <c r="F2351">
        <v>20000</v>
      </c>
    </row>
    <row r="2352" spans="1:6" x14ac:dyDescent="0.3">
      <c r="A2352" t="s">
        <v>2399</v>
      </c>
      <c r="B2352" t="s">
        <v>17</v>
      </c>
      <c r="C2352">
        <v>2016</v>
      </c>
      <c r="D2352" t="s">
        <v>9</v>
      </c>
      <c r="E2352">
        <v>301602</v>
      </c>
      <c r="F2352">
        <v>1200000</v>
      </c>
    </row>
    <row r="2353" spans="1:6" x14ac:dyDescent="0.3">
      <c r="A2353" t="s">
        <v>2400</v>
      </c>
      <c r="B2353" t="s">
        <v>17</v>
      </c>
      <c r="C2353">
        <v>2017</v>
      </c>
      <c r="D2353" t="s">
        <v>9</v>
      </c>
      <c r="E2353">
        <v>879932</v>
      </c>
      <c r="F2353">
        <v>389000</v>
      </c>
    </row>
    <row r="2354" spans="1:6" x14ac:dyDescent="0.3">
      <c r="A2354" t="s">
        <v>2401</v>
      </c>
      <c r="B2354" t="s">
        <v>17</v>
      </c>
      <c r="C2354">
        <v>2017</v>
      </c>
      <c r="D2354" t="s">
        <v>9</v>
      </c>
      <c r="E2354">
        <v>13197</v>
      </c>
      <c r="F2354">
        <v>0</v>
      </c>
    </row>
    <row r="2355" spans="1:6" x14ac:dyDescent="0.3">
      <c r="A2355" t="s">
        <v>2402</v>
      </c>
      <c r="B2355" t="s">
        <v>17</v>
      </c>
      <c r="C2355">
        <v>2017</v>
      </c>
      <c r="D2355" t="s">
        <v>2689</v>
      </c>
      <c r="E2355">
        <v>160077</v>
      </c>
      <c r="F2355">
        <v>346000</v>
      </c>
    </row>
    <row r="2356" spans="1:6" x14ac:dyDescent="0.3">
      <c r="A2356" t="s">
        <v>2403</v>
      </c>
      <c r="B2356" t="s">
        <v>17</v>
      </c>
      <c r="C2356">
        <v>2018</v>
      </c>
      <c r="D2356" t="s">
        <v>9</v>
      </c>
      <c r="E2356">
        <v>153712</v>
      </c>
      <c r="F2356">
        <v>0</v>
      </c>
    </row>
    <row r="2357" spans="1:6" x14ac:dyDescent="0.3">
      <c r="A2357" t="s">
        <v>2404</v>
      </c>
      <c r="B2357" t="s">
        <v>17</v>
      </c>
      <c r="C2357">
        <v>2018</v>
      </c>
      <c r="D2357" t="s">
        <v>9</v>
      </c>
      <c r="E2357">
        <v>75000</v>
      </c>
      <c r="F2357">
        <v>0</v>
      </c>
    </row>
    <row r="2358" spans="1:6" x14ac:dyDescent="0.3">
      <c r="A2358" t="s">
        <v>2405</v>
      </c>
      <c r="B2358" t="s">
        <v>17</v>
      </c>
      <c r="C2358">
        <v>2018</v>
      </c>
      <c r="D2358" t="s">
        <v>9</v>
      </c>
      <c r="E2358">
        <v>75000</v>
      </c>
      <c r="F2358">
        <v>0</v>
      </c>
    </row>
    <row r="2359" spans="1:6" x14ac:dyDescent="0.3">
      <c r="A2359" t="s">
        <v>2406</v>
      </c>
      <c r="B2359" t="s">
        <v>17</v>
      </c>
      <c r="C2359">
        <v>2019</v>
      </c>
      <c r="D2359" t="s">
        <v>7</v>
      </c>
      <c r="E2359">
        <v>222091</v>
      </c>
      <c r="F2359">
        <v>0</v>
      </c>
    </row>
    <row r="2360" spans="1:6" x14ac:dyDescent="0.3">
      <c r="A2360" t="s">
        <v>2407</v>
      </c>
      <c r="B2360" t="s">
        <v>17</v>
      </c>
      <c r="C2360">
        <v>2019</v>
      </c>
      <c r="D2360" t="s">
        <v>9</v>
      </c>
      <c r="E2360">
        <v>136607</v>
      </c>
      <c r="F2360">
        <v>0</v>
      </c>
    </row>
    <row r="2361" spans="1:6" x14ac:dyDescent="0.3">
      <c r="A2361" t="s">
        <v>2408</v>
      </c>
      <c r="B2361" t="s">
        <v>17</v>
      </c>
      <c r="C2361">
        <v>2019</v>
      </c>
      <c r="D2361" t="s">
        <v>9</v>
      </c>
      <c r="E2361">
        <v>8200</v>
      </c>
      <c r="F2361">
        <v>0</v>
      </c>
    </row>
    <row r="2362" spans="1:6" x14ac:dyDescent="0.3">
      <c r="A2362" t="s">
        <v>2409</v>
      </c>
      <c r="B2362" t="s">
        <v>17</v>
      </c>
      <c r="C2362">
        <v>2019</v>
      </c>
      <c r="D2362" t="s">
        <v>9</v>
      </c>
      <c r="E2362">
        <v>155009</v>
      </c>
      <c r="F2362">
        <v>0</v>
      </c>
    </row>
    <row r="2363" spans="1:6" x14ac:dyDescent="0.3">
      <c r="A2363" t="s">
        <v>2410</v>
      </c>
      <c r="B2363" t="s">
        <v>17</v>
      </c>
      <c r="C2363">
        <v>2019</v>
      </c>
      <c r="D2363" t="s">
        <v>9</v>
      </c>
      <c r="E2363">
        <v>65322</v>
      </c>
      <c r="F2363">
        <v>0</v>
      </c>
    </row>
    <row r="2364" spans="1:6" x14ac:dyDescent="0.3">
      <c r="A2364" t="s">
        <v>2411</v>
      </c>
      <c r="B2364" t="s">
        <v>17</v>
      </c>
      <c r="C2364">
        <v>2019</v>
      </c>
      <c r="D2364" t="s">
        <v>9</v>
      </c>
      <c r="E2364">
        <v>167436</v>
      </c>
      <c r="F2364">
        <v>0</v>
      </c>
    </row>
    <row r="2365" spans="1:6" x14ac:dyDescent="0.3">
      <c r="A2365" t="s">
        <v>2412</v>
      </c>
      <c r="B2365" t="s">
        <v>17</v>
      </c>
      <c r="C2365">
        <v>2020</v>
      </c>
      <c r="D2365" t="s">
        <v>9</v>
      </c>
      <c r="E2365">
        <v>40000</v>
      </c>
      <c r="F2365">
        <v>0</v>
      </c>
    </row>
    <row r="2366" spans="1:6" x14ac:dyDescent="0.3">
      <c r="A2366" t="s">
        <v>2413</v>
      </c>
      <c r="B2366" t="s">
        <v>17</v>
      </c>
      <c r="C2366">
        <v>2020</v>
      </c>
      <c r="D2366" t="s">
        <v>9</v>
      </c>
      <c r="E2366">
        <v>111665</v>
      </c>
      <c r="F2366">
        <v>0</v>
      </c>
    </row>
    <row r="2367" spans="1:6" x14ac:dyDescent="0.3">
      <c r="A2367" t="s">
        <v>2414</v>
      </c>
      <c r="B2367" t="s">
        <v>17</v>
      </c>
      <c r="C2367">
        <v>2020</v>
      </c>
      <c r="D2367" t="s">
        <v>2689</v>
      </c>
      <c r="E2367">
        <v>1100</v>
      </c>
      <c r="F2367">
        <v>0</v>
      </c>
    </row>
    <row r="2368" spans="1:6" x14ac:dyDescent="0.3">
      <c r="A2368" t="s">
        <v>2415</v>
      </c>
      <c r="B2368" t="s">
        <v>17</v>
      </c>
      <c r="C2368">
        <v>2021</v>
      </c>
      <c r="D2368" t="s">
        <v>9</v>
      </c>
      <c r="E2368">
        <v>50190</v>
      </c>
      <c r="F2368">
        <v>0</v>
      </c>
    </row>
    <row r="2369" spans="1:6" x14ac:dyDescent="0.3">
      <c r="A2369" t="s">
        <v>2416</v>
      </c>
      <c r="B2369" t="s">
        <v>17</v>
      </c>
      <c r="C2369">
        <v>2021</v>
      </c>
      <c r="D2369" t="s">
        <v>9</v>
      </c>
      <c r="E2369">
        <v>43704</v>
      </c>
      <c r="F2369">
        <v>0</v>
      </c>
    </row>
    <row r="2370" spans="1:6" x14ac:dyDescent="0.3">
      <c r="A2370" t="s">
        <v>2417</v>
      </c>
      <c r="B2370" t="s">
        <v>17</v>
      </c>
      <c r="C2370">
        <v>2021</v>
      </c>
      <c r="D2370" t="s">
        <v>9</v>
      </c>
      <c r="E2370">
        <v>6000</v>
      </c>
      <c r="F2370">
        <v>0</v>
      </c>
    </row>
    <row r="2371" spans="1:6" x14ac:dyDescent="0.3">
      <c r="A2371" t="s">
        <v>2418</v>
      </c>
      <c r="B2371" t="s">
        <v>17</v>
      </c>
      <c r="C2371">
        <v>2021</v>
      </c>
      <c r="D2371" t="s">
        <v>9</v>
      </c>
      <c r="E2371">
        <v>230004</v>
      </c>
      <c r="F2371">
        <v>0</v>
      </c>
    </row>
    <row r="2372" spans="1:6" x14ac:dyDescent="0.3">
      <c r="A2372" t="s">
        <v>2419</v>
      </c>
      <c r="B2372" t="s">
        <v>17</v>
      </c>
      <c r="C2372">
        <v>2021</v>
      </c>
      <c r="D2372" t="s">
        <v>2689</v>
      </c>
      <c r="E2372">
        <v>879</v>
      </c>
      <c r="F2372">
        <v>0</v>
      </c>
    </row>
    <row r="2373" spans="1:6" x14ac:dyDescent="0.3">
      <c r="A2373" t="s">
        <v>2420</v>
      </c>
      <c r="B2373" t="s">
        <v>17</v>
      </c>
      <c r="C2373">
        <v>2022</v>
      </c>
      <c r="D2373" t="s">
        <v>9</v>
      </c>
      <c r="E2373">
        <v>82391</v>
      </c>
      <c r="F2373">
        <v>0</v>
      </c>
    </row>
    <row r="2374" spans="1:6" x14ac:dyDescent="0.3">
      <c r="A2374" t="s">
        <v>2421</v>
      </c>
      <c r="B2374" t="s">
        <v>17</v>
      </c>
      <c r="C2374">
        <v>2022</v>
      </c>
      <c r="D2374" t="s">
        <v>9</v>
      </c>
      <c r="E2374">
        <v>61469</v>
      </c>
      <c r="F2374">
        <v>0</v>
      </c>
    </row>
    <row r="2375" spans="1:6" x14ac:dyDescent="0.3">
      <c r="A2375" t="s">
        <v>2422</v>
      </c>
      <c r="B2375" t="s">
        <v>17</v>
      </c>
      <c r="C2375">
        <v>2022</v>
      </c>
      <c r="D2375" t="s">
        <v>9</v>
      </c>
      <c r="E2375">
        <v>5478</v>
      </c>
      <c r="F2375">
        <v>0</v>
      </c>
    </row>
    <row r="2376" spans="1:6" x14ac:dyDescent="0.3">
      <c r="A2376" t="s">
        <v>2423</v>
      </c>
      <c r="B2376" t="s">
        <v>17</v>
      </c>
      <c r="C2376">
        <v>2022</v>
      </c>
      <c r="D2376" t="s">
        <v>2689</v>
      </c>
      <c r="E2376">
        <v>22338</v>
      </c>
      <c r="F2376">
        <v>0</v>
      </c>
    </row>
    <row r="2377" spans="1:6" x14ac:dyDescent="0.3">
      <c r="A2377" t="s">
        <v>2424</v>
      </c>
      <c r="B2377" t="s">
        <v>17</v>
      </c>
      <c r="C2377">
        <v>2022</v>
      </c>
      <c r="D2377" t="s">
        <v>2689</v>
      </c>
      <c r="E2377">
        <v>6500</v>
      </c>
      <c r="F2377">
        <v>0</v>
      </c>
    </row>
    <row r="2378" spans="1:6" x14ac:dyDescent="0.3">
      <c r="A2378" t="s">
        <v>2425</v>
      </c>
      <c r="B2378" t="s">
        <v>17</v>
      </c>
      <c r="C2378">
        <v>2023</v>
      </c>
      <c r="D2378" t="s">
        <v>9</v>
      </c>
      <c r="E2378">
        <v>244504</v>
      </c>
      <c r="F2378">
        <v>0</v>
      </c>
    </row>
    <row r="2379" spans="1:6" x14ac:dyDescent="0.3">
      <c r="A2379" t="s">
        <v>2426</v>
      </c>
      <c r="B2379" t="s">
        <v>17</v>
      </c>
      <c r="C2379">
        <v>2023</v>
      </c>
      <c r="D2379" t="s">
        <v>2689</v>
      </c>
      <c r="E2379">
        <v>910</v>
      </c>
      <c r="F2379">
        <v>0</v>
      </c>
    </row>
    <row r="2380" spans="1:6" x14ac:dyDescent="0.3">
      <c r="A2380" t="s">
        <v>2427</v>
      </c>
      <c r="B2380" t="s">
        <v>17</v>
      </c>
      <c r="C2380">
        <v>2023</v>
      </c>
      <c r="D2380" t="s">
        <v>2689</v>
      </c>
      <c r="E2380">
        <v>6631</v>
      </c>
      <c r="F2380">
        <v>0</v>
      </c>
    </row>
    <row r="2381" spans="1:6" x14ac:dyDescent="0.3">
      <c r="A2381" t="s">
        <v>2428</v>
      </c>
      <c r="B2381" t="s">
        <v>17</v>
      </c>
      <c r="C2381">
        <v>2023</v>
      </c>
      <c r="D2381" t="s">
        <v>2689</v>
      </c>
      <c r="E2381">
        <v>34800</v>
      </c>
      <c r="F2381">
        <v>0</v>
      </c>
    </row>
    <row r="2382" spans="1:6" x14ac:dyDescent="0.3">
      <c r="A2382" t="s">
        <v>2429</v>
      </c>
      <c r="B2382" t="s">
        <v>17</v>
      </c>
      <c r="C2382">
        <v>2023</v>
      </c>
      <c r="D2382" t="s">
        <v>2689</v>
      </c>
      <c r="E2382">
        <v>2003</v>
      </c>
      <c r="F2382">
        <v>0</v>
      </c>
    </row>
    <row r="2383" spans="1:6" x14ac:dyDescent="0.3">
      <c r="A2383" t="s">
        <v>2430</v>
      </c>
      <c r="B2383" t="s">
        <v>17</v>
      </c>
      <c r="C2383">
        <v>2024</v>
      </c>
      <c r="D2383" t="s">
        <v>9</v>
      </c>
      <c r="E2383">
        <v>175000</v>
      </c>
      <c r="F2383">
        <v>0</v>
      </c>
    </row>
    <row r="2384" spans="1:6" x14ac:dyDescent="0.3">
      <c r="A2384" t="s">
        <v>2431</v>
      </c>
      <c r="B2384" t="s">
        <v>17</v>
      </c>
      <c r="C2384">
        <v>2024</v>
      </c>
      <c r="D2384" t="s">
        <v>9</v>
      </c>
      <c r="E2384">
        <v>235902</v>
      </c>
      <c r="F2384">
        <v>0</v>
      </c>
    </row>
    <row r="2385" spans="1:6" x14ac:dyDescent="0.3">
      <c r="A2385" t="s">
        <v>2432</v>
      </c>
      <c r="B2385" t="s">
        <v>17</v>
      </c>
      <c r="C2385">
        <v>2024</v>
      </c>
      <c r="D2385" t="s">
        <v>2689</v>
      </c>
      <c r="E2385">
        <v>155761</v>
      </c>
      <c r="F2385">
        <v>0</v>
      </c>
    </row>
    <row r="2386" spans="1:6" x14ac:dyDescent="0.3">
      <c r="A2386" t="s">
        <v>2433</v>
      </c>
      <c r="B2386" t="s">
        <v>17</v>
      </c>
      <c r="C2386">
        <v>2024</v>
      </c>
      <c r="D2386" t="s">
        <v>2689</v>
      </c>
      <c r="E2386">
        <v>441392</v>
      </c>
      <c r="F2386">
        <v>0</v>
      </c>
    </row>
    <row r="2387" spans="1:6" x14ac:dyDescent="0.3">
      <c r="A2387" t="s">
        <v>2434</v>
      </c>
      <c r="B2387" t="s">
        <v>42</v>
      </c>
      <c r="C2387">
        <v>2001</v>
      </c>
      <c r="D2387" t="s">
        <v>9</v>
      </c>
      <c r="E2387">
        <v>2190</v>
      </c>
      <c r="F2387">
        <v>0</v>
      </c>
    </row>
    <row r="2388" spans="1:6" x14ac:dyDescent="0.3">
      <c r="A2388" t="s">
        <v>2435</v>
      </c>
      <c r="B2388" t="s">
        <v>42</v>
      </c>
      <c r="C2388">
        <v>2001</v>
      </c>
      <c r="D2388" t="s">
        <v>2689</v>
      </c>
      <c r="E2388">
        <v>830</v>
      </c>
      <c r="F2388">
        <v>234</v>
      </c>
    </row>
    <row r="2389" spans="1:6" x14ac:dyDescent="0.3">
      <c r="A2389" t="s">
        <v>2436</v>
      </c>
      <c r="B2389" t="s">
        <v>42</v>
      </c>
      <c r="C2389">
        <v>2002</v>
      </c>
      <c r="D2389" t="s">
        <v>14</v>
      </c>
      <c r="E2389">
        <v>1050</v>
      </c>
      <c r="F2389">
        <v>0</v>
      </c>
    </row>
    <row r="2390" spans="1:6" x14ac:dyDescent="0.3">
      <c r="A2390" t="s">
        <v>2437</v>
      </c>
      <c r="B2390" t="s">
        <v>42</v>
      </c>
      <c r="C2390">
        <v>2002</v>
      </c>
      <c r="D2390" t="s">
        <v>14</v>
      </c>
      <c r="E2390">
        <v>500</v>
      </c>
      <c r="F2390">
        <v>0</v>
      </c>
    </row>
    <row r="2391" spans="1:6" x14ac:dyDescent="0.3">
      <c r="A2391" t="s">
        <v>2438</v>
      </c>
      <c r="B2391" t="s">
        <v>42</v>
      </c>
      <c r="C2391">
        <v>2002</v>
      </c>
      <c r="D2391" t="s">
        <v>9</v>
      </c>
      <c r="E2391">
        <v>630</v>
      </c>
      <c r="F2391">
        <v>0</v>
      </c>
    </row>
    <row r="2392" spans="1:6" x14ac:dyDescent="0.3">
      <c r="A2392" t="s">
        <v>2439</v>
      </c>
      <c r="B2392" t="s">
        <v>42</v>
      </c>
      <c r="C2392">
        <v>2002</v>
      </c>
      <c r="D2392" t="s">
        <v>9</v>
      </c>
      <c r="E2392">
        <v>408</v>
      </c>
      <c r="F2392">
        <v>0</v>
      </c>
    </row>
    <row r="2393" spans="1:6" x14ac:dyDescent="0.3">
      <c r="A2393" t="s">
        <v>2440</v>
      </c>
      <c r="B2393" t="s">
        <v>42</v>
      </c>
      <c r="C2393">
        <v>2002</v>
      </c>
      <c r="D2393" t="s">
        <v>9</v>
      </c>
      <c r="E2393">
        <v>1500</v>
      </c>
      <c r="F2393">
        <v>0</v>
      </c>
    </row>
    <row r="2394" spans="1:6" x14ac:dyDescent="0.3">
      <c r="A2394" t="s">
        <v>2441</v>
      </c>
      <c r="B2394" t="s">
        <v>42</v>
      </c>
      <c r="C2394">
        <v>2002</v>
      </c>
      <c r="D2394" t="s">
        <v>9</v>
      </c>
      <c r="E2394">
        <v>1713</v>
      </c>
      <c r="F2394">
        <v>2836</v>
      </c>
    </row>
    <row r="2395" spans="1:6" x14ac:dyDescent="0.3">
      <c r="A2395" t="s">
        <v>2442</v>
      </c>
      <c r="B2395" t="s">
        <v>42</v>
      </c>
      <c r="C2395">
        <v>2003</v>
      </c>
      <c r="D2395" t="s">
        <v>9</v>
      </c>
      <c r="E2395">
        <v>1755</v>
      </c>
      <c r="F2395">
        <v>20000</v>
      </c>
    </row>
    <row r="2396" spans="1:6" x14ac:dyDescent="0.3">
      <c r="A2396" t="s">
        <v>2443</v>
      </c>
      <c r="B2396" t="s">
        <v>42</v>
      </c>
      <c r="C2396">
        <v>2004</v>
      </c>
      <c r="D2396" t="s">
        <v>14</v>
      </c>
      <c r="E2396">
        <v>180</v>
      </c>
      <c r="F2396">
        <v>0</v>
      </c>
    </row>
    <row r="2397" spans="1:6" x14ac:dyDescent="0.3">
      <c r="A2397" t="s">
        <v>2444</v>
      </c>
      <c r="B2397" t="s">
        <v>42</v>
      </c>
      <c r="C2397">
        <v>2004</v>
      </c>
      <c r="D2397" t="s">
        <v>9</v>
      </c>
      <c r="E2397">
        <v>400000</v>
      </c>
      <c r="F2397">
        <v>12000</v>
      </c>
    </row>
    <row r="2398" spans="1:6" x14ac:dyDescent="0.3">
      <c r="A2398" t="s">
        <v>2445</v>
      </c>
      <c r="B2398" t="s">
        <v>42</v>
      </c>
      <c r="C2398">
        <v>2005</v>
      </c>
      <c r="D2398" t="s">
        <v>9</v>
      </c>
      <c r="E2398">
        <v>3222</v>
      </c>
      <c r="F2398">
        <v>0</v>
      </c>
    </row>
    <row r="2399" spans="1:6" x14ac:dyDescent="0.3">
      <c r="A2399" t="s">
        <v>2446</v>
      </c>
      <c r="B2399" t="s">
        <v>42</v>
      </c>
      <c r="C2399">
        <v>2005</v>
      </c>
      <c r="D2399" t="s">
        <v>9</v>
      </c>
      <c r="E2399">
        <v>1890</v>
      </c>
      <c r="F2399">
        <v>50000</v>
      </c>
    </row>
    <row r="2400" spans="1:6" x14ac:dyDescent="0.3">
      <c r="A2400" t="s">
        <v>2447</v>
      </c>
      <c r="B2400" t="s">
        <v>42</v>
      </c>
      <c r="C2400">
        <v>2006</v>
      </c>
      <c r="D2400" t="s">
        <v>14</v>
      </c>
      <c r="E2400">
        <v>15427</v>
      </c>
      <c r="F2400">
        <v>22000</v>
      </c>
    </row>
    <row r="2401" spans="1:6" x14ac:dyDescent="0.3">
      <c r="A2401" t="s">
        <v>2448</v>
      </c>
      <c r="B2401" t="s">
        <v>42</v>
      </c>
      <c r="C2401">
        <v>2007</v>
      </c>
      <c r="D2401" t="s">
        <v>14</v>
      </c>
      <c r="E2401">
        <v>7003</v>
      </c>
      <c r="F2401">
        <v>0</v>
      </c>
    </row>
    <row r="2402" spans="1:6" x14ac:dyDescent="0.3">
      <c r="A2402" t="s">
        <v>2449</v>
      </c>
      <c r="B2402" t="s">
        <v>42</v>
      </c>
      <c r="C2402">
        <v>2007</v>
      </c>
      <c r="D2402" t="s">
        <v>9</v>
      </c>
      <c r="E2402">
        <v>17184</v>
      </c>
      <c r="F2402">
        <v>0</v>
      </c>
    </row>
    <row r="2403" spans="1:6" x14ac:dyDescent="0.3">
      <c r="A2403" t="s">
        <v>2450</v>
      </c>
      <c r="B2403" t="s">
        <v>42</v>
      </c>
      <c r="C2403">
        <v>2007</v>
      </c>
      <c r="D2403" t="s">
        <v>9</v>
      </c>
      <c r="E2403">
        <v>125</v>
      </c>
      <c r="F2403">
        <v>0</v>
      </c>
    </row>
    <row r="2404" spans="1:6" x14ac:dyDescent="0.3">
      <c r="A2404" t="s">
        <v>2451</v>
      </c>
      <c r="B2404" t="s">
        <v>42</v>
      </c>
      <c r="C2404">
        <v>2008</v>
      </c>
      <c r="D2404" t="s">
        <v>7</v>
      </c>
      <c r="E2404">
        <v>800000</v>
      </c>
      <c r="F2404">
        <v>0</v>
      </c>
    </row>
    <row r="2405" spans="1:6" x14ac:dyDescent="0.3">
      <c r="A2405" t="s">
        <v>2452</v>
      </c>
      <c r="B2405" t="s">
        <v>42</v>
      </c>
      <c r="C2405">
        <v>2009</v>
      </c>
      <c r="D2405" t="s">
        <v>9</v>
      </c>
      <c r="E2405">
        <v>15000</v>
      </c>
      <c r="F2405">
        <v>1000</v>
      </c>
    </row>
    <row r="2406" spans="1:6" x14ac:dyDescent="0.3">
      <c r="A2406" t="s">
        <v>2453</v>
      </c>
      <c r="B2406" t="s">
        <v>42</v>
      </c>
      <c r="C2406">
        <v>2010</v>
      </c>
      <c r="D2406" t="s">
        <v>14</v>
      </c>
      <c r="E2406">
        <v>7840</v>
      </c>
      <c r="F2406">
        <v>1500</v>
      </c>
    </row>
    <row r="2407" spans="1:6" x14ac:dyDescent="0.3">
      <c r="A2407" t="s">
        <v>2454</v>
      </c>
      <c r="B2407" t="s">
        <v>42</v>
      </c>
      <c r="C2407">
        <v>2010</v>
      </c>
      <c r="D2407" t="s">
        <v>9</v>
      </c>
      <c r="E2407">
        <v>1914</v>
      </c>
      <c r="F2407">
        <v>0</v>
      </c>
    </row>
    <row r="2408" spans="1:6" x14ac:dyDescent="0.3">
      <c r="A2408" t="s">
        <v>2455</v>
      </c>
      <c r="B2408" t="s">
        <v>42</v>
      </c>
      <c r="C2408">
        <v>2010</v>
      </c>
      <c r="D2408" t="s">
        <v>9</v>
      </c>
      <c r="E2408">
        <v>6708</v>
      </c>
      <c r="F2408">
        <v>204000</v>
      </c>
    </row>
    <row r="2409" spans="1:6" x14ac:dyDescent="0.3">
      <c r="A2409" t="s">
        <v>2456</v>
      </c>
      <c r="B2409" t="s">
        <v>42</v>
      </c>
      <c r="C2409">
        <v>2011</v>
      </c>
      <c r="D2409" t="s">
        <v>14</v>
      </c>
      <c r="E2409">
        <v>0</v>
      </c>
      <c r="F2409">
        <v>0</v>
      </c>
    </row>
    <row r="2410" spans="1:6" x14ac:dyDescent="0.3">
      <c r="A2410" t="s">
        <v>2457</v>
      </c>
      <c r="B2410" t="s">
        <v>42</v>
      </c>
      <c r="C2410">
        <v>2011</v>
      </c>
      <c r="D2410" t="s">
        <v>9</v>
      </c>
      <c r="E2410">
        <v>2130</v>
      </c>
      <c r="F2410">
        <v>0</v>
      </c>
    </row>
    <row r="2411" spans="1:6" x14ac:dyDescent="0.3">
      <c r="A2411" t="s">
        <v>2458</v>
      </c>
      <c r="B2411" t="s">
        <v>42</v>
      </c>
      <c r="C2411">
        <v>2012</v>
      </c>
      <c r="D2411" t="s">
        <v>14</v>
      </c>
      <c r="E2411">
        <v>2531</v>
      </c>
      <c r="F2411">
        <v>0</v>
      </c>
    </row>
    <row r="2412" spans="1:6" x14ac:dyDescent="0.3">
      <c r="A2412" t="s">
        <v>2459</v>
      </c>
      <c r="B2412" t="s">
        <v>42</v>
      </c>
      <c r="C2412">
        <v>2012</v>
      </c>
      <c r="D2412" t="s">
        <v>9</v>
      </c>
      <c r="E2412">
        <v>5556</v>
      </c>
      <c r="F2412">
        <v>760</v>
      </c>
    </row>
    <row r="2413" spans="1:6" x14ac:dyDescent="0.3">
      <c r="A2413" t="s">
        <v>2460</v>
      </c>
      <c r="B2413" t="s">
        <v>42</v>
      </c>
      <c r="C2413">
        <v>2014</v>
      </c>
      <c r="D2413" t="s">
        <v>9</v>
      </c>
      <c r="E2413">
        <v>7438</v>
      </c>
      <c r="F2413">
        <v>2000</v>
      </c>
    </row>
    <row r="2414" spans="1:6" x14ac:dyDescent="0.3">
      <c r="A2414" t="s">
        <v>2461</v>
      </c>
      <c r="B2414" t="s">
        <v>42</v>
      </c>
      <c r="C2414">
        <v>2014</v>
      </c>
      <c r="D2414" t="s">
        <v>9</v>
      </c>
      <c r="E2414">
        <v>5785</v>
      </c>
      <c r="F2414">
        <v>0</v>
      </c>
    </row>
    <row r="2415" spans="1:6" x14ac:dyDescent="0.3">
      <c r="A2415" t="s">
        <v>2462</v>
      </c>
      <c r="B2415" t="s">
        <v>42</v>
      </c>
      <c r="C2415">
        <v>2015</v>
      </c>
      <c r="D2415" t="s">
        <v>14</v>
      </c>
      <c r="E2415">
        <v>7976</v>
      </c>
      <c r="F2415">
        <v>5000</v>
      </c>
    </row>
    <row r="2416" spans="1:6" x14ac:dyDescent="0.3">
      <c r="A2416" t="s">
        <v>2463</v>
      </c>
      <c r="B2416" t="s">
        <v>42</v>
      </c>
      <c r="C2416">
        <v>2015</v>
      </c>
      <c r="D2416" t="s">
        <v>9</v>
      </c>
      <c r="E2416">
        <v>5401</v>
      </c>
      <c r="F2416">
        <v>0</v>
      </c>
    </row>
    <row r="2417" spans="1:6" x14ac:dyDescent="0.3">
      <c r="A2417" t="s">
        <v>2464</v>
      </c>
      <c r="B2417" t="s">
        <v>42</v>
      </c>
      <c r="C2417">
        <v>2015</v>
      </c>
      <c r="D2417" t="s">
        <v>9</v>
      </c>
      <c r="E2417">
        <v>5401</v>
      </c>
      <c r="F2417">
        <v>0</v>
      </c>
    </row>
    <row r="2418" spans="1:6" x14ac:dyDescent="0.3">
      <c r="A2418" t="s">
        <v>2465</v>
      </c>
      <c r="B2418" t="s">
        <v>42</v>
      </c>
      <c r="C2418">
        <v>2016</v>
      </c>
      <c r="D2418" t="s">
        <v>14</v>
      </c>
      <c r="E2418">
        <v>155</v>
      </c>
      <c r="F2418">
        <v>0</v>
      </c>
    </row>
    <row r="2419" spans="1:6" x14ac:dyDescent="0.3">
      <c r="A2419" t="s">
        <v>2466</v>
      </c>
      <c r="B2419" t="s">
        <v>42</v>
      </c>
      <c r="C2419">
        <v>2016</v>
      </c>
      <c r="D2419" t="s">
        <v>9</v>
      </c>
      <c r="E2419">
        <v>12750</v>
      </c>
      <c r="F2419">
        <v>0</v>
      </c>
    </row>
    <row r="2420" spans="1:6" x14ac:dyDescent="0.3">
      <c r="A2420" t="s">
        <v>2467</v>
      </c>
      <c r="B2420" t="s">
        <v>42</v>
      </c>
      <c r="C2420">
        <v>2017</v>
      </c>
      <c r="D2420" t="s">
        <v>9</v>
      </c>
      <c r="E2420">
        <v>700</v>
      </c>
      <c r="F2420">
        <v>0</v>
      </c>
    </row>
    <row r="2421" spans="1:6" x14ac:dyDescent="0.3">
      <c r="A2421" t="s">
        <v>2468</v>
      </c>
      <c r="B2421" t="s">
        <v>42</v>
      </c>
      <c r="C2421">
        <v>2018</v>
      </c>
      <c r="D2421" t="s">
        <v>9</v>
      </c>
      <c r="E2421">
        <v>5725</v>
      </c>
      <c r="F2421">
        <v>0</v>
      </c>
    </row>
    <row r="2422" spans="1:6" x14ac:dyDescent="0.3">
      <c r="A2422" t="s">
        <v>2469</v>
      </c>
      <c r="B2422" t="s">
        <v>42</v>
      </c>
      <c r="C2422">
        <v>2019</v>
      </c>
      <c r="D2422" t="s">
        <v>9</v>
      </c>
      <c r="E2422">
        <v>6750</v>
      </c>
      <c r="F2422">
        <v>0</v>
      </c>
    </row>
    <row r="2423" spans="1:6" x14ac:dyDescent="0.3">
      <c r="A2423" t="s">
        <v>2470</v>
      </c>
      <c r="B2423" t="s">
        <v>42</v>
      </c>
      <c r="C2423">
        <v>2020</v>
      </c>
      <c r="D2423" t="s">
        <v>9</v>
      </c>
      <c r="E2423">
        <v>2690</v>
      </c>
      <c r="F2423">
        <v>0</v>
      </c>
    </row>
    <row r="2424" spans="1:6" x14ac:dyDescent="0.3">
      <c r="A2424" t="s">
        <v>2471</v>
      </c>
      <c r="B2424" t="s">
        <v>42</v>
      </c>
      <c r="C2424">
        <v>2021</v>
      </c>
      <c r="D2424" t="s">
        <v>14</v>
      </c>
      <c r="E2424">
        <v>100</v>
      </c>
      <c r="F2424">
        <v>0</v>
      </c>
    </row>
    <row r="2425" spans="1:6" x14ac:dyDescent="0.3">
      <c r="A2425" t="s">
        <v>2472</v>
      </c>
      <c r="B2425" t="s">
        <v>42</v>
      </c>
      <c r="C2425">
        <v>2021</v>
      </c>
      <c r="D2425" t="s">
        <v>9</v>
      </c>
      <c r="E2425">
        <v>25010</v>
      </c>
      <c r="F2425">
        <v>9000</v>
      </c>
    </row>
    <row r="2426" spans="1:6" x14ac:dyDescent="0.3">
      <c r="A2426" t="s">
        <v>2473</v>
      </c>
      <c r="B2426" t="s">
        <v>42</v>
      </c>
      <c r="C2426">
        <v>2023</v>
      </c>
      <c r="D2426" t="s">
        <v>14</v>
      </c>
      <c r="E2426">
        <v>2205</v>
      </c>
      <c r="F2426">
        <v>0</v>
      </c>
    </row>
    <row r="2427" spans="1:6" x14ac:dyDescent="0.3">
      <c r="A2427" t="s">
        <v>2474</v>
      </c>
      <c r="B2427" t="s">
        <v>42</v>
      </c>
      <c r="C2427">
        <v>2023</v>
      </c>
      <c r="D2427" t="s">
        <v>9</v>
      </c>
      <c r="E2427">
        <v>0</v>
      </c>
      <c r="F2427">
        <v>0</v>
      </c>
    </row>
    <row r="2428" spans="1:6" x14ac:dyDescent="0.3">
      <c r="A2428" t="s">
        <v>2475</v>
      </c>
      <c r="B2428" t="s">
        <v>42</v>
      </c>
      <c r="C2428">
        <v>2024</v>
      </c>
      <c r="D2428" t="s">
        <v>9</v>
      </c>
      <c r="E2428">
        <v>40</v>
      </c>
      <c r="F2428">
        <v>0</v>
      </c>
    </row>
    <row r="2429" spans="1:6" x14ac:dyDescent="0.3">
      <c r="A2429" t="s">
        <v>2476</v>
      </c>
      <c r="B2429" t="s">
        <v>43</v>
      </c>
      <c r="C2429">
        <v>2001</v>
      </c>
      <c r="D2429" t="s">
        <v>9</v>
      </c>
      <c r="E2429">
        <v>175</v>
      </c>
      <c r="F2429">
        <v>0</v>
      </c>
    </row>
    <row r="2430" spans="1:6" x14ac:dyDescent="0.3">
      <c r="A2430" t="s">
        <v>2477</v>
      </c>
      <c r="B2430" t="s">
        <v>43</v>
      </c>
      <c r="C2430">
        <v>2001</v>
      </c>
      <c r="D2430" t="s">
        <v>9</v>
      </c>
      <c r="E2430">
        <v>1570270</v>
      </c>
      <c r="F2430">
        <v>84000</v>
      </c>
    </row>
    <row r="2431" spans="1:6" x14ac:dyDescent="0.3">
      <c r="A2431" t="s">
        <v>2478</v>
      </c>
      <c r="B2431" t="s">
        <v>43</v>
      </c>
      <c r="C2431">
        <v>2001</v>
      </c>
      <c r="D2431" t="s">
        <v>9</v>
      </c>
      <c r="E2431">
        <v>35006</v>
      </c>
      <c r="F2431">
        <v>4700</v>
      </c>
    </row>
    <row r="2432" spans="1:6" x14ac:dyDescent="0.3">
      <c r="A2432" t="s">
        <v>2479</v>
      </c>
      <c r="B2432" t="s">
        <v>43</v>
      </c>
      <c r="C2432">
        <v>2001</v>
      </c>
      <c r="D2432" t="s">
        <v>9</v>
      </c>
      <c r="E2432">
        <v>3000</v>
      </c>
      <c r="F2432">
        <v>0</v>
      </c>
    </row>
    <row r="2433" spans="1:6" x14ac:dyDescent="0.3">
      <c r="A2433" t="s">
        <v>2480</v>
      </c>
      <c r="B2433" t="s">
        <v>43</v>
      </c>
      <c r="C2433">
        <v>2001</v>
      </c>
      <c r="D2433" t="s">
        <v>2689</v>
      </c>
      <c r="E2433">
        <v>117453</v>
      </c>
      <c r="F2433">
        <v>25000</v>
      </c>
    </row>
    <row r="2434" spans="1:6" x14ac:dyDescent="0.3">
      <c r="A2434" t="s">
        <v>2481</v>
      </c>
      <c r="B2434" t="s">
        <v>43</v>
      </c>
      <c r="C2434">
        <v>2001</v>
      </c>
      <c r="D2434" t="s">
        <v>2689</v>
      </c>
      <c r="E2434">
        <v>10003</v>
      </c>
      <c r="F2434">
        <v>3200</v>
      </c>
    </row>
    <row r="2435" spans="1:6" x14ac:dyDescent="0.3">
      <c r="A2435" t="s">
        <v>2482</v>
      </c>
      <c r="B2435" t="s">
        <v>43</v>
      </c>
      <c r="C2435">
        <v>2001</v>
      </c>
      <c r="D2435" t="s">
        <v>2689</v>
      </c>
      <c r="E2435">
        <v>73183</v>
      </c>
      <c r="F2435">
        <v>55000</v>
      </c>
    </row>
    <row r="2436" spans="1:6" x14ac:dyDescent="0.3">
      <c r="A2436" t="s">
        <v>2483</v>
      </c>
      <c r="B2436" t="s">
        <v>43</v>
      </c>
      <c r="C2436">
        <v>2002</v>
      </c>
      <c r="D2436" t="s">
        <v>7</v>
      </c>
      <c r="E2436">
        <v>1300000</v>
      </c>
      <c r="F2436">
        <v>200000</v>
      </c>
    </row>
    <row r="2437" spans="1:6" x14ac:dyDescent="0.3">
      <c r="A2437" t="s">
        <v>2484</v>
      </c>
      <c r="B2437" t="s">
        <v>43</v>
      </c>
      <c r="C2437">
        <v>2002</v>
      </c>
      <c r="D2437" t="s">
        <v>9</v>
      </c>
      <c r="E2437">
        <v>2000</v>
      </c>
      <c r="F2437">
        <v>2200</v>
      </c>
    </row>
    <row r="2438" spans="1:6" x14ac:dyDescent="0.3">
      <c r="A2438" t="s">
        <v>2485</v>
      </c>
      <c r="B2438" t="s">
        <v>43</v>
      </c>
      <c r="C2438">
        <v>2002</v>
      </c>
      <c r="D2438" t="s">
        <v>9</v>
      </c>
      <c r="E2438">
        <v>1138200</v>
      </c>
      <c r="F2438">
        <v>23900</v>
      </c>
    </row>
    <row r="2439" spans="1:6" x14ac:dyDescent="0.3">
      <c r="A2439" t="s">
        <v>2486</v>
      </c>
      <c r="B2439" t="s">
        <v>43</v>
      </c>
      <c r="C2439">
        <v>2002</v>
      </c>
      <c r="D2439" t="s">
        <v>9</v>
      </c>
      <c r="E2439">
        <v>291616</v>
      </c>
      <c r="F2439">
        <v>58000</v>
      </c>
    </row>
    <row r="2440" spans="1:6" x14ac:dyDescent="0.3">
      <c r="A2440" t="s">
        <v>2487</v>
      </c>
      <c r="B2440" t="s">
        <v>43</v>
      </c>
      <c r="C2440">
        <v>2002</v>
      </c>
      <c r="D2440" t="s">
        <v>2689</v>
      </c>
      <c r="E2440">
        <v>1800</v>
      </c>
      <c r="F2440">
        <v>100</v>
      </c>
    </row>
    <row r="2441" spans="1:6" x14ac:dyDescent="0.3">
      <c r="A2441" t="s">
        <v>2488</v>
      </c>
      <c r="B2441" t="s">
        <v>43</v>
      </c>
      <c r="C2441">
        <v>2003</v>
      </c>
      <c r="D2441" t="s">
        <v>9</v>
      </c>
      <c r="E2441">
        <v>221774</v>
      </c>
      <c r="F2441">
        <v>32000</v>
      </c>
    </row>
    <row r="2442" spans="1:6" x14ac:dyDescent="0.3">
      <c r="A2442" t="s">
        <v>2489</v>
      </c>
      <c r="B2442" t="s">
        <v>43</v>
      </c>
      <c r="C2442">
        <v>2003</v>
      </c>
      <c r="D2442" t="s">
        <v>9</v>
      </c>
      <c r="E2442">
        <v>194049</v>
      </c>
      <c r="F2442">
        <v>35000</v>
      </c>
    </row>
    <row r="2443" spans="1:6" x14ac:dyDescent="0.3">
      <c r="A2443" t="s">
        <v>2490</v>
      </c>
      <c r="B2443" t="s">
        <v>43</v>
      </c>
      <c r="C2443">
        <v>2003</v>
      </c>
      <c r="D2443" t="s">
        <v>9</v>
      </c>
      <c r="E2443">
        <v>1000</v>
      </c>
      <c r="F2443">
        <v>38000</v>
      </c>
    </row>
    <row r="2444" spans="1:6" x14ac:dyDescent="0.3">
      <c r="A2444" t="s">
        <v>2491</v>
      </c>
      <c r="B2444" t="s">
        <v>43</v>
      </c>
      <c r="C2444">
        <v>2003</v>
      </c>
      <c r="D2444" t="s">
        <v>2689</v>
      </c>
      <c r="E2444">
        <v>5018</v>
      </c>
      <c r="F2444">
        <v>0</v>
      </c>
    </row>
    <row r="2445" spans="1:6" x14ac:dyDescent="0.3">
      <c r="A2445" t="s">
        <v>2492</v>
      </c>
      <c r="B2445" t="s">
        <v>43</v>
      </c>
      <c r="C2445">
        <v>2004</v>
      </c>
      <c r="D2445" t="s">
        <v>9</v>
      </c>
      <c r="E2445">
        <v>5000</v>
      </c>
      <c r="F2445">
        <v>0</v>
      </c>
    </row>
    <row r="2446" spans="1:6" x14ac:dyDescent="0.3">
      <c r="A2446" t="s">
        <v>2493</v>
      </c>
      <c r="B2446" t="s">
        <v>43</v>
      </c>
      <c r="C2446">
        <v>2004</v>
      </c>
      <c r="D2446" t="s">
        <v>9</v>
      </c>
      <c r="E2446">
        <v>18</v>
      </c>
      <c r="F2446">
        <v>8000</v>
      </c>
    </row>
    <row r="2447" spans="1:6" x14ac:dyDescent="0.3">
      <c r="A2447" t="s">
        <v>2494</v>
      </c>
      <c r="B2447" t="s">
        <v>43</v>
      </c>
      <c r="C2447">
        <v>2004</v>
      </c>
      <c r="D2447" t="s">
        <v>9</v>
      </c>
      <c r="E2447">
        <v>30000</v>
      </c>
      <c r="F2447">
        <v>0</v>
      </c>
    </row>
    <row r="2448" spans="1:6" x14ac:dyDescent="0.3">
      <c r="A2448" t="s">
        <v>2495</v>
      </c>
      <c r="B2448" t="s">
        <v>43</v>
      </c>
      <c r="C2448">
        <v>2004</v>
      </c>
      <c r="D2448" t="s">
        <v>2689</v>
      </c>
      <c r="E2448">
        <v>905</v>
      </c>
      <c r="F2448">
        <v>7000</v>
      </c>
    </row>
    <row r="2449" spans="1:6" x14ac:dyDescent="0.3">
      <c r="A2449" t="s">
        <v>2496</v>
      </c>
      <c r="B2449" t="s">
        <v>43</v>
      </c>
      <c r="C2449">
        <v>2004</v>
      </c>
      <c r="D2449" t="s">
        <v>2689</v>
      </c>
      <c r="E2449">
        <v>500000</v>
      </c>
      <c r="F2449">
        <v>23000</v>
      </c>
    </row>
    <row r="2450" spans="1:6" x14ac:dyDescent="0.3">
      <c r="A2450" t="s">
        <v>2497</v>
      </c>
      <c r="B2450" t="s">
        <v>43</v>
      </c>
      <c r="C2450">
        <v>2005</v>
      </c>
      <c r="D2450" t="s">
        <v>7</v>
      </c>
      <c r="E2450">
        <v>410000</v>
      </c>
      <c r="F2450">
        <v>42120</v>
      </c>
    </row>
    <row r="2451" spans="1:6" x14ac:dyDescent="0.3">
      <c r="A2451" t="s">
        <v>2498</v>
      </c>
      <c r="B2451" t="s">
        <v>43</v>
      </c>
      <c r="C2451">
        <v>2005</v>
      </c>
      <c r="D2451" t="s">
        <v>9</v>
      </c>
      <c r="E2451">
        <v>593</v>
      </c>
      <c r="F2451">
        <v>0</v>
      </c>
    </row>
    <row r="2452" spans="1:6" x14ac:dyDescent="0.3">
      <c r="A2452" t="s">
        <v>2499</v>
      </c>
      <c r="B2452" t="s">
        <v>43</v>
      </c>
      <c r="C2452">
        <v>2005</v>
      </c>
      <c r="D2452" t="s">
        <v>9</v>
      </c>
      <c r="E2452">
        <v>10000</v>
      </c>
      <c r="F2452">
        <v>15000</v>
      </c>
    </row>
    <row r="2453" spans="1:6" x14ac:dyDescent="0.3">
      <c r="A2453" t="s">
        <v>2500</v>
      </c>
      <c r="B2453" t="s">
        <v>43</v>
      </c>
      <c r="C2453">
        <v>2005</v>
      </c>
      <c r="D2453" t="s">
        <v>9</v>
      </c>
      <c r="E2453">
        <v>33800</v>
      </c>
      <c r="F2453">
        <v>12000</v>
      </c>
    </row>
    <row r="2454" spans="1:6" x14ac:dyDescent="0.3">
      <c r="A2454" t="s">
        <v>2501</v>
      </c>
      <c r="B2454" t="s">
        <v>43</v>
      </c>
      <c r="C2454">
        <v>2005</v>
      </c>
      <c r="D2454" t="s">
        <v>9</v>
      </c>
      <c r="E2454">
        <v>18000</v>
      </c>
      <c r="F2454">
        <v>27000</v>
      </c>
    </row>
    <row r="2455" spans="1:6" x14ac:dyDescent="0.3">
      <c r="A2455" t="s">
        <v>2502</v>
      </c>
      <c r="B2455" t="s">
        <v>43</v>
      </c>
      <c r="C2455">
        <v>2005</v>
      </c>
      <c r="D2455" t="s">
        <v>9</v>
      </c>
      <c r="E2455">
        <v>30000</v>
      </c>
      <c r="F2455">
        <v>0</v>
      </c>
    </row>
    <row r="2456" spans="1:6" x14ac:dyDescent="0.3">
      <c r="A2456" t="s">
        <v>2503</v>
      </c>
      <c r="B2456" t="s">
        <v>43</v>
      </c>
      <c r="C2456">
        <v>2005</v>
      </c>
      <c r="D2456" t="s">
        <v>2689</v>
      </c>
      <c r="E2456">
        <v>6500</v>
      </c>
      <c r="F2456">
        <v>0</v>
      </c>
    </row>
    <row r="2457" spans="1:6" x14ac:dyDescent="0.3">
      <c r="A2457" t="s">
        <v>2504</v>
      </c>
      <c r="B2457" t="s">
        <v>43</v>
      </c>
      <c r="C2457">
        <v>2005</v>
      </c>
      <c r="D2457" t="s">
        <v>2689</v>
      </c>
      <c r="E2457">
        <v>8500</v>
      </c>
      <c r="F2457">
        <v>20000</v>
      </c>
    </row>
    <row r="2458" spans="1:6" x14ac:dyDescent="0.3">
      <c r="A2458" t="s">
        <v>2505</v>
      </c>
      <c r="B2458" t="s">
        <v>43</v>
      </c>
      <c r="C2458">
        <v>2005</v>
      </c>
      <c r="D2458" t="s">
        <v>2689</v>
      </c>
      <c r="E2458">
        <v>337660</v>
      </c>
      <c r="F2458">
        <v>219250</v>
      </c>
    </row>
    <row r="2459" spans="1:6" x14ac:dyDescent="0.3">
      <c r="A2459" t="s">
        <v>2506</v>
      </c>
      <c r="B2459" t="s">
        <v>43</v>
      </c>
      <c r="C2459">
        <v>2005</v>
      </c>
      <c r="D2459" t="s">
        <v>2689</v>
      </c>
      <c r="E2459">
        <v>15000</v>
      </c>
      <c r="F2459">
        <v>11000</v>
      </c>
    </row>
    <row r="2460" spans="1:6" x14ac:dyDescent="0.3">
      <c r="A2460" t="s">
        <v>2507</v>
      </c>
      <c r="B2460" t="s">
        <v>43</v>
      </c>
      <c r="C2460">
        <v>2006</v>
      </c>
      <c r="D2460" t="s">
        <v>9</v>
      </c>
      <c r="E2460">
        <v>100</v>
      </c>
      <c r="F2460">
        <v>1000</v>
      </c>
    </row>
    <row r="2461" spans="1:6" x14ac:dyDescent="0.3">
      <c r="A2461" t="s">
        <v>2508</v>
      </c>
      <c r="B2461" t="s">
        <v>43</v>
      </c>
      <c r="C2461">
        <v>2006</v>
      </c>
      <c r="D2461" t="s">
        <v>9</v>
      </c>
      <c r="E2461">
        <v>2000</v>
      </c>
      <c r="F2461">
        <v>0</v>
      </c>
    </row>
    <row r="2462" spans="1:6" x14ac:dyDescent="0.3">
      <c r="A2462" t="s">
        <v>2509</v>
      </c>
      <c r="B2462" t="s">
        <v>43</v>
      </c>
      <c r="C2462">
        <v>2006</v>
      </c>
      <c r="D2462" t="s">
        <v>9</v>
      </c>
      <c r="E2462">
        <v>50020</v>
      </c>
      <c r="F2462">
        <v>8000</v>
      </c>
    </row>
    <row r="2463" spans="1:6" x14ac:dyDescent="0.3">
      <c r="A2463" t="s">
        <v>2510</v>
      </c>
      <c r="B2463" t="s">
        <v>43</v>
      </c>
      <c r="C2463">
        <v>2006</v>
      </c>
      <c r="D2463" t="s">
        <v>9</v>
      </c>
      <c r="E2463">
        <v>0</v>
      </c>
      <c r="F2463">
        <v>0</v>
      </c>
    </row>
    <row r="2464" spans="1:6" x14ac:dyDescent="0.3">
      <c r="A2464" t="s">
        <v>2511</v>
      </c>
      <c r="B2464" t="s">
        <v>43</v>
      </c>
      <c r="C2464">
        <v>2006</v>
      </c>
      <c r="D2464" t="s">
        <v>9</v>
      </c>
      <c r="E2464">
        <v>0</v>
      </c>
      <c r="F2464">
        <v>0</v>
      </c>
    </row>
    <row r="2465" spans="1:6" x14ac:dyDescent="0.3">
      <c r="A2465" t="s">
        <v>2512</v>
      </c>
      <c r="B2465" t="s">
        <v>43</v>
      </c>
      <c r="C2465">
        <v>2006</v>
      </c>
      <c r="D2465" t="s">
        <v>2689</v>
      </c>
      <c r="E2465">
        <v>1005</v>
      </c>
      <c r="F2465">
        <v>0</v>
      </c>
    </row>
    <row r="2466" spans="1:6" x14ac:dyDescent="0.3">
      <c r="A2466" t="s">
        <v>2513</v>
      </c>
      <c r="B2466" t="s">
        <v>43</v>
      </c>
      <c r="C2466">
        <v>2006</v>
      </c>
      <c r="D2466" t="s">
        <v>2689</v>
      </c>
      <c r="E2466">
        <v>600000</v>
      </c>
      <c r="F2466">
        <v>0</v>
      </c>
    </row>
    <row r="2467" spans="1:6" x14ac:dyDescent="0.3">
      <c r="A2467" t="s">
        <v>2514</v>
      </c>
      <c r="B2467" t="s">
        <v>43</v>
      </c>
      <c r="C2467">
        <v>2006</v>
      </c>
      <c r="D2467" t="s">
        <v>2689</v>
      </c>
      <c r="E2467">
        <v>2000</v>
      </c>
      <c r="F2467">
        <v>0</v>
      </c>
    </row>
    <row r="2468" spans="1:6" x14ac:dyDescent="0.3">
      <c r="A2468" t="s">
        <v>2515</v>
      </c>
      <c r="B2468" t="s">
        <v>43</v>
      </c>
      <c r="C2468">
        <v>2006</v>
      </c>
      <c r="D2468" t="s">
        <v>2689</v>
      </c>
      <c r="E2468">
        <v>1467925</v>
      </c>
      <c r="F2468">
        <v>624000</v>
      </c>
    </row>
    <row r="2469" spans="1:6" x14ac:dyDescent="0.3">
      <c r="A2469" t="s">
        <v>2516</v>
      </c>
      <c r="B2469" t="s">
        <v>43</v>
      </c>
      <c r="C2469">
        <v>2006</v>
      </c>
      <c r="D2469" t="s">
        <v>2689</v>
      </c>
      <c r="E2469">
        <v>1226360</v>
      </c>
      <c r="F2469">
        <v>456000</v>
      </c>
    </row>
    <row r="2470" spans="1:6" x14ac:dyDescent="0.3">
      <c r="A2470" t="s">
        <v>2517</v>
      </c>
      <c r="B2470" t="s">
        <v>43</v>
      </c>
      <c r="C2470">
        <v>2006</v>
      </c>
      <c r="D2470" t="s">
        <v>2689</v>
      </c>
      <c r="E2470">
        <v>0</v>
      </c>
      <c r="F2470">
        <v>10000</v>
      </c>
    </row>
    <row r="2471" spans="1:6" x14ac:dyDescent="0.3">
      <c r="A2471" t="s">
        <v>2518</v>
      </c>
      <c r="B2471" t="s">
        <v>43</v>
      </c>
      <c r="C2471">
        <v>2007</v>
      </c>
      <c r="D2471" t="s">
        <v>9</v>
      </c>
      <c r="E2471">
        <v>416130</v>
      </c>
      <c r="F2471">
        <v>130000</v>
      </c>
    </row>
    <row r="2472" spans="1:6" x14ac:dyDescent="0.3">
      <c r="A2472" t="s">
        <v>2519</v>
      </c>
      <c r="B2472" t="s">
        <v>43</v>
      </c>
      <c r="C2472">
        <v>2007</v>
      </c>
      <c r="D2472" t="s">
        <v>9</v>
      </c>
      <c r="E2472">
        <v>22000</v>
      </c>
      <c r="F2472">
        <v>10000</v>
      </c>
    </row>
    <row r="2473" spans="1:6" x14ac:dyDescent="0.3">
      <c r="A2473" t="s">
        <v>2520</v>
      </c>
      <c r="B2473" t="s">
        <v>43</v>
      </c>
      <c r="C2473">
        <v>2007</v>
      </c>
      <c r="D2473" t="s">
        <v>9</v>
      </c>
      <c r="E2473">
        <v>94042</v>
      </c>
      <c r="F2473">
        <v>300000</v>
      </c>
    </row>
    <row r="2474" spans="1:6" x14ac:dyDescent="0.3">
      <c r="A2474" t="s">
        <v>2521</v>
      </c>
      <c r="B2474" t="s">
        <v>43</v>
      </c>
      <c r="C2474">
        <v>2007</v>
      </c>
      <c r="D2474" t="s">
        <v>9</v>
      </c>
      <c r="E2474">
        <v>280000</v>
      </c>
      <c r="F2474">
        <v>0</v>
      </c>
    </row>
    <row r="2475" spans="1:6" x14ac:dyDescent="0.3">
      <c r="A2475" t="s">
        <v>2522</v>
      </c>
      <c r="B2475" t="s">
        <v>43</v>
      </c>
      <c r="C2475">
        <v>2007</v>
      </c>
      <c r="D2475" t="s">
        <v>9</v>
      </c>
      <c r="E2475">
        <v>150000</v>
      </c>
      <c r="F2475">
        <v>350000</v>
      </c>
    </row>
    <row r="2476" spans="1:6" x14ac:dyDescent="0.3">
      <c r="A2476" t="s">
        <v>2523</v>
      </c>
      <c r="B2476" t="s">
        <v>43</v>
      </c>
      <c r="C2476">
        <v>2007</v>
      </c>
      <c r="D2476" t="s">
        <v>2689</v>
      </c>
      <c r="E2476">
        <v>685430</v>
      </c>
      <c r="F2476">
        <v>191000</v>
      </c>
    </row>
    <row r="2477" spans="1:6" x14ac:dyDescent="0.3">
      <c r="A2477" t="s">
        <v>2524</v>
      </c>
      <c r="B2477" t="s">
        <v>43</v>
      </c>
      <c r="C2477">
        <v>2008</v>
      </c>
      <c r="D2477" t="s">
        <v>9</v>
      </c>
      <c r="E2477">
        <v>500</v>
      </c>
      <c r="F2477">
        <v>0</v>
      </c>
    </row>
    <row r="2478" spans="1:6" x14ac:dyDescent="0.3">
      <c r="A2478" t="s">
        <v>2525</v>
      </c>
      <c r="B2478" t="s">
        <v>43</v>
      </c>
      <c r="C2478">
        <v>2008</v>
      </c>
      <c r="D2478" t="s">
        <v>9</v>
      </c>
      <c r="E2478">
        <v>0</v>
      </c>
      <c r="F2478">
        <v>0</v>
      </c>
    </row>
    <row r="2479" spans="1:6" x14ac:dyDescent="0.3">
      <c r="A2479" t="s">
        <v>2526</v>
      </c>
      <c r="B2479" t="s">
        <v>43</v>
      </c>
      <c r="C2479">
        <v>2008</v>
      </c>
      <c r="D2479" t="s">
        <v>9</v>
      </c>
      <c r="E2479">
        <v>12004</v>
      </c>
      <c r="F2479">
        <v>4000</v>
      </c>
    </row>
    <row r="2480" spans="1:6" x14ac:dyDescent="0.3">
      <c r="A2480" t="s">
        <v>2527</v>
      </c>
      <c r="B2480" t="s">
        <v>43</v>
      </c>
      <c r="C2480">
        <v>2008</v>
      </c>
      <c r="D2480" t="s">
        <v>9</v>
      </c>
      <c r="E2480">
        <v>600000</v>
      </c>
      <c r="F2480">
        <v>479000</v>
      </c>
    </row>
    <row r="2481" spans="1:6" x14ac:dyDescent="0.3">
      <c r="A2481" t="s">
        <v>2528</v>
      </c>
      <c r="B2481" t="s">
        <v>43</v>
      </c>
      <c r="C2481">
        <v>2008</v>
      </c>
      <c r="D2481" t="s">
        <v>9</v>
      </c>
      <c r="E2481">
        <v>20000</v>
      </c>
      <c r="F2481">
        <v>0</v>
      </c>
    </row>
    <row r="2482" spans="1:6" x14ac:dyDescent="0.3">
      <c r="A2482" t="s">
        <v>2529</v>
      </c>
      <c r="B2482" t="s">
        <v>43</v>
      </c>
      <c r="C2482">
        <v>2008</v>
      </c>
      <c r="D2482" t="s">
        <v>2689</v>
      </c>
      <c r="E2482">
        <v>57630</v>
      </c>
      <c r="F2482">
        <v>120000</v>
      </c>
    </row>
    <row r="2483" spans="1:6" x14ac:dyDescent="0.3">
      <c r="A2483" t="s">
        <v>2530</v>
      </c>
      <c r="B2483" t="s">
        <v>43</v>
      </c>
      <c r="C2483">
        <v>2008</v>
      </c>
      <c r="D2483" t="s">
        <v>2689</v>
      </c>
      <c r="E2483">
        <v>58511</v>
      </c>
      <c r="F2483">
        <v>63000</v>
      </c>
    </row>
    <row r="2484" spans="1:6" x14ac:dyDescent="0.3">
      <c r="A2484" t="s">
        <v>2531</v>
      </c>
      <c r="B2484" t="s">
        <v>43</v>
      </c>
      <c r="C2484">
        <v>2008</v>
      </c>
      <c r="D2484" t="s">
        <v>2689</v>
      </c>
      <c r="E2484">
        <v>31680</v>
      </c>
      <c r="F2484">
        <v>6500</v>
      </c>
    </row>
    <row r="2485" spans="1:6" x14ac:dyDescent="0.3">
      <c r="A2485" t="s">
        <v>2532</v>
      </c>
      <c r="B2485" t="s">
        <v>43</v>
      </c>
      <c r="C2485">
        <v>2008</v>
      </c>
      <c r="D2485" t="s">
        <v>2689</v>
      </c>
      <c r="E2485">
        <v>0</v>
      </c>
      <c r="F2485">
        <v>0</v>
      </c>
    </row>
    <row r="2486" spans="1:6" x14ac:dyDescent="0.3">
      <c r="A2486" t="s">
        <v>2533</v>
      </c>
      <c r="B2486" t="s">
        <v>43</v>
      </c>
      <c r="C2486">
        <v>2008</v>
      </c>
      <c r="D2486" t="s">
        <v>2689</v>
      </c>
      <c r="E2486">
        <v>8828</v>
      </c>
      <c r="F2486">
        <v>1000</v>
      </c>
    </row>
    <row r="2487" spans="1:6" x14ac:dyDescent="0.3">
      <c r="A2487" t="s">
        <v>2534</v>
      </c>
      <c r="B2487" t="s">
        <v>43</v>
      </c>
      <c r="C2487">
        <v>2009</v>
      </c>
      <c r="D2487" t="s">
        <v>9</v>
      </c>
      <c r="E2487">
        <v>700000</v>
      </c>
      <c r="F2487">
        <v>0</v>
      </c>
    </row>
    <row r="2488" spans="1:6" x14ac:dyDescent="0.3">
      <c r="A2488" t="s">
        <v>2535</v>
      </c>
      <c r="B2488" t="s">
        <v>43</v>
      </c>
      <c r="C2488">
        <v>2009</v>
      </c>
      <c r="D2488" t="s">
        <v>9</v>
      </c>
      <c r="E2488">
        <v>40000</v>
      </c>
      <c r="F2488">
        <v>0</v>
      </c>
    </row>
    <row r="2489" spans="1:6" x14ac:dyDescent="0.3">
      <c r="A2489" t="s">
        <v>2536</v>
      </c>
      <c r="B2489" t="s">
        <v>43</v>
      </c>
      <c r="C2489">
        <v>2009</v>
      </c>
      <c r="D2489" t="s">
        <v>2689</v>
      </c>
      <c r="E2489">
        <v>2477315</v>
      </c>
      <c r="F2489">
        <v>785000</v>
      </c>
    </row>
    <row r="2490" spans="1:6" x14ac:dyDescent="0.3">
      <c r="A2490" t="s">
        <v>2537</v>
      </c>
      <c r="B2490" t="s">
        <v>43</v>
      </c>
      <c r="C2490">
        <v>2009</v>
      </c>
      <c r="D2490" t="s">
        <v>2689</v>
      </c>
      <c r="E2490">
        <v>0</v>
      </c>
      <c r="F2490">
        <v>200</v>
      </c>
    </row>
    <row r="2491" spans="1:6" x14ac:dyDescent="0.3">
      <c r="A2491" t="s">
        <v>2538</v>
      </c>
      <c r="B2491" t="s">
        <v>43</v>
      </c>
      <c r="C2491">
        <v>2009</v>
      </c>
      <c r="D2491" t="s">
        <v>2689</v>
      </c>
      <c r="E2491">
        <v>500145</v>
      </c>
      <c r="F2491">
        <v>280000</v>
      </c>
    </row>
    <row r="2492" spans="1:6" x14ac:dyDescent="0.3">
      <c r="A2492" t="s">
        <v>2539</v>
      </c>
      <c r="B2492" t="s">
        <v>43</v>
      </c>
      <c r="C2492">
        <v>2010</v>
      </c>
      <c r="D2492" t="s">
        <v>9</v>
      </c>
      <c r="E2492">
        <v>679825</v>
      </c>
      <c r="F2492">
        <v>142500</v>
      </c>
    </row>
    <row r="2493" spans="1:6" x14ac:dyDescent="0.3">
      <c r="A2493" t="s">
        <v>2540</v>
      </c>
      <c r="B2493" t="s">
        <v>43</v>
      </c>
      <c r="C2493">
        <v>2010</v>
      </c>
      <c r="D2493" t="s">
        <v>9</v>
      </c>
      <c r="E2493">
        <v>761000</v>
      </c>
      <c r="F2493">
        <v>154000</v>
      </c>
    </row>
    <row r="2494" spans="1:6" x14ac:dyDescent="0.3">
      <c r="A2494" t="s">
        <v>2541</v>
      </c>
      <c r="B2494" t="s">
        <v>43</v>
      </c>
      <c r="C2494">
        <v>2010</v>
      </c>
      <c r="D2494" t="s">
        <v>9</v>
      </c>
      <c r="E2494">
        <v>39008</v>
      </c>
      <c r="F2494">
        <v>107700</v>
      </c>
    </row>
    <row r="2495" spans="1:6" x14ac:dyDescent="0.3">
      <c r="A2495" t="s">
        <v>2542</v>
      </c>
      <c r="B2495" t="s">
        <v>43</v>
      </c>
      <c r="C2495">
        <v>2010</v>
      </c>
      <c r="D2495" t="s">
        <v>9</v>
      </c>
      <c r="E2495">
        <v>10000</v>
      </c>
      <c r="F2495">
        <v>256000</v>
      </c>
    </row>
    <row r="2496" spans="1:6" x14ac:dyDescent="0.3">
      <c r="A2496" t="s">
        <v>2543</v>
      </c>
      <c r="B2496" t="s">
        <v>43</v>
      </c>
      <c r="C2496">
        <v>2010</v>
      </c>
      <c r="D2496" t="s">
        <v>2689</v>
      </c>
      <c r="E2496">
        <v>1500</v>
      </c>
      <c r="F2496">
        <v>500</v>
      </c>
    </row>
    <row r="2497" spans="1:6" x14ac:dyDescent="0.3">
      <c r="A2497" t="s">
        <v>2544</v>
      </c>
      <c r="B2497" t="s">
        <v>43</v>
      </c>
      <c r="C2497">
        <v>2010</v>
      </c>
      <c r="D2497" t="s">
        <v>2689</v>
      </c>
      <c r="E2497">
        <v>12400</v>
      </c>
      <c r="F2497">
        <v>0</v>
      </c>
    </row>
    <row r="2498" spans="1:6" x14ac:dyDescent="0.3">
      <c r="A2498" t="s">
        <v>2545</v>
      </c>
      <c r="B2498" t="s">
        <v>43</v>
      </c>
      <c r="C2498">
        <v>2010</v>
      </c>
      <c r="D2498" t="s">
        <v>2689</v>
      </c>
      <c r="E2498">
        <v>20700</v>
      </c>
      <c r="F2498">
        <v>44000</v>
      </c>
    </row>
    <row r="2499" spans="1:6" x14ac:dyDescent="0.3">
      <c r="A2499" t="s">
        <v>2546</v>
      </c>
      <c r="B2499" t="s">
        <v>43</v>
      </c>
      <c r="C2499">
        <v>2011</v>
      </c>
      <c r="D2499" t="s">
        <v>9</v>
      </c>
      <c r="E2499">
        <v>300000</v>
      </c>
      <c r="F2499">
        <v>44000</v>
      </c>
    </row>
    <row r="2500" spans="1:6" x14ac:dyDescent="0.3">
      <c r="A2500" t="s">
        <v>2547</v>
      </c>
      <c r="B2500" t="s">
        <v>43</v>
      </c>
      <c r="C2500">
        <v>2011</v>
      </c>
      <c r="D2500" t="s">
        <v>9</v>
      </c>
      <c r="E2500">
        <v>600000</v>
      </c>
      <c r="F2500">
        <v>175002</v>
      </c>
    </row>
    <row r="2501" spans="1:6" x14ac:dyDescent="0.3">
      <c r="A2501" t="s">
        <v>2548</v>
      </c>
      <c r="B2501" t="s">
        <v>43</v>
      </c>
      <c r="C2501">
        <v>2011</v>
      </c>
      <c r="D2501" t="s">
        <v>9</v>
      </c>
      <c r="E2501">
        <v>461584</v>
      </c>
      <c r="F2501">
        <v>0</v>
      </c>
    </row>
    <row r="2502" spans="1:6" x14ac:dyDescent="0.3">
      <c r="A2502" t="s">
        <v>2549</v>
      </c>
      <c r="B2502" t="s">
        <v>43</v>
      </c>
      <c r="C2502">
        <v>2011</v>
      </c>
      <c r="D2502" t="s">
        <v>2689</v>
      </c>
      <c r="E2502">
        <v>63</v>
      </c>
      <c r="F2502">
        <v>0</v>
      </c>
    </row>
    <row r="2503" spans="1:6" x14ac:dyDescent="0.3">
      <c r="A2503" t="s">
        <v>2550</v>
      </c>
      <c r="B2503" t="s">
        <v>43</v>
      </c>
      <c r="C2503">
        <v>2011</v>
      </c>
      <c r="D2503" t="s">
        <v>2689</v>
      </c>
      <c r="E2503">
        <v>0</v>
      </c>
      <c r="F2503">
        <v>0</v>
      </c>
    </row>
    <row r="2504" spans="1:6" x14ac:dyDescent="0.3">
      <c r="A2504" t="s">
        <v>2551</v>
      </c>
      <c r="B2504" t="s">
        <v>43</v>
      </c>
      <c r="C2504">
        <v>2012</v>
      </c>
      <c r="D2504" t="s">
        <v>9</v>
      </c>
      <c r="E2504">
        <v>17540</v>
      </c>
      <c r="F2504">
        <v>30000</v>
      </c>
    </row>
    <row r="2505" spans="1:6" x14ac:dyDescent="0.3">
      <c r="A2505" t="s">
        <v>2552</v>
      </c>
      <c r="B2505" t="s">
        <v>43</v>
      </c>
      <c r="C2505">
        <v>2012</v>
      </c>
      <c r="D2505" t="s">
        <v>2689</v>
      </c>
      <c r="E2505">
        <v>3</v>
      </c>
      <c r="F2505">
        <v>0</v>
      </c>
    </row>
    <row r="2506" spans="1:6" x14ac:dyDescent="0.3">
      <c r="A2506" t="s">
        <v>2553</v>
      </c>
      <c r="B2506" t="s">
        <v>43</v>
      </c>
      <c r="C2506">
        <v>2012</v>
      </c>
      <c r="D2506" t="s">
        <v>2689</v>
      </c>
      <c r="E2506">
        <v>60479</v>
      </c>
      <c r="F2506">
        <v>6800</v>
      </c>
    </row>
    <row r="2507" spans="1:6" x14ac:dyDescent="0.3">
      <c r="A2507" t="s">
        <v>2554</v>
      </c>
      <c r="B2507" t="s">
        <v>43</v>
      </c>
      <c r="C2507">
        <v>2012</v>
      </c>
      <c r="D2507" t="s">
        <v>2689</v>
      </c>
      <c r="E2507">
        <v>278490</v>
      </c>
      <c r="F2507">
        <v>336000</v>
      </c>
    </row>
    <row r="2508" spans="1:6" x14ac:dyDescent="0.3">
      <c r="A2508" t="s">
        <v>2555</v>
      </c>
      <c r="B2508" t="s">
        <v>43</v>
      </c>
      <c r="C2508">
        <v>2013</v>
      </c>
      <c r="D2508" t="s">
        <v>9</v>
      </c>
      <c r="E2508">
        <v>5000</v>
      </c>
      <c r="F2508">
        <v>6500</v>
      </c>
    </row>
    <row r="2509" spans="1:6" x14ac:dyDescent="0.3">
      <c r="A2509" t="s">
        <v>2556</v>
      </c>
      <c r="B2509" t="s">
        <v>43</v>
      </c>
      <c r="C2509">
        <v>2013</v>
      </c>
      <c r="D2509" t="s">
        <v>9</v>
      </c>
      <c r="E2509">
        <v>0</v>
      </c>
      <c r="F2509">
        <v>0</v>
      </c>
    </row>
    <row r="2510" spans="1:6" x14ac:dyDescent="0.3">
      <c r="A2510" t="s">
        <v>2557</v>
      </c>
      <c r="B2510" t="s">
        <v>43</v>
      </c>
      <c r="C2510">
        <v>2013</v>
      </c>
      <c r="D2510" t="s">
        <v>9</v>
      </c>
      <c r="E2510">
        <v>0</v>
      </c>
      <c r="F2510">
        <v>0</v>
      </c>
    </row>
    <row r="2511" spans="1:6" x14ac:dyDescent="0.3">
      <c r="A2511" t="s">
        <v>2558</v>
      </c>
      <c r="B2511" t="s">
        <v>43</v>
      </c>
      <c r="C2511">
        <v>2013</v>
      </c>
      <c r="D2511" t="s">
        <v>9</v>
      </c>
      <c r="E2511">
        <v>1000</v>
      </c>
      <c r="F2511">
        <v>0</v>
      </c>
    </row>
    <row r="2512" spans="1:6" x14ac:dyDescent="0.3">
      <c r="A2512" t="s">
        <v>2559</v>
      </c>
      <c r="B2512" t="s">
        <v>43</v>
      </c>
      <c r="C2512">
        <v>2013</v>
      </c>
      <c r="D2512" t="s">
        <v>9</v>
      </c>
      <c r="E2512">
        <v>25000</v>
      </c>
      <c r="F2512">
        <v>0</v>
      </c>
    </row>
    <row r="2513" spans="1:6" x14ac:dyDescent="0.3">
      <c r="A2513" t="s">
        <v>2560</v>
      </c>
      <c r="B2513" t="s">
        <v>43</v>
      </c>
      <c r="C2513">
        <v>2013</v>
      </c>
      <c r="D2513" t="s">
        <v>9</v>
      </c>
      <c r="E2513">
        <v>2130001</v>
      </c>
      <c r="F2513">
        <v>72000</v>
      </c>
    </row>
    <row r="2514" spans="1:6" x14ac:dyDescent="0.3">
      <c r="A2514" t="s">
        <v>2561</v>
      </c>
      <c r="B2514" t="s">
        <v>43</v>
      </c>
      <c r="C2514">
        <v>2013</v>
      </c>
      <c r="D2514" t="s">
        <v>2689</v>
      </c>
      <c r="E2514">
        <v>5011</v>
      </c>
      <c r="F2514">
        <v>1000</v>
      </c>
    </row>
    <row r="2515" spans="1:6" x14ac:dyDescent="0.3">
      <c r="A2515" t="s">
        <v>2562</v>
      </c>
      <c r="B2515" t="s">
        <v>43</v>
      </c>
      <c r="C2515">
        <v>2013</v>
      </c>
      <c r="D2515" t="s">
        <v>2689</v>
      </c>
      <c r="E2515">
        <v>1835585</v>
      </c>
      <c r="F2515">
        <v>663230</v>
      </c>
    </row>
    <row r="2516" spans="1:6" x14ac:dyDescent="0.3">
      <c r="A2516" t="s">
        <v>2563</v>
      </c>
      <c r="B2516" t="s">
        <v>43</v>
      </c>
      <c r="C2516">
        <v>2013</v>
      </c>
      <c r="D2516" t="s">
        <v>2689</v>
      </c>
      <c r="E2516">
        <v>109754</v>
      </c>
      <c r="F2516">
        <v>76000</v>
      </c>
    </row>
    <row r="2517" spans="1:6" x14ac:dyDescent="0.3">
      <c r="A2517" t="s">
        <v>2564</v>
      </c>
      <c r="B2517" t="s">
        <v>43</v>
      </c>
      <c r="C2517">
        <v>2013</v>
      </c>
      <c r="D2517" t="s">
        <v>2689</v>
      </c>
      <c r="E2517">
        <v>13094</v>
      </c>
      <c r="F2517">
        <v>734000</v>
      </c>
    </row>
    <row r="2518" spans="1:6" x14ac:dyDescent="0.3">
      <c r="A2518" t="s">
        <v>2565</v>
      </c>
      <c r="B2518" t="s">
        <v>43</v>
      </c>
      <c r="C2518">
        <v>2014</v>
      </c>
      <c r="D2518" t="s">
        <v>2689</v>
      </c>
      <c r="E2518">
        <v>36000</v>
      </c>
      <c r="F2518">
        <v>6200</v>
      </c>
    </row>
    <row r="2519" spans="1:6" x14ac:dyDescent="0.3">
      <c r="A2519" t="s">
        <v>2566</v>
      </c>
      <c r="B2519" t="s">
        <v>43</v>
      </c>
      <c r="C2519">
        <v>2014</v>
      </c>
      <c r="D2519" t="s">
        <v>2689</v>
      </c>
      <c r="E2519">
        <v>11325</v>
      </c>
      <c r="F2519">
        <v>4500</v>
      </c>
    </row>
    <row r="2520" spans="1:6" x14ac:dyDescent="0.3">
      <c r="A2520" t="s">
        <v>2567</v>
      </c>
      <c r="B2520" t="s">
        <v>43</v>
      </c>
      <c r="C2520">
        <v>2014</v>
      </c>
      <c r="D2520" t="s">
        <v>2689</v>
      </c>
      <c r="E2520">
        <v>750</v>
      </c>
      <c r="F2520">
        <v>0</v>
      </c>
    </row>
    <row r="2521" spans="1:6" x14ac:dyDescent="0.3">
      <c r="A2521" t="s">
        <v>2568</v>
      </c>
      <c r="B2521" t="s">
        <v>43</v>
      </c>
      <c r="C2521">
        <v>2015</v>
      </c>
      <c r="D2521" t="s">
        <v>7</v>
      </c>
      <c r="E2521">
        <v>1750000</v>
      </c>
      <c r="F2521">
        <v>6750000</v>
      </c>
    </row>
    <row r="2522" spans="1:6" x14ac:dyDescent="0.3">
      <c r="A2522" t="s">
        <v>2569</v>
      </c>
      <c r="B2522" t="s">
        <v>43</v>
      </c>
      <c r="C2522">
        <v>2015</v>
      </c>
      <c r="D2522" t="s">
        <v>9</v>
      </c>
      <c r="E2522">
        <v>15000</v>
      </c>
      <c r="F2522">
        <v>204000</v>
      </c>
    </row>
    <row r="2523" spans="1:6" x14ac:dyDescent="0.3">
      <c r="A2523" t="s">
        <v>2570</v>
      </c>
      <c r="B2523" t="s">
        <v>43</v>
      </c>
      <c r="C2523">
        <v>2015</v>
      </c>
      <c r="D2523" t="s">
        <v>9</v>
      </c>
      <c r="E2523">
        <v>100</v>
      </c>
      <c r="F2523">
        <v>0</v>
      </c>
    </row>
    <row r="2524" spans="1:6" x14ac:dyDescent="0.3">
      <c r="A2524" t="s">
        <v>2571</v>
      </c>
      <c r="B2524" t="s">
        <v>43</v>
      </c>
      <c r="C2524">
        <v>2015</v>
      </c>
      <c r="D2524" t="s">
        <v>2689</v>
      </c>
      <c r="E2524">
        <v>115</v>
      </c>
      <c r="F2524">
        <v>0</v>
      </c>
    </row>
    <row r="2525" spans="1:6" x14ac:dyDescent="0.3">
      <c r="A2525" t="s">
        <v>2572</v>
      </c>
      <c r="B2525" t="s">
        <v>43</v>
      </c>
      <c r="C2525">
        <v>2015</v>
      </c>
      <c r="D2525" t="s">
        <v>2689</v>
      </c>
      <c r="E2525">
        <v>0</v>
      </c>
      <c r="F2525">
        <v>218</v>
      </c>
    </row>
    <row r="2526" spans="1:6" x14ac:dyDescent="0.3">
      <c r="A2526" t="s">
        <v>2573</v>
      </c>
      <c r="B2526" t="s">
        <v>43</v>
      </c>
      <c r="C2526">
        <v>2016</v>
      </c>
      <c r="D2526" t="s">
        <v>9</v>
      </c>
      <c r="E2526">
        <v>659615</v>
      </c>
      <c r="F2526">
        <v>104280</v>
      </c>
    </row>
    <row r="2527" spans="1:6" x14ac:dyDescent="0.3">
      <c r="A2527" t="s">
        <v>2574</v>
      </c>
      <c r="B2527" t="s">
        <v>43</v>
      </c>
      <c r="C2527">
        <v>2016</v>
      </c>
      <c r="D2527" t="s">
        <v>9</v>
      </c>
      <c r="E2527">
        <v>562121</v>
      </c>
      <c r="F2527">
        <v>35000</v>
      </c>
    </row>
    <row r="2528" spans="1:6" x14ac:dyDescent="0.3">
      <c r="A2528" t="s">
        <v>2575</v>
      </c>
      <c r="B2528" t="s">
        <v>43</v>
      </c>
      <c r="C2528">
        <v>2016</v>
      </c>
      <c r="D2528" t="s">
        <v>9</v>
      </c>
      <c r="E2528">
        <v>206340</v>
      </c>
      <c r="F2528">
        <v>22000</v>
      </c>
    </row>
    <row r="2529" spans="1:6" x14ac:dyDescent="0.3">
      <c r="A2529" t="s">
        <v>2576</v>
      </c>
      <c r="B2529" t="s">
        <v>43</v>
      </c>
      <c r="C2529">
        <v>2016</v>
      </c>
      <c r="D2529" t="s">
        <v>9</v>
      </c>
      <c r="E2529">
        <v>509</v>
      </c>
      <c r="F2529">
        <v>0</v>
      </c>
    </row>
    <row r="2530" spans="1:6" x14ac:dyDescent="0.3">
      <c r="A2530" t="s">
        <v>2577</v>
      </c>
      <c r="B2530" t="s">
        <v>43</v>
      </c>
      <c r="C2530">
        <v>2016</v>
      </c>
      <c r="D2530" t="s">
        <v>2689</v>
      </c>
      <c r="E2530">
        <v>191750</v>
      </c>
      <c r="F2530">
        <v>191000</v>
      </c>
    </row>
    <row r="2531" spans="1:6" x14ac:dyDescent="0.3">
      <c r="A2531" t="s">
        <v>2578</v>
      </c>
      <c r="B2531" t="s">
        <v>43</v>
      </c>
      <c r="C2531">
        <v>2016</v>
      </c>
      <c r="D2531" t="s">
        <v>2689</v>
      </c>
      <c r="E2531">
        <v>610000</v>
      </c>
      <c r="F2531">
        <v>350000</v>
      </c>
    </row>
    <row r="2532" spans="1:6" x14ac:dyDescent="0.3">
      <c r="A2532" t="s">
        <v>2579</v>
      </c>
      <c r="B2532" t="s">
        <v>43</v>
      </c>
      <c r="C2532">
        <v>2016</v>
      </c>
      <c r="D2532" t="s">
        <v>2689</v>
      </c>
      <c r="E2532">
        <v>182500</v>
      </c>
      <c r="F2532">
        <v>144000</v>
      </c>
    </row>
    <row r="2533" spans="1:6" x14ac:dyDescent="0.3">
      <c r="A2533" t="s">
        <v>2580</v>
      </c>
      <c r="B2533" t="s">
        <v>43</v>
      </c>
      <c r="C2533">
        <v>2016</v>
      </c>
      <c r="D2533" t="s">
        <v>2689</v>
      </c>
      <c r="E2533">
        <v>11090</v>
      </c>
      <c r="F2533">
        <v>157</v>
      </c>
    </row>
    <row r="2534" spans="1:6" x14ac:dyDescent="0.3">
      <c r="A2534" t="s">
        <v>2581</v>
      </c>
      <c r="B2534" t="s">
        <v>43</v>
      </c>
      <c r="C2534">
        <v>2017</v>
      </c>
      <c r="D2534" t="s">
        <v>9</v>
      </c>
      <c r="E2534">
        <v>4104</v>
      </c>
      <c r="F2534">
        <v>355</v>
      </c>
    </row>
    <row r="2535" spans="1:6" x14ac:dyDescent="0.3">
      <c r="A2535" t="s">
        <v>2582</v>
      </c>
      <c r="B2535" t="s">
        <v>43</v>
      </c>
      <c r="C2535">
        <v>2017</v>
      </c>
      <c r="D2535" t="s">
        <v>9</v>
      </c>
      <c r="E2535">
        <v>400</v>
      </c>
      <c r="F2535">
        <v>1300</v>
      </c>
    </row>
    <row r="2536" spans="1:6" x14ac:dyDescent="0.3">
      <c r="A2536" t="s">
        <v>2583</v>
      </c>
      <c r="B2536" t="s">
        <v>43</v>
      </c>
      <c r="C2536">
        <v>2017</v>
      </c>
      <c r="D2536" t="s">
        <v>9</v>
      </c>
      <c r="E2536">
        <v>4161</v>
      </c>
      <c r="F2536">
        <v>88000</v>
      </c>
    </row>
    <row r="2537" spans="1:6" x14ac:dyDescent="0.3">
      <c r="A2537" t="s">
        <v>2584</v>
      </c>
      <c r="B2537" t="s">
        <v>43</v>
      </c>
      <c r="C2537">
        <v>2017</v>
      </c>
      <c r="D2537" t="s">
        <v>9</v>
      </c>
      <c r="E2537">
        <v>40038</v>
      </c>
      <c r="F2537">
        <v>88000</v>
      </c>
    </row>
    <row r="2538" spans="1:6" x14ac:dyDescent="0.3">
      <c r="A2538" t="s">
        <v>2585</v>
      </c>
      <c r="B2538" t="s">
        <v>43</v>
      </c>
      <c r="C2538">
        <v>2017</v>
      </c>
      <c r="D2538" t="s">
        <v>9</v>
      </c>
      <c r="E2538">
        <v>41500</v>
      </c>
      <c r="F2538">
        <v>0</v>
      </c>
    </row>
    <row r="2539" spans="1:6" x14ac:dyDescent="0.3">
      <c r="A2539" t="s">
        <v>2586</v>
      </c>
      <c r="B2539" t="s">
        <v>43</v>
      </c>
      <c r="C2539">
        <v>2017</v>
      </c>
      <c r="D2539" t="s">
        <v>2689</v>
      </c>
      <c r="E2539">
        <v>21000</v>
      </c>
      <c r="F2539">
        <v>71000</v>
      </c>
    </row>
    <row r="2540" spans="1:6" x14ac:dyDescent="0.3">
      <c r="A2540" t="s">
        <v>2587</v>
      </c>
      <c r="B2540" t="s">
        <v>43</v>
      </c>
      <c r="C2540">
        <v>2017</v>
      </c>
      <c r="D2540" t="s">
        <v>2689</v>
      </c>
      <c r="E2540">
        <v>1</v>
      </c>
      <c r="F2540">
        <v>1430000</v>
      </c>
    </row>
    <row r="2541" spans="1:6" x14ac:dyDescent="0.3">
      <c r="A2541" t="s">
        <v>2588</v>
      </c>
      <c r="B2541" t="s">
        <v>43</v>
      </c>
      <c r="C2541">
        <v>2017</v>
      </c>
      <c r="D2541" t="s">
        <v>2689</v>
      </c>
      <c r="E2541">
        <v>692012</v>
      </c>
      <c r="F2541">
        <v>484000</v>
      </c>
    </row>
    <row r="2542" spans="1:6" x14ac:dyDescent="0.3">
      <c r="A2542" t="s">
        <v>2589</v>
      </c>
      <c r="B2542" t="s">
        <v>43</v>
      </c>
      <c r="C2542">
        <v>2017</v>
      </c>
      <c r="D2542" t="s">
        <v>2689</v>
      </c>
      <c r="E2542">
        <v>4330000</v>
      </c>
      <c r="F2542">
        <v>1000000</v>
      </c>
    </row>
    <row r="2543" spans="1:6" x14ac:dyDescent="0.3">
      <c r="A2543" t="s">
        <v>2590</v>
      </c>
      <c r="B2543" t="s">
        <v>43</v>
      </c>
      <c r="C2543">
        <v>2018</v>
      </c>
      <c r="D2543" t="s">
        <v>9</v>
      </c>
      <c r="E2543">
        <v>16728</v>
      </c>
      <c r="F2543">
        <v>23000</v>
      </c>
    </row>
    <row r="2544" spans="1:6" x14ac:dyDescent="0.3">
      <c r="A2544" t="s">
        <v>2591</v>
      </c>
      <c r="B2544" t="s">
        <v>43</v>
      </c>
      <c r="C2544">
        <v>2018</v>
      </c>
      <c r="D2544" t="s">
        <v>9</v>
      </c>
      <c r="E2544">
        <v>6000</v>
      </c>
      <c r="F2544">
        <v>0</v>
      </c>
    </row>
    <row r="2545" spans="1:6" x14ac:dyDescent="0.3">
      <c r="A2545" t="s">
        <v>2592</v>
      </c>
      <c r="B2545" t="s">
        <v>43</v>
      </c>
      <c r="C2545">
        <v>2018</v>
      </c>
      <c r="D2545" t="s">
        <v>9</v>
      </c>
      <c r="E2545">
        <v>105000</v>
      </c>
      <c r="F2545">
        <v>25000</v>
      </c>
    </row>
    <row r="2546" spans="1:6" x14ac:dyDescent="0.3">
      <c r="A2546" t="s">
        <v>2593</v>
      </c>
      <c r="B2546" t="s">
        <v>43</v>
      </c>
      <c r="C2546">
        <v>2018</v>
      </c>
      <c r="D2546" t="s">
        <v>2689</v>
      </c>
      <c r="E2546">
        <v>0</v>
      </c>
      <c r="F2546">
        <v>0</v>
      </c>
    </row>
    <row r="2547" spans="1:6" x14ac:dyDescent="0.3">
      <c r="A2547" t="s">
        <v>2594</v>
      </c>
      <c r="B2547" t="s">
        <v>43</v>
      </c>
      <c r="C2547">
        <v>2018</v>
      </c>
      <c r="D2547" t="s">
        <v>2689</v>
      </c>
      <c r="E2547">
        <v>96000</v>
      </c>
      <c r="F2547">
        <v>220000</v>
      </c>
    </row>
    <row r="2548" spans="1:6" x14ac:dyDescent="0.3">
      <c r="A2548" t="s">
        <v>2595</v>
      </c>
      <c r="B2548" t="s">
        <v>43</v>
      </c>
      <c r="C2548">
        <v>2018</v>
      </c>
      <c r="D2548" t="s">
        <v>2689</v>
      </c>
      <c r="E2548">
        <v>50000</v>
      </c>
      <c r="F2548">
        <v>2000</v>
      </c>
    </row>
    <row r="2549" spans="1:6" x14ac:dyDescent="0.3">
      <c r="A2549" t="s">
        <v>2596</v>
      </c>
      <c r="B2549" t="s">
        <v>43</v>
      </c>
      <c r="C2549">
        <v>2018</v>
      </c>
      <c r="D2549" t="s">
        <v>2689</v>
      </c>
      <c r="E2549">
        <v>10028</v>
      </c>
      <c r="F2549">
        <v>17200</v>
      </c>
    </row>
    <row r="2550" spans="1:6" x14ac:dyDescent="0.3">
      <c r="A2550" t="s">
        <v>2597</v>
      </c>
      <c r="B2550" t="s">
        <v>43</v>
      </c>
      <c r="C2550">
        <v>2019</v>
      </c>
      <c r="D2550" t="s">
        <v>7</v>
      </c>
      <c r="E2550">
        <v>685558</v>
      </c>
      <c r="F2550">
        <v>0</v>
      </c>
    </row>
    <row r="2551" spans="1:6" x14ac:dyDescent="0.3">
      <c r="A2551" t="s">
        <v>2598</v>
      </c>
      <c r="B2551" t="s">
        <v>43</v>
      </c>
      <c r="C2551">
        <v>2019</v>
      </c>
      <c r="D2551" t="s">
        <v>9</v>
      </c>
      <c r="E2551">
        <v>265</v>
      </c>
      <c r="F2551">
        <v>0</v>
      </c>
    </row>
    <row r="2552" spans="1:6" x14ac:dyDescent="0.3">
      <c r="A2552" t="s">
        <v>2599</v>
      </c>
      <c r="B2552" t="s">
        <v>43</v>
      </c>
      <c r="C2552">
        <v>2019</v>
      </c>
      <c r="D2552" t="s">
        <v>9</v>
      </c>
      <c r="E2552">
        <v>1500</v>
      </c>
      <c r="F2552">
        <v>45000</v>
      </c>
    </row>
    <row r="2553" spans="1:6" x14ac:dyDescent="0.3">
      <c r="A2553" t="s">
        <v>2600</v>
      </c>
      <c r="B2553" t="s">
        <v>43</v>
      </c>
      <c r="C2553">
        <v>2019</v>
      </c>
      <c r="D2553" t="s">
        <v>9</v>
      </c>
      <c r="E2553">
        <v>61540</v>
      </c>
      <c r="F2553">
        <v>0</v>
      </c>
    </row>
    <row r="2554" spans="1:6" x14ac:dyDescent="0.3">
      <c r="A2554" t="s">
        <v>2601</v>
      </c>
      <c r="B2554" t="s">
        <v>43</v>
      </c>
      <c r="C2554">
        <v>2019</v>
      </c>
      <c r="D2554" t="s">
        <v>9</v>
      </c>
      <c r="E2554">
        <v>36450</v>
      </c>
      <c r="F2554">
        <v>13000</v>
      </c>
    </row>
    <row r="2555" spans="1:6" x14ac:dyDescent="0.3">
      <c r="A2555" t="s">
        <v>2602</v>
      </c>
      <c r="B2555" t="s">
        <v>43</v>
      </c>
      <c r="C2555">
        <v>2019</v>
      </c>
      <c r="D2555" t="s">
        <v>9</v>
      </c>
      <c r="E2555">
        <v>26255</v>
      </c>
      <c r="F2555">
        <v>0</v>
      </c>
    </row>
    <row r="2556" spans="1:6" x14ac:dyDescent="0.3">
      <c r="A2556" t="s">
        <v>2603</v>
      </c>
      <c r="B2556" t="s">
        <v>43</v>
      </c>
      <c r="C2556">
        <v>2019</v>
      </c>
      <c r="D2556" t="s">
        <v>2689</v>
      </c>
      <c r="E2556">
        <v>20014</v>
      </c>
      <c r="F2556">
        <v>0</v>
      </c>
    </row>
    <row r="2557" spans="1:6" x14ac:dyDescent="0.3">
      <c r="A2557" t="s">
        <v>2604</v>
      </c>
      <c r="B2557" t="s">
        <v>43</v>
      </c>
      <c r="C2557">
        <v>2019</v>
      </c>
      <c r="D2557" t="s">
        <v>2689</v>
      </c>
      <c r="E2557">
        <v>2150</v>
      </c>
      <c r="F2557">
        <v>4000</v>
      </c>
    </row>
    <row r="2558" spans="1:6" x14ac:dyDescent="0.3">
      <c r="A2558" t="s">
        <v>2605</v>
      </c>
      <c r="B2558" t="s">
        <v>43</v>
      </c>
      <c r="C2558">
        <v>2020</v>
      </c>
      <c r="D2558" t="s">
        <v>9</v>
      </c>
      <c r="E2558">
        <v>2621</v>
      </c>
      <c r="F2558">
        <v>22000</v>
      </c>
    </row>
    <row r="2559" spans="1:6" x14ac:dyDescent="0.3">
      <c r="A2559" t="s">
        <v>2606</v>
      </c>
      <c r="B2559" t="s">
        <v>43</v>
      </c>
      <c r="C2559">
        <v>2020</v>
      </c>
      <c r="D2559" t="s">
        <v>2689</v>
      </c>
      <c r="E2559">
        <v>4652</v>
      </c>
      <c r="F2559">
        <v>1500</v>
      </c>
    </row>
    <row r="2560" spans="1:6" x14ac:dyDescent="0.3">
      <c r="A2560" t="s">
        <v>2607</v>
      </c>
      <c r="B2560" t="s">
        <v>43</v>
      </c>
      <c r="C2560">
        <v>2020</v>
      </c>
      <c r="D2560" t="s">
        <v>2689</v>
      </c>
      <c r="E2560">
        <v>30013</v>
      </c>
      <c r="F2560">
        <v>0</v>
      </c>
    </row>
    <row r="2561" spans="1:6" x14ac:dyDescent="0.3">
      <c r="A2561" t="s">
        <v>2608</v>
      </c>
      <c r="B2561" t="s">
        <v>43</v>
      </c>
      <c r="C2561">
        <v>2020</v>
      </c>
      <c r="D2561" t="s">
        <v>2689</v>
      </c>
      <c r="E2561">
        <v>10000</v>
      </c>
      <c r="F2561">
        <v>232</v>
      </c>
    </row>
    <row r="2562" spans="1:6" x14ac:dyDescent="0.3">
      <c r="A2562" t="s">
        <v>2609</v>
      </c>
      <c r="B2562" t="s">
        <v>43</v>
      </c>
      <c r="C2562">
        <v>2020</v>
      </c>
      <c r="D2562" t="s">
        <v>2689</v>
      </c>
      <c r="E2562">
        <v>1500000</v>
      </c>
      <c r="F2562">
        <v>850000</v>
      </c>
    </row>
    <row r="2563" spans="1:6" x14ac:dyDescent="0.3">
      <c r="A2563" t="s">
        <v>2610</v>
      </c>
      <c r="B2563" t="s">
        <v>43</v>
      </c>
      <c r="C2563">
        <v>2020</v>
      </c>
      <c r="D2563" t="s">
        <v>2689</v>
      </c>
      <c r="E2563">
        <v>70780</v>
      </c>
      <c r="F2563">
        <v>0</v>
      </c>
    </row>
    <row r="2564" spans="1:6" x14ac:dyDescent="0.3">
      <c r="A2564" t="s">
        <v>2611</v>
      </c>
      <c r="B2564" t="s">
        <v>43</v>
      </c>
      <c r="C2564">
        <v>2020</v>
      </c>
      <c r="D2564" t="s">
        <v>2689</v>
      </c>
      <c r="E2564">
        <v>125000</v>
      </c>
      <c r="F2564">
        <v>33000</v>
      </c>
    </row>
    <row r="2565" spans="1:6" x14ac:dyDescent="0.3">
      <c r="A2565" t="s">
        <v>2612</v>
      </c>
      <c r="B2565" t="s">
        <v>43</v>
      </c>
      <c r="C2565">
        <v>2020</v>
      </c>
      <c r="D2565" t="s">
        <v>2689</v>
      </c>
      <c r="E2565">
        <v>450000</v>
      </c>
      <c r="F2565">
        <v>540000</v>
      </c>
    </row>
    <row r="2566" spans="1:6" x14ac:dyDescent="0.3">
      <c r="A2566" t="s">
        <v>2613</v>
      </c>
      <c r="B2566" t="s">
        <v>43</v>
      </c>
      <c r="C2566">
        <v>2020</v>
      </c>
      <c r="D2566" t="s">
        <v>2689</v>
      </c>
      <c r="E2566">
        <v>0</v>
      </c>
      <c r="F2566">
        <v>0</v>
      </c>
    </row>
    <row r="2567" spans="1:6" x14ac:dyDescent="0.3">
      <c r="A2567" t="s">
        <v>2614</v>
      </c>
      <c r="B2567" t="s">
        <v>43</v>
      </c>
      <c r="C2567">
        <v>2020</v>
      </c>
      <c r="D2567" t="s">
        <v>2689</v>
      </c>
      <c r="E2567">
        <v>5000</v>
      </c>
      <c r="F2567">
        <v>5260</v>
      </c>
    </row>
    <row r="2568" spans="1:6" x14ac:dyDescent="0.3">
      <c r="A2568" t="s">
        <v>2615</v>
      </c>
      <c r="B2568" t="s">
        <v>43</v>
      </c>
      <c r="C2568">
        <v>2020</v>
      </c>
      <c r="D2568" t="s">
        <v>2689</v>
      </c>
      <c r="E2568">
        <v>4</v>
      </c>
      <c r="F2568">
        <v>0</v>
      </c>
    </row>
    <row r="2569" spans="1:6" x14ac:dyDescent="0.3">
      <c r="A2569" t="s">
        <v>2616</v>
      </c>
      <c r="B2569" t="s">
        <v>43</v>
      </c>
      <c r="C2569">
        <v>2021</v>
      </c>
      <c r="D2569" t="s">
        <v>9</v>
      </c>
      <c r="E2569">
        <v>180</v>
      </c>
      <c r="F2569">
        <v>0</v>
      </c>
    </row>
    <row r="2570" spans="1:6" x14ac:dyDescent="0.3">
      <c r="A2570" t="s">
        <v>2617</v>
      </c>
      <c r="B2570" t="s">
        <v>43</v>
      </c>
      <c r="C2570">
        <v>2021</v>
      </c>
      <c r="D2570" t="s">
        <v>9</v>
      </c>
      <c r="E2570">
        <v>13603</v>
      </c>
      <c r="F2570">
        <v>0</v>
      </c>
    </row>
    <row r="2571" spans="1:6" x14ac:dyDescent="0.3">
      <c r="A2571" t="s">
        <v>2618</v>
      </c>
      <c r="B2571" t="s">
        <v>43</v>
      </c>
      <c r="C2571">
        <v>2021</v>
      </c>
      <c r="D2571" t="s">
        <v>9</v>
      </c>
      <c r="E2571">
        <v>300000</v>
      </c>
      <c r="F2571">
        <v>0</v>
      </c>
    </row>
    <row r="2572" spans="1:6" x14ac:dyDescent="0.3">
      <c r="A2572" t="s">
        <v>2619</v>
      </c>
      <c r="B2572" t="s">
        <v>43</v>
      </c>
      <c r="C2572">
        <v>2021</v>
      </c>
      <c r="D2572" t="s">
        <v>2689</v>
      </c>
      <c r="E2572">
        <v>1000</v>
      </c>
      <c r="F2572">
        <v>0</v>
      </c>
    </row>
    <row r="2573" spans="1:6" x14ac:dyDescent="0.3">
      <c r="A2573" t="s">
        <v>2620</v>
      </c>
      <c r="B2573" t="s">
        <v>43</v>
      </c>
      <c r="C2573">
        <v>2021</v>
      </c>
      <c r="D2573" t="s">
        <v>2689</v>
      </c>
      <c r="E2573">
        <v>750</v>
      </c>
      <c r="F2573">
        <v>10000</v>
      </c>
    </row>
    <row r="2574" spans="1:6" x14ac:dyDescent="0.3">
      <c r="A2574" t="s">
        <v>2621</v>
      </c>
      <c r="B2574" t="s">
        <v>43</v>
      </c>
      <c r="C2574">
        <v>2021</v>
      </c>
      <c r="D2574" t="s">
        <v>2689</v>
      </c>
      <c r="E2574">
        <v>310</v>
      </c>
      <c r="F2574">
        <v>0</v>
      </c>
    </row>
    <row r="2575" spans="1:6" x14ac:dyDescent="0.3">
      <c r="A2575" t="s">
        <v>2622</v>
      </c>
      <c r="B2575" t="s">
        <v>43</v>
      </c>
      <c r="C2575">
        <v>2021</v>
      </c>
      <c r="D2575" t="s">
        <v>2689</v>
      </c>
      <c r="E2575">
        <v>82500</v>
      </c>
      <c r="F2575">
        <v>7500</v>
      </c>
    </row>
    <row r="2576" spans="1:6" x14ac:dyDescent="0.3">
      <c r="A2576" t="s">
        <v>2623</v>
      </c>
      <c r="B2576" t="s">
        <v>43</v>
      </c>
      <c r="C2576">
        <v>2021</v>
      </c>
      <c r="D2576" t="s">
        <v>2689</v>
      </c>
      <c r="E2576">
        <v>0</v>
      </c>
      <c r="F2576">
        <v>9000</v>
      </c>
    </row>
    <row r="2577" spans="1:6" x14ac:dyDescent="0.3">
      <c r="A2577" t="s">
        <v>2624</v>
      </c>
      <c r="B2577" t="s">
        <v>43</v>
      </c>
      <c r="C2577">
        <v>2022</v>
      </c>
      <c r="D2577" t="s">
        <v>9</v>
      </c>
      <c r="E2577">
        <v>226</v>
      </c>
      <c r="F2577">
        <v>0</v>
      </c>
    </row>
    <row r="2578" spans="1:6" x14ac:dyDescent="0.3">
      <c r="A2578" t="s">
        <v>2625</v>
      </c>
      <c r="B2578" t="s">
        <v>43</v>
      </c>
      <c r="C2578">
        <v>2022</v>
      </c>
      <c r="D2578" t="s">
        <v>9</v>
      </c>
      <c r="E2578">
        <v>2554</v>
      </c>
      <c r="F2578">
        <v>0</v>
      </c>
    </row>
    <row r="2579" spans="1:6" x14ac:dyDescent="0.3">
      <c r="A2579" t="s">
        <v>2626</v>
      </c>
      <c r="B2579" t="s">
        <v>43</v>
      </c>
      <c r="C2579">
        <v>2022</v>
      </c>
      <c r="D2579" t="s">
        <v>9</v>
      </c>
      <c r="E2579">
        <v>0</v>
      </c>
      <c r="F2579">
        <v>0</v>
      </c>
    </row>
    <row r="2580" spans="1:6" x14ac:dyDescent="0.3">
      <c r="A2580" t="s">
        <v>2627</v>
      </c>
      <c r="B2580" t="s">
        <v>43</v>
      </c>
      <c r="C2580">
        <v>2022</v>
      </c>
      <c r="D2580" t="s">
        <v>9</v>
      </c>
      <c r="E2580">
        <v>10000</v>
      </c>
      <c r="F2580">
        <v>0</v>
      </c>
    </row>
    <row r="2581" spans="1:6" x14ac:dyDescent="0.3">
      <c r="A2581" t="s">
        <v>2628</v>
      </c>
      <c r="B2581" t="s">
        <v>43</v>
      </c>
      <c r="C2581">
        <v>2022</v>
      </c>
      <c r="D2581" t="s">
        <v>9</v>
      </c>
      <c r="E2581">
        <v>10495</v>
      </c>
      <c r="F2581">
        <v>1500</v>
      </c>
    </row>
    <row r="2582" spans="1:6" x14ac:dyDescent="0.3">
      <c r="A2582" t="s">
        <v>2629</v>
      </c>
      <c r="B2582" t="s">
        <v>43</v>
      </c>
      <c r="C2582">
        <v>2022</v>
      </c>
      <c r="D2582" t="s">
        <v>2689</v>
      </c>
      <c r="E2582">
        <v>500</v>
      </c>
      <c r="F2582">
        <v>0</v>
      </c>
    </row>
    <row r="2583" spans="1:6" x14ac:dyDescent="0.3">
      <c r="A2583" t="s">
        <v>2630</v>
      </c>
      <c r="B2583" t="s">
        <v>43</v>
      </c>
      <c r="C2583">
        <v>2022</v>
      </c>
      <c r="D2583" t="s">
        <v>2689</v>
      </c>
      <c r="E2583">
        <v>54412</v>
      </c>
      <c r="F2583">
        <v>0</v>
      </c>
    </row>
    <row r="2584" spans="1:6" x14ac:dyDescent="0.3">
      <c r="A2584" t="s">
        <v>2631</v>
      </c>
      <c r="B2584" t="s">
        <v>43</v>
      </c>
      <c r="C2584">
        <v>2022</v>
      </c>
      <c r="D2584" t="s">
        <v>2689</v>
      </c>
      <c r="E2584">
        <v>436978</v>
      </c>
      <c r="F2584">
        <v>65000</v>
      </c>
    </row>
    <row r="2585" spans="1:6" x14ac:dyDescent="0.3">
      <c r="A2585" t="s">
        <v>2632</v>
      </c>
      <c r="B2585" t="s">
        <v>43</v>
      </c>
      <c r="C2585">
        <v>2023</v>
      </c>
      <c r="D2585" t="s">
        <v>9</v>
      </c>
      <c r="E2585">
        <v>6540</v>
      </c>
      <c r="F2585">
        <v>0</v>
      </c>
    </row>
    <row r="2586" spans="1:6" x14ac:dyDescent="0.3">
      <c r="A2586" t="s">
        <v>2633</v>
      </c>
      <c r="B2586" t="s">
        <v>43</v>
      </c>
      <c r="C2586">
        <v>2023</v>
      </c>
      <c r="D2586" t="s">
        <v>9</v>
      </c>
      <c r="E2586">
        <v>2175</v>
      </c>
      <c r="F2586">
        <v>0</v>
      </c>
    </row>
    <row r="2587" spans="1:6" x14ac:dyDescent="0.3">
      <c r="A2587" t="s">
        <v>2634</v>
      </c>
      <c r="B2587" t="s">
        <v>43</v>
      </c>
      <c r="C2587">
        <v>2023</v>
      </c>
      <c r="D2587" t="s">
        <v>9</v>
      </c>
      <c r="E2587">
        <v>214535</v>
      </c>
      <c r="F2587">
        <v>0</v>
      </c>
    </row>
    <row r="2588" spans="1:6" x14ac:dyDescent="0.3">
      <c r="A2588" t="s">
        <v>2635</v>
      </c>
      <c r="B2588" t="s">
        <v>43</v>
      </c>
      <c r="C2588">
        <v>2023</v>
      </c>
      <c r="D2588" t="s">
        <v>9</v>
      </c>
      <c r="E2588">
        <v>1900</v>
      </c>
      <c r="F2588">
        <v>0</v>
      </c>
    </row>
    <row r="2589" spans="1:6" x14ac:dyDescent="0.3">
      <c r="A2589" t="s">
        <v>2636</v>
      </c>
      <c r="B2589" t="s">
        <v>43</v>
      </c>
      <c r="C2589">
        <v>2023</v>
      </c>
      <c r="D2589" t="s">
        <v>2689</v>
      </c>
      <c r="E2589">
        <v>3</v>
      </c>
      <c r="F2589">
        <v>0</v>
      </c>
    </row>
    <row r="2590" spans="1:6" x14ac:dyDescent="0.3">
      <c r="A2590" t="s">
        <v>2637</v>
      </c>
      <c r="B2590" t="s">
        <v>43</v>
      </c>
      <c r="C2590">
        <v>2023</v>
      </c>
      <c r="D2590" t="s">
        <v>2689</v>
      </c>
      <c r="E2590">
        <v>80000</v>
      </c>
      <c r="F2590">
        <v>0</v>
      </c>
    </row>
    <row r="2591" spans="1:6" x14ac:dyDescent="0.3">
      <c r="A2591" t="s">
        <v>2638</v>
      </c>
      <c r="B2591" t="s">
        <v>43</v>
      </c>
      <c r="C2591">
        <v>2024</v>
      </c>
      <c r="D2591" t="s">
        <v>7</v>
      </c>
      <c r="E2591">
        <v>266000</v>
      </c>
      <c r="F2591">
        <v>10000</v>
      </c>
    </row>
    <row r="2592" spans="1:6" x14ac:dyDescent="0.3">
      <c r="A2592" t="s">
        <v>2639</v>
      </c>
      <c r="B2592" t="s">
        <v>43</v>
      </c>
      <c r="C2592">
        <v>2024</v>
      </c>
      <c r="D2592" t="s">
        <v>9</v>
      </c>
      <c r="E2592">
        <v>9628</v>
      </c>
      <c r="F2592">
        <v>0</v>
      </c>
    </row>
    <row r="2593" spans="1:6" x14ac:dyDescent="0.3">
      <c r="A2593" t="s">
        <v>2640</v>
      </c>
      <c r="B2593" t="s">
        <v>43</v>
      </c>
      <c r="C2593">
        <v>2024</v>
      </c>
      <c r="D2593" t="s">
        <v>2689</v>
      </c>
      <c r="E2593">
        <v>8320</v>
      </c>
      <c r="F2593">
        <v>10000</v>
      </c>
    </row>
    <row r="2594" spans="1:6" x14ac:dyDescent="0.3">
      <c r="A2594" t="s">
        <v>2641</v>
      </c>
      <c r="B2594" t="s">
        <v>43</v>
      </c>
      <c r="C2594">
        <v>2024</v>
      </c>
      <c r="D2594" t="s">
        <v>2689</v>
      </c>
      <c r="E2594">
        <v>2128</v>
      </c>
      <c r="F2594">
        <v>0</v>
      </c>
    </row>
    <row r="2595" spans="1:6" x14ac:dyDescent="0.3">
      <c r="A2595" t="s">
        <v>2642</v>
      </c>
      <c r="B2595" t="s">
        <v>43</v>
      </c>
      <c r="C2595">
        <v>2024</v>
      </c>
      <c r="D2595" t="s">
        <v>2689</v>
      </c>
      <c r="E2595">
        <v>401</v>
      </c>
      <c r="F2595">
        <v>0</v>
      </c>
    </row>
    <row r="2596" spans="1:6" x14ac:dyDescent="0.3">
      <c r="A2596" t="s">
        <v>2643</v>
      </c>
      <c r="B2596" t="s">
        <v>43</v>
      </c>
      <c r="C2596">
        <v>2024</v>
      </c>
      <c r="D2596" t="s">
        <v>2689</v>
      </c>
      <c r="E2596">
        <v>3601978</v>
      </c>
      <c r="F2596">
        <v>2000000</v>
      </c>
    </row>
    <row r="2597" spans="1:6" x14ac:dyDescent="0.3">
      <c r="A2597" t="s">
        <v>2644</v>
      </c>
      <c r="B2597" t="s">
        <v>43</v>
      </c>
      <c r="C2597">
        <v>2024</v>
      </c>
      <c r="D2597" t="s">
        <v>2689</v>
      </c>
      <c r="E2597">
        <v>1850</v>
      </c>
      <c r="F2597">
        <v>0</v>
      </c>
    </row>
    <row r="2598" spans="1:6" x14ac:dyDescent="0.3">
      <c r="A2598" t="s">
        <v>2645</v>
      </c>
      <c r="B2598" t="s">
        <v>43</v>
      </c>
      <c r="C2598">
        <v>2024</v>
      </c>
      <c r="D2598" t="s">
        <v>2689</v>
      </c>
      <c r="E2598">
        <v>143429</v>
      </c>
      <c r="F2598">
        <v>20600</v>
      </c>
    </row>
    <row r="2599" spans="1:6" x14ac:dyDescent="0.3">
      <c r="A2599" t="s">
        <v>2646</v>
      </c>
      <c r="B2599" t="s">
        <v>46</v>
      </c>
      <c r="C2599">
        <v>2001</v>
      </c>
      <c r="D2599" t="s">
        <v>9</v>
      </c>
      <c r="E2599">
        <v>0</v>
      </c>
      <c r="F2599">
        <v>0</v>
      </c>
    </row>
    <row r="2600" spans="1:6" x14ac:dyDescent="0.3">
      <c r="A2600" t="s">
        <v>2647</v>
      </c>
      <c r="B2600" t="s">
        <v>46</v>
      </c>
      <c r="C2600">
        <v>2001</v>
      </c>
      <c r="D2600" t="s">
        <v>2689</v>
      </c>
      <c r="E2600">
        <v>0</v>
      </c>
      <c r="F2600">
        <v>0</v>
      </c>
    </row>
    <row r="2601" spans="1:6" x14ac:dyDescent="0.3">
      <c r="A2601" t="s">
        <v>2648</v>
      </c>
      <c r="B2601" t="s">
        <v>46</v>
      </c>
      <c r="C2601">
        <v>2001</v>
      </c>
      <c r="D2601" t="s">
        <v>2689</v>
      </c>
      <c r="E2601">
        <v>0</v>
      </c>
      <c r="F2601">
        <v>0</v>
      </c>
    </row>
    <row r="2602" spans="1:6" x14ac:dyDescent="0.3">
      <c r="A2602" t="s">
        <v>2649</v>
      </c>
      <c r="B2602" t="s">
        <v>46</v>
      </c>
      <c r="C2602">
        <v>2002</v>
      </c>
      <c r="D2602" t="s">
        <v>9</v>
      </c>
      <c r="E2602">
        <v>700</v>
      </c>
      <c r="F2602">
        <v>0</v>
      </c>
    </row>
    <row r="2603" spans="1:6" x14ac:dyDescent="0.3">
      <c r="A2603" t="s">
        <v>2650</v>
      </c>
      <c r="B2603" t="s">
        <v>46</v>
      </c>
      <c r="C2603">
        <v>2002</v>
      </c>
      <c r="D2603" t="s">
        <v>9</v>
      </c>
      <c r="E2603">
        <v>0</v>
      </c>
      <c r="F2603">
        <v>0</v>
      </c>
    </row>
    <row r="2604" spans="1:6" x14ac:dyDescent="0.3">
      <c r="A2604" t="s">
        <v>2651</v>
      </c>
      <c r="B2604" t="s">
        <v>46</v>
      </c>
      <c r="C2604">
        <v>2002</v>
      </c>
      <c r="D2604" t="s">
        <v>9</v>
      </c>
      <c r="E2604">
        <v>0</v>
      </c>
      <c r="F2604">
        <v>0</v>
      </c>
    </row>
    <row r="2605" spans="1:6" x14ac:dyDescent="0.3">
      <c r="A2605" t="s">
        <v>2652</v>
      </c>
      <c r="B2605" t="s">
        <v>46</v>
      </c>
      <c r="C2605">
        <v>2002</v>
      </c>
      <c r="D2605" t="s">
        <v>9</v>
      </c>
      <c r="E2605">
        <v>0</v>
      </c>
      <c r="F2605">
        <v>0</v>
      </c>
    </row>
    <row r="2606" spans="1:6" x14ac:dyDescent="0.3">
      <c r="A2606" t="s">
        <v>2653</v>
      </c>
      <c r="B2606" t="s">
        <v>46</v>
      </c>
      <c r="C2606">
        <v>2003</v>
      </c>
      <c r="D2606" t="s">
        <v>9</v>
      </c>
      <c r="E2606">
        <v>0</v>
      </c>
      <c r="F2606">
        <v>0</v>
      </c>
    </row>
    <row r="2607" spans="1:6" x14ac:dyDescent="0.3">
      <c r="A2607" t="s">
        <v>2654</v>
      </c>
      <c r="B2607" t="s">
        <v>46</v>
      </c>
      <c r="C2607">
        <v>2005</v>
      </c>
      <c r="D2607" t="s">
        <v>9</v>
      </c>
      <c r="E2607">
        <v>715</v>
      </c>
      <c r="F2607">
        <v>0</v>
      </c>
    </row>
    <row r="2608" spans="1:6" x14ac:dyDescent="0.3">
      <c r="A2608" t="s">
        <v>2655</v>
      </c>
      <c r="B2608" t="s">
        <v>46</v>
      </c>
      <c r="C2608">
        <v>2005</v>
      </c>
      <c r="D2608" t="s">
        <v>9</v>
      </c>
      <c r="E2608">
        <v>6</v>
      </c>
      <c r="F2608">
        <v>0</v>
      </c>
    </row>
    <row r="2609" spans="1:6" x14ac:dyDescent="0.3">
      <c r="A2609" t="s">
        <v>2656</v>
      </c>
      <c r="B2609" t="s">
        <v>46</v>
      </c>
      <c r="C2609">
        <v>2006</v>
      </c>
      <c r="D2609" t="s">
        <v>9</v>
      </c>
      <c r="E2609">
        <v>2000</v>
      </c>
      <c r="F2609">
        <v>0</v>
      </c>
    </row>
    <row r="2610" spans="1:6" x14ac:dyDescent="0.3">
      <c r="A2610" t="s">
        <v>2657</v>
      </c>
      <c r="B2610" t="s">
        <v>46</v>
      </c>
      <c r="C2610">
        <v>2006</v>
      </c>
      <c r="D2610" t="s">
        <v>9</v>
      </c>
      <c r="E2610">
        <v>320</v>
      </c>
      <c r="F2610">
        <v>0</v>
      </c>
    </row>
    <row r="2611" spans="1:6" x14ac:dyDescent="0.3">
      <c r="A2611" t="s">
        <v>2658</v>
      </c>
      <c r="B2611" t="s">
        <v>46</v>
      </c>
      <c r="C2611">
        <v>2007</v>
      </c>
      <c r="D2611" t="s">
        <v>9</v>
      </c>
      <c r="E2611">
        <v>2000</v>
      </c>
      <c r="F2611">
        <v>0</v>
      </c>
    </row>
    <row r="2612" spans="1:6" x14ac:dyDescent="0.3">
      <c r="A2612" t="s">
        <v>2659</v>
      </c>
      <c r="B2612" t="s">
        <v>46</v>
      </c>
      <c r="C2612">
        <v>2007</v>
      </c>
      <c r="D2612" t="s">
        <v>9</v>
      </c>
      <c r="E2612">
        <v>618</v>
      </c>
      <c r="F2612">
        <v>0</v>
      </c>
    </row>
    <row r="2613" spans="1:6" x14ac:dyDescent="0.3">
      <c r="A2613" t="s">
        <v>2660</v>
      </c>
      <c r="B2613" t="s">
        <v>46</v>
      </c>
      <c r="C2613">
        <v>2007</v>
      </c>
      <c r="D2613" t="s">
        <v>9</v>
      </c>
      <c r="E2613">
        <v>0</v>
      </c>
      <c r="F2613">
        <v>0</v>
      </c>
    </row>
    <row r="2614" spans="1:6" x14ac:dyDescent="0.3">
      <c r="A2614" t="s">
        <v>2661</v>
      </c>
      <c r="B2614" t="s">
        <v>46</v>
      </c>
      <c r="C2614">
        <v>2008</v>
      </c>
      <c r="D2614" t="s">
        <v>9</v>
      </c>
      <c r="E2614">
        <v>25064</v>
      </c>
      <c r="F2614">
        <v>400000</v>
      </c>
    </row>
    <row r="2615" spans="1:6" x14ac:dyDescent="0.3">
      <c r="A2615" t="s">
        <v>2662</v>
      </c>
      <c r="B2615" t="s">
        <v>46</v>
      </c>
      <c r="C2615">
        <v>2010</v>
      </c>
      <c r="D2615" t="s">
        <v>9</v>
      </c>
      <c r="E2615">
        <v>1002</v>
      </c>
      <c r="F2615">
        <v>0</v>
      </c>
    </row>
    <row r="2616" spans="1:6" x14ac:dyDescent="0.3">
      <c r="A2616" t="s">
        <v>2663</v>
      </c>
      <c r="B2616" t="s">
        <v>46</v>
      </c>
      <c r="C2616">
        <v>2010</v>
      </c>
      <c r="D2616" t="s">
        <v>9</v>
      </c>
      <c r="E2616">
        <v>0</v>
      </c>
      <c r="F2616">
        <v>0</v>
      </c>
    </row>
    <row r="2617" spans="1:6" x14ac:dyDescent="0.3">
      <c r="A2617" t="s">
        <v>2664</v>
      </c>
      <c r="B2617" t="s">
        <v>46</v>
      </c>
      <c r="C2617">
        <v>2013</v>
      </c>
      <c r="D2617" t="s">
        <v>9</v>
      </c>
      <c r="E2617">
        <v>49092</v>
      </c>
      <c r="F2617">
        <v>0</v>
      </c>
    </row>
    <row r="2618" spans="1:6" x14ac:dyDescent="0.3">
      <c r="A2618" t="s">
        <v>2665</v>
      </c>
      <c r="B2618" t="s">
        <v>46</v>
      </c>
      <c r="C2618">
        <v>2015</v>
      </c>
      <c r="D2618" t="s">
        <v>2689</v>
      </c>
      <c r="E2618">
        <v>110065</v>
      </c>
      <c r="F2618">
        <v>200000</v>
      </c>
    </row>
    <row r="2619" spans="1:6" x14ac:dyDescent="0.3">
      <c r="A2619" t="s">
        <v>2666</v>
      </c>
      <c r="B2619" t="s">
        <v>46</v>
      </c>
      <c r="C2619">
        <v>2015</v>
      </c>
      <c r="D2619" t="s">
        <v>2689</v>
      </c>
      <c r="E2619">
        <v>15000</v>
      </c>
      <c r="F2619">
        <v>0</v>
      </c>
    </row>
    <row r="2620" spans="1:6" x14ac:dyDescent="0.3">
      <c r="A2620" t="s">
        <v>2667</v>
      </c>
      <c r="B2620" t="s">
        <v>46</v>
      </c>
      <c r="C2620">
        <v>2016</v>
      </c>
      <c r="D2620" t="s">
        <v>9</v>
      </c>
      <c r="E2620">
        <v>29750</v>
      </c>
      <c r="F2620">
        <v>0</v>
      </c>
    </row>
    <row r="2621" spans="1:6" x14ac:dyDescent="0.3">
      <c r="A2621" t="s">
        <v>2668</v>
      </c>
      <c r="B2621" t="s">
        <v>46</v>
      </c>
      <c r="C2621">
        <v>2017</v>
      </c>
      <c r="D2621" t="s">
        <v>9</v>
      </c>
      <c r="E2621">
        <v>8</v>
      </c>
      <c r="F2621">
        <v>0</v>
      </c>
    </row>
    <row r="2622" spans="1:6" x14ac:dyDescent="0.3">
      <c r="A2622" t="s">
        <v>2669</v>
      </c>
      <c r="B2622" t="s">
        <v>46</v>
      </c>
      <c r="C2622">
        <v>2018</v>
      </c>
      <c r="D2622" t="s">
        <v>2689</v>
      </c>
      <c r="E2622">
        <v>750</v>
      </c>
      <c r="F2622">
        <v>0</v>
      </c>
    </row>
    <row r="2623" spans="1:6" x14ac:dyDescent="0.3">
      <c r="A2623" t="s">
        <v>2670</v>
      </c>
      <c r="B2623" t="s">
        <v>46</v>
      </c>
      <c r="C2623">
        <v>2018</v>
      </c>
      <c r="D2623" t="s">
        <v>2689</v>
      </c>
      <c r="E2623">
        <v>15124</v>
      </c>
      <c r="F2623">
        <v>0</v>
      </c>
    </row>
    <row r="2624" spans="1:6" x14ac:dyDescent="0.3">
      <c r="A2624" t="s">
        <v>2671</v>
      </c>
      <c r="B2624" t="s">
        <v>46</v>
      </c>
      <c r="C2624">
        <v>2019</v>
      </c>
      <c r="D2624" t="s">
        <v>9</v>
      </c>
      <c r="E2624">
        <v>80000</v>
      </c>
      <c r="F2624">
        <v>0</v>
      </c>
    </row>
    <row r="2625" spans="1:6" x14ac:dyDescent="0.3">
      <c r="A2625" t="s">
        <v>2672</v>
      </c>
      <c r="B2625" t="s">
        <v>46</v>
      </c>
      <c r="C2625">
        <v>2019</v>
      </c>
      <c r="D2625" t="s">
        <v>9</v>
      </c>
      <c r="E2625">
        <v>0</v>
      </c>
      <c r="F2625">
        <v>0</v>
      </c>
    </row>
    <row r="2626" spans="1:6" x14ac:dyDescent="0.3">
      <c r="A2626" t="s">
        <v>2673</v>
      </c>
      <c r="B2626" t="s">
        <v>46</v>
      </c>
      <c r="C2626">
        <v>2019</v>
      </c>
      <c r="D2626" t="s">
        <v>9</v>
      </c>
      <c r="E2626">
        <v>500</v>
      </c>
      <c r="F2626">
        <v>0</v>
      </c>
    </row>
    <row r="2627" spans="1:6" x14ac:dyDescent="0.3">
      <c r="A2627" t="s">
        <v>2674</v>
      </c>
      <c r="B2627" t="s">
        <v>46</v>
      </c>
      <c r="C2627">
        <v>2020</v>
      </c>
      <c r="D2627" t="s">
        <v>9</v>
      </c>
      <c r="E2627">
        <v>23129</v>
      </c>
      <c r="F2627">
        <v>10000</v>
      </c>
    </row>
    <row r="2628" spans="1:6" x14ac:dyDescent="0.3">
      <c r="A2628" t="s">
        <v>2675</v>
      </c>
      <c r="B2628" t="s">
        <v>46</v>
      </c>
      <c r="C2628">
        <v>2020</v>
      </c>
      <c r="D2628" t="s">
        <v>9</v>
      </c>
      <c r="E2628">
        <v>150030</v>
      </c>
      <c r="F2628">
        <v>10000</v>
      </c>
    </row>
    <row r="2629" spans="1:6" x14ac:dyDescent="0.3">
      <c r="A2629" t="s">
        <v>2676</v>
      </c>
      <c r="B2629" t="s">
        <v>46</v>
      </c>
      <c r="C2629">
        <v>2020</v>
      </c>
      <c r="D2629" t="s">
        <v>9</v>
      </c>
      <c r="E2629">
        <v>215</v>
      </c>
      <c r="F2629">
        <v>0</v>
      </c>
    </row>
    <row r="2630" spans="1:6" x14ac:dyDescent="0.3">
      <c r="A2630" t="s">
        <v>2677</v>
      </c>
      <c r="B2630" t="s">
        <v>46</v>
      </c>
      <c r="C2630">
        <v>2020</v>
      </c>
      <c r="D2630" t="s">
        <v>9</v>
      </c>
      <c r="E2630">
        <v>0</v>
      </c>
      <c r="F2630">
        <v>0</v>
      </c>
    </row>
    <row r="2631" spans="1:6" x14ac:dyDescent="0.3">
      <c r="A2631" t="s">
        <v>2678</v>
      </c>
      <c r="B2631" t="s">
        <v>46</v>
      </c>
      <c r="C2631">
        <v>2021</v>
      </c>
      <c r="D2631" t="s">
        <v>9</v>
      </c>
      <c r="E2631">
        <v>22380</v>
      </c>
      <c r="F2631">
        <v>0</v>
      </c>
    </row>
    <row r="2632" spans="1:6" x14ac:dyDescent="0.3">
      <c r="A2632" t="s">
        <v>2679</v>
      </c>
      <c r="B2632" t="s">
        <v>46</v>
      </c>
      <c r="C2632">
        <v>2021</v>
      </c>
      <c r="D2632" t="s">
        <v>9</v>
      </c>
      <c r="E2632">
        <v>205828</v>
      </c>
      <c r="F2632">
        <v>0</v>
      </c>
    </row>
    <row r="2633" spans="1:6" x14ac:dyDescent="0.3">
      <c r="A2633" t="s">
        <v>2680</v>
      </c>
      <c r="B2633" t="s">
        <v>46</v>
      </c>
      <c r="C2633">
        <v>2022</v>
      </c>
      <c r="D2633" t="s">
        <v>9</v>
      </c>
      <c r="E2633">
        <v>41000</v>
      </c>
      <c r="F2633">
        <v>0</v>
      </c>
    </row>
    <row r="2634" spans="1:6" x14ac:dyDescent="0.3">
      <c r="A2634" t="s">
        <v>2681</v>
      </c>
      <c r="B2634" t="s">
        <v>46</v>
      </c>
      <c r="C2634">
        <v>2022</v>
      </c>
      <c r="D2634" t="s">
        <v>9</v>
      </c>
      <c r="E2634">
        <v>175000</v>
      </c>
      <c r="F2634">
        <v>0</v>
      </c>
    </row>
    <row r="2635" spans="1:6" x14ac:dyDescent="0.3">
      <c r="A2635" t="s">
        <v>2682</v>
      </c>
      <c r="B2635" t="s">
        <v>46</v>
      </c>
      <c r="C2635">
        <v>2022</v>
      </c>
      <c r="D2635" t="s">
        <v>9</v>
      </c>
      <c r="E2635">
        <v>3400</v>
      </c>
      <c r="F2635">
        <v>0</v>
      </c>
    </row>
    <row r="2636" spans="1:6" x14ac:dyDescent="0.3">
      <c r="A2636" t="s">
        <v>2683</v>
      </c>
      <c r="B2636" t="s">
        <v>46</v>
      </c>
      <c r="C2636">
        <v>2023</v>
      </c>
      <c r="D2636" t="s">
        <v>9</v>
      </c>
      <c r="E2636">
        <v>308183</v>
      </c>
      <c r="F2636">
        <v>0</v>
      </c>
    </row>
    <row r="2637" spans="1:6" x14ac:dyDescent="0.3">
      <c r="A2637" t="s">
        <v>2684</v>
      </c>
      <c r="B2637" t="s">
        <v>46</v>
      </c>
      <c r="C2637">
        <v>2023</v>
      </c>
      <c r="D2637" t="s">
        <v>2689</v>
      </c>
      <c r="E2637">
        <v>90150</v>
      </c>
      <c r="F2637">
        <v>0</v>
      </c>
    </row>
    <row r="2638" spans="1:6" x14ac:dyDescent="0.3">
      <c r="A2638" t="s">
        <v>2685</v>
      </c>
      <c r="B2638" t="s">
        <v>46</v>
      </c>
      <c r="C2638">
        <v>2024</v>
      </c>
      <c r="D2638" t="s">
        <v>9</v>
      </c>
      <c r="E2638">
        <v>39123</v>
      </c>
      <c r="F2638">
        <v>0</v>
      </c>
    </row>
    <row r="2639" spans="1:6" x14ac:dyDescent="0.3">
      <c r="A2639" t="s">
        <v>2686</v>
      </c>
      <c r="B2639" t="s">
        <v>46</v>
      </c>
      <c r="C2639">
        <v>2024</v>
      </c>
      <c r="D2639" t="s">
        <v>9</v>
      </c>
      <c r="E2639">
        <v>171316</v>
      </c>
      <c r="F2639">
        <v>0</v>
      </c>
    </row>
    <row r="2640" spans="1:6" x14ac:dyDescent="0.3">
      <c r="A2640" t="s">
        <v>2687</v>
      </c>
      <c r="B2640" t="s">
        <v>46</v>
      </c>
      <c r="C2640">
        <v>2024</v>
      </c>
      <c r="D2640" t="s">
        <v>9</v>
      </c>
      <c r="E2640">
        <v>1075</v>
      </c>
      <c r="F2640">
        <v>0</v>
      </c>
    </row>
    <row r="2641" spans="1:6" x14ac:dyDescent="0.3">
      <c r="A2641" t="s">
        <v>2688</v>
      </c>
      <c r="B2641" t="s">
        <v>46</v>
      </c>
      <c r="C2641">
        <v>2024</v>
      </c>
      <c r="D2641" t="s">
        <v>9</v>
      </c>
      <c r="E2641">
        <v>655646</v>
      </c>
      <c r="F2641">
        <v>0</v>
      </c>
    </row>
  </sheetData>
  <autoFilter ref="A1:F2641" xr:uid="{08B4D071-3FBF-40EA-8DFC-19732D609D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F504-E2B1-4B1B-80FD-1543B546C631}">
  <sheetPr filterMode="1"/>
  <dimension ref="A1:F2914"/>
  <sheetViews>
    <sheetView workbookViewId="0">
      <selection activeCell="E114" sqref="E114:E1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>
        <v>1</v>
      </c>
      <c r="B2" t="s">
        <v>6</v>
      </c>
      <c r="C2">
        <v>2000</v>
      </c>
      <c r="D2" t="s">
        <v>7</v>
      </c>
      <c r="E2">
        <v>2580000</v>
      </c>
      <c r="F2">
        <v>50000</v>
      </c>
    </row>
    <row r="3" spans="1:6" hidden="1" x14ac:dyDescent="0.3">
      <c r="A3">
        <v>2</v>
      </c>
      <c r="B3" t="s">
        <v>8</v>
      </c>
      <c r="C3">
        <v>2000</v>
      </c>
      <c r="D3" t="s">
        <v>9</v>
      </c>
      <c r="E3">
        <v>200050</v>
      </c>
      <c r="F3">
        <v>0</v>
      </c>
    </row>
    <row r="4" spans="1:6" hidden="1" x14ac:dyDescent="0.3">
      <c r="A4">
        <v>3</v>
      </c>
      <c r="B4" t="s">
        <v>10</v>
      </c>
      <c r="C4">
        <v>2000</v>
      </c>
      <c r="D4" t="s">
        <v>7</v>
      </c>
      <c r="E4">
        <v>0</v>
      </c>
      <c r="F4">
        <v>158000000</v>
      </c>
    </row>
    <row r="5" spans="1:6" hidden="1" x14ac:dyDescent="0.3">
      <c r="A5">
        <v>4</v>
      </c>
      <c r="B5" t="s">
        <v>8</v>
      </c>
      <c r="C5">
        <v>2000</v>
      </c>
      <c r="D5" t="s">
        <v>11</v>
      </c>
      <c r="E5">
        <v>71000</v>
      </c>
      <c r="F5">
        <v>0</v>
      </c>
    </row>
    <row r="6" spans="1:6" hidden="1" x14ac:dyDescent="0.3">
      <c r="A6">
        <v>5</v>
      </c>
      <c r="B6" t="s">
        <v>12</v>
      </c>
      <c r="C6">
        <v>2000</v>
      </c>
      <c r="D6" t="s">
        <v>9</v>
      </c>
      <c r="E6">
        <v>70000</v>
      </c>
      <c r="F6">
        <v>10000000</v>
      </c>
    </row>
    <row r="7" spans="1:6" hidden="1" x14ac:dyDescent="0.3">
      <c r="A7">
        <v>6</v>
      </c>
      <c r="B7" t="s">
        <v>12</v>
      </c>
      <c r="C7">
        <v>2000</v>
      </c>
      <c r="D7" t="s">
        <v>9</v>
      </c>
      <c r="E7">
        <v>6000</v>
      </c>
      <c r="F7">
        <v>0</v>
      </c>
    </row>
    <row r="8" spans="1:6" hidden="1" x14ac:dyDescent="0.3">
      <c r="A8">
        <v>7</v>
      </c>
      <c r="B8" t="s">
        <v>12</v>
      </c>
      <c r="C8">
        <v>2000</v>
      </c>
      <c r="D8" t="s">
        <v>9</v>
      </c>
      <c r="E8">
        <v>3000</v>
      </c>
      <c r="F8">
        <v>0</v>
      </c>
    </row>
    <row r="9" spans="1:6" hidden="1" x14ac:dyDescent="0.3">
      <c r="A9">
        <v>8</v>
      </c>
      <c r="B9" t="s">
        <v>12</v>
      </c>
      <c r="C9">
        <v>2000</v>
      </c>
      <c r="D9" t="s">
        <v>9</v>
      </c>
      <c r="E9">
        <v>11</v>
      </c>
      <c r="F9">
        <v>0</v>
      </c>
    </row>
    <row r="10" spans="1:6" hidden="1" x14ac:dyDescent="0.3">
      <c r="A10">
        <v>9</v>
      </c>
      <c r="B10" t="s">
        <v>13</v>
      </c>
      <c r="C10">
        <v>2000</v>
      </c>
      <c r="D10" t="s">
        <v>14</v>
      </c>
      <c r="E10">
        <v>3294</v>
      </c>
      <c r="F10">
        <v>10000000</v>
      </c>
    </row>
    <row r="11" spans="1:6" hidden="1" x14ac:dyDescent="0.3">
      <c r="A11">
        <v>10</v>
      </c>
      <c r="B11" t="s">
        <v>13</v>
      </c>
      <c r="C11">
        <v>2000</v>
      </c>
      <c r="D11" t="s">
        <v>7</v>
      </c>
      <c r="E11">
        <v>0</v>
      </c>
      <c r="F11">
        <v>100000000</v>
      </c>
    </row>
    <row r="12" spans="1:6" hidden="1" x14ac:dyDescent="0.3">
      <c r="A12">
        <v>11</v>
      </c>
      <c r="B12" t="s">
        <v>8</v>
      </c>
      <c r="C12">
        <v>2000</v>
      </c>
      <c r="D12" t="s">
        <v>11</v>
      </c>
      <c r="E12">
        <v>3050</v>
      </c>
      <c r="F12">
        <v>0</v>
      </c>
    </row>
    <row r="13" spans="1:6" hidden="1" x14ac:dyDescent="0.3">
      <c r="A13">
        <v>12</v>
      </c>
      <c r="B13" t="s">
        <v>8</v>
      </c>
      <c r="C13">
        <v>2000</v>
      </c>
      <c r="D13" t="s">
        <v>11</v>
      </c>
      <c r="E13">
        <v>2537</v>
      </c>
      <c r="F13">
        <v>0</v>
      </c>
    </row>
    <row r="14" spans="1:6" hidden="1" x14ac:dyDescent="0.3">
      <c r="A14">
        <v>13</v>
      </c>
      <c r="B14" t="s">
        <v>8</v>
      </c>
      <c r="C14">
        <v>2000</v>
      </c>
      <c r="D14" t="s">
        <v>14</v>
      </c>
      <c r="E14">
        <v>1000</v>
      </c>
      <c r="F14">
        <v>0</v>
      </c>
    </row>
    <row r="15" spans="1:6" hidden="1" x14ac:dyDescent="0.3">
      <c r="A15">
        <v>14</v>
      </c>
      <c r="B15" t="s">
        <v>8</v>
      </c>
      <c r="C15">
        <v>2000</v>
      </c>
      <c r="D15" t="s">
        <v>9</v>
      </c>
      <c r="E15">
        <v>12010</v>
      </c>
      <c r="F15">
        <v>0</v>
      </c>
    </row>
    <row r="16" spans="1:6" hidden="1" x14ac:dyDescent="0.3">
      <c r="A16">
        <v>15</v>
      </c>
      <c r="B16" t="s">
        <v>8</v>
      </c>
      <c r="C16">
        <v>2000</v>
      </c>
      <c r="D16" t="s">
        <v>9</v>
      </c>
      <c r="E16">
        <v>2467138</v>
      </c>
      <c r="F16">
        <v>500000000</v>
      </c>
    </row>
    <row r="17" spans="1:6" hidden="1" x14ac:dyDescent="0.3">
      <c r="A17">
        <v>16</v>
      </c>
      <c r="B17" t="s">
        <v>8</v>
      </c>
      <c r="C17">
        <v>2000</v>
      </c>
      <c r="D17" t="s">
        <v>11</v>
      </c>
      <c r="E17">
        <v>62800</v>
      </c>
      <c r="F17">
        <v>0</v>
      </c>
    </row>
    <row r="18" spans="1:6" hidden="1" x14ac:dyDescent="0.3">
      <c r="A18">
        <v>17</v>
      </c>
      <c r="B18" t="s">
        <v>8</v>
      </c>
      <c r="C18">
        <v>2000</v>
      </c>
      <c r="D18" t="s">
        <v>11</v>
      </c>
      <c r="E18">
        <v>7012</v>
      </c>
      <c r="F18">
        <v>0</v>
      </c>
    </row>
    <row r="19" spans="1:6" hidden="1" x14ac:dyDescent="0.3">
      <c r="A19">
        <v>18</v>
      </c>
      <c r="B19" t="s">
        <v>8</v>
      </c>
      <c r="C19">
        <v>2000</v>
      </c>
      <c r="D19" t="s">
        <v>11</v>
      </c>
      <c r="E19">
        <v>200</v>
      </c>
      <c r="F19">
        <v>0</v>
      </c>
    </row>
    <row r="20" spans="1:6" hidden="1" x14ac:dyDescent="0.3">
      <c r="A20">
        <v>19</v>
      </c>
      <c r="B20" t="s">
        <v>8</v>
      </c>
      <c r="C20">
        <v>2000</v>
      </c>
      <c r="D20" t="s">
        <v>11</v>
      </c>
      <c r="E20">
        <v>0</v>
      </c>
      <c r="F20">
        <v>0</v>
      </c>
    </row>
    <row r="21" spans="1:6" hidden="1" x14ac:dyDescent="0.3">
      <c r="A21">
        <v>20</v>
      </c>
      <c r="B21" t="s">
        <v>15</v>
      </c>
      <c r="C21">
        <v>2000</v>
      </c>
      <c r="D21" t="s">
        <v>7</v>
      </c>
      <c r="E21">
        <v>0</v>
      </c>
      <c r="F21">
        <v>0</v>
      </c>
    </row>
    <row r="22" spans="1:6" hidden="1" x14ac:dyDescent="0.3">
      <c r="A22">
        <v>21</v>
      </c>
      <c r="B22" t="s">
        <v>6</v>
      </c>
      <c r="C22">
        <v>2001</v>
      </c>
      <c r="D22" t="s">
        <v>14</v>
      </c>
      <c r="E22">
        <v>0</v>
      </c>
      <c r="F22">
        <v>0</v>
      </c>
    </row>
    <row r="23" spans="1:6" hidden="1" x14ac:dyDescent="0.3">
      <c r="A23">
        <v>22</v>
      </c>
      <c r="B23" t="s">
        <v>12</v>
      </c>
      <c r="C23">
        <v>2001</v>
      </c>
      <c r="D23" t="s">
        <v>9</v>
      </c>
      <c r="E23">
        <v>5</v>
      </c>
      <c r="F23">
        <v>0</v>
      </c>
    </row>
    <row r="24" spans="1:6" hidden="1" x14ac:dyDescent="0.3">
      <c r="A24">
        <v>23</v>
      </c>
      <c r="B24" t="s">
        <v>16</v>
      </c>
      <c r="C24">
        <v>2000</v>
      </c>
      <c r="D24" t="s">
        <v>7</v>
      </c>
      <c r="E24">
        <v>50000000</v>
      </c>
      <c r="F24">
        <v>588000000</v>
      </c>
    </row>
    <row r="25" spans="1:6" hidden="1" x14ac:dyDescent="0.3">
      <c r="A25">
        <v>24</v>
      </c>
      <c r="B25" t="s">
        <v>17</v>
      </c>
      <c r="C25">
        <v>2000</v>
      </c>
      <c r="D25" t="s">
        <v>11</v>
      </c>
      <c r="E25">
        <v>375000</v>
      </c>
      <c r="F25">
        <v>0</v>
      </c>
    </row>
    <row r="26" spans="1:6" hidden="1" x14ac:dyDescent="0.3">
      <c r="A26">
        <v>25</v>
      </c>
      <c r="B26" t="s">
        <v>18</v>
      </c>
      <c r="C26">
        <v>2000</v>
      </c>
      <c r="D26" t="s">
        <v>11</v>
      </c>
      <c r="E26">
        <v>5500</v>
      </c>
      <c r="F26">
        <v>0</v>
      </c>
    </row>
    <row r="27" spans="1:6" hidden="1" x14ac:dyDescent="0.3">
      <c r="A27">
        <v>26</v>
      </c>
      <c r="B27" t="s">
        <v>19</v>
      </c>
      <c r="C27">
        <v>2000</v>
      </c>
      <c r="D27" t="s">
        <v>9</v>
      </c>
      <c r="E27">
        <v>462</v>
      </c>
      <c r="F27">
        <v>0</v>
      </c>
    </row>
    <row r="28" spans="1:6" hidden="1" x14ac:dyDescent="0.3">
      <c r="A28">
        <v>27</v>
      </c>
      <c r="B28" t="s">
        <v>20</v>
      </c>
      <c r="C28">
        <v>2000</v>
      </c>
      <c r="D28" t="s">
        <v>14</v>
      </c>
      <c r="E28">
        <v>204714</v>
      </c>
      <c r="F28">
        <v>41000000</v>
      </c>
    </row>
    <row r="29" spans="1:6" hidden="1" x14ac:dyDescent="0.3">
      <c r="A29">
        <v>28</v>
      </c>
      <c r="B29" t="s">
        <v>20</v>
      </c>
      <c r="C29">
        <v>2000</v>
      </c>
      <c r="D29" t="s">
        <v>9</v>
      </c>
      <c r="E29">
        <v>39852</v>
      </c>
      <c r="F29">
        <v>0</v>
      </c>
    </row>
    <row r="30" spans="1:6" hidden="1" x14ac:dyDescent="0.3">
      <c r="A30">
        <v>29</v>
      </c>
      <c r="B30" t="s">
        <v>21</v>
      </c>
      <c r="C30">
        <v>2000</v>
      </c>
      <c r="D30" t="s">
        <v>9</v>
      </c>
      <c r="E30">
        <v>0</v>
      </c>
      <c r="F30">
        <v>0</v>
      </c>
    </row>
    <row r="31" spans="1:6" hidden="1" x14ac:dyDescent="0.3">
      <c r="A31">
        <v>30</v>
      </c>
      <c r="B31" t="s">
        <v>20</v>
      </c>
      <c r="C31">
        <v>2000</v>
      </c>
      <c r="D31" t="s">
        <v>14</v>
      </c>
      <c r="E31">
        <v>52770</v>
      </c>
      <c r="F31">
        <v>30000000</v>
      </c>
    </row>
    <row r="32" spans="1:6" hidden="1" x14ac:dyDescent="0.3">
      <c r="A32">
        <v>31</v>
      </c>
      <c r="B32" t="s">
        <v>16</v>
      </c>
      <c r="C32">
        <v>2000</v>
      </c>
      <c r="D32" t="s">
        <v>9</v>
      </c>
      <c r="E32">
        <v>3000000</v>
      </c>
      <c r="F32">
        <v>0</v>
      </c>
    </row>
    <row r="33" spans="1:6" hidden="1" x14ac:dyDescent="0.3">
      <c r="A33">
        <v>32</v>
      </c>
      <c r="B33" t="s">
        <v>22</v>
      </c>
      <c r="C33">
        <v>2000</v>
      </c>
      <c r="D33" t="s">
        <v>11</v>
      </c>
      <c r="E33">
        <v>369272</v>
      </c>
      <c r="F33">
        <v>0</v>
      </c>
    </row>
    <row r="34" spans="1:6" hidden="1" x14ac:dyDescent="0.3">
      <c r="A34">
        <v>33</v>
      </c>
      <c r="B34" t="s">
        <v>22</v>
      </c>
      <c r="C34">
        <v>2000</v>
      </c>
      <c r="D34" t="s">
        <v>11</v>
      </c>
      <c r="E34">
        <v>736937</v>
      </c>
      <c r="F34">
        <v>9000000</v>
      </c>
    </row>
    <row r="35" spans="1:6" hidden="1" x14ac:dyDescent="0.3">
      <c r="A35">
        <v>34</v>
      </c>
      <c r="B35" t="s">
        <v>23</v>
      </c>
      <c r="C35">
        <v>2000</v>
      </c>
      <c r="D35" t="s">
        <v>7</v>
      </c>
      <c r="E35">
        <v>1125</v>
      </c>
      <c r="F35">
        <v>0</v>
      </c>
    </row>
    <row r="36" spans="1:6" hidden="1" x14ac:dyDescent="0.3">
      <c r="A36">
        <v>35</v>
      </c>
      <c r="B36" t="s">
        <v>24</v>
      </c>
      <c r="C36">
        <v>2000</v>
      </c>
      <c r="D36" t="s">
        <v>7</v>
      </c>
      <c r="E36">
        <v>0</v>
      </c>
      <c r="F36">
        <v>0</v>
      </c>
    </row>
    <row r="37" spans="1:6" hidden="1" x14ac:dyDescent="0.3">
      <c r="A37">
        <v>36</v>
      </c>
      <c r="B37" t="s">
        <v>25</v>
      </c>
      <c r="C37">
        <v>2000</v>
      </c>
      <c r="D37" t="s">
        <v>9</v>
      </c>
      <c r="E37">
        <v>100</v>
      </c>
      <c r="F37">
        <v>0</v>
      </c>
    </row>
    <row r="38" spans="1:6" hidden="1" x14ac:dyDescent="0.3">
      <c r="A38">
        <v>37</v>
      </c>
      <c r="B38" t="s">
        <v>25</v>
      </c>
      <c r="C38">
        <v>2000</v>
      </c>
      <c r="D38" t="s">
        <v>9</v>
      </c>
      <c r="E38">
        <v>5</v>
      </c>
      <c r="F38">
        <v>0</v>
      </c>
    </row>
    <row r="39" spans="1:6" hidden="1" x14ac:dyDescent="0.3">
      <c r="A39">
        <v>38</v>
      </c>
      <c r="B39" t="s">
        <v>25</v>
      </c>
      <c r="C39">
        <v>2000</v>
      </c>
      <c r="D39" t="s">
        <v>9</v>
      </c>
      <c r="E39">
        <v>0</v>
      </c>
      <c r="F39">
        <v>0</v>
      </c>
    </row>
    <row r="40" spans="1:6" hidden="1" x14ac:dyDescent="0.3">
      <c r="A40">
        <v>39</v>
      </c>
      <c r="B40" t="s">
        <v>25</v>
      </c>
      <c r="C40">
        <v>2000</v>
      </c>
      <c r="D40" t="s">
        <v>9</v>
      </c>
      <c r="E40">
        <v>100</v>
      </c>
      <c r="F40">
        <v>0</v>
      </c>
    </row>
    <row r="41" spans="1:6" hidden="1" x14ac:dyDescent="0.3">
      <c r="A41">
        <v>40</v>
      </c>
      <c r="B41" t="s">
        <v>25</v>
      </c>
      <c r="C41">
        <v>2000</v>
      </c>
      <c r="D41" t="s">
        <v>11</v>
      </c>
      <c r="E41">
        <v>10</v>
      </c>
      <c r="F41">
        <v>0</v>
      </c>
    </row>
    <row r="42" spans="1:6" hidden="1" x14ac:dyDescent="0.3">
      <c r="A42">
        <v>41</v>
      </c>
      <c r="B42" t="s">
        <v>26</v>
      </c>
      <c r="C42">
        <v>2000</v>
      </c>
      <c r="D42" t="s">
        <v>9</v>
      </c>
      <c r="E42">
        <v>30000</v>
      </c>
      <c r="F42">
        <v>0</v>
      </c>
    </row>
    <row r="43" spans="1:6" hidden="1" x14ac:dyDescent="0.3">
      <c r="A43">
        <v>42</v>
      </c>
      <c r="B43" t="s">
        <v>26</v>
      </c>
      <c r="C43">
        <v>2000</v>
      </c>
      <c r="D43" t="s">
        <v>9</v>
      </c>
      <c r="E43">
        <v>0</v>
      </c>
      <c r="F43">
        <v>0</v>
      </c>
    </row>
    <row r="44" spans="1:6" hidden="1" x14ac:dyDescent="0.3">
      <c r="A44">
        <v>43</v>
      </c>
      <c r="B44" t="s">
        <v>19</v>
      </c>
      <c r="C44">
        <v>2000</v>
      </c>
      <c r="D44" t="s">
        <v>9</v>
      </c>
      <c r="E44">
        <v>2524</v>
      </c>
      <c r="F44">
        <v>0</v>
      </c>
    </row>
    <row r="45" spans="1:6" hidden="1" x14ac:dyDescent="0.3">
      <c r="A45">
        <v>44</v>
      </c>
      <c r="B45" t="s">
        <v>27</v>
      </c>
      <c r="C45">
        <v>2000</v>
      </c>
      <c r="D45" t="s">
        <v>9</v>
      </c>
      <c r="E45">
        <v>0</v>
      </c>
      <c r="F45">
        <v>0</v>
      </c>
    </row>
    <row r="46" spans="1:6" hidden="1" x14ac:dyDescent="0.3">
      <c r="A46">
        <v>45</v>
      </c>
      <c r="B46" t="s">
        <v>27</v>
      </c>
      <c r="C46">
        <v>2000</v>
      </c>
      <c r="D46" t="s">
        <v>9</v>
      </c>
      <c r="E46">
        <v>1200</v>
      </c>
      <c r="F46">
        <v>0</v>
      </c>
    </row>
    <row r="47" spans="1:6" hidden="1" x14ac:dyDescent="0.3">
      <c r="A47">
        <v>46</v>
      </c>
      <c r="B47" t="s">
        <v>20</v>
      </c>
      <c r="C47">
        <v>2000</v>
      </c>
      <c r="D47" t="s">
        <v>14</v>
      </c>
      <c r="E47">
        <v>4124</v>
      </c>
      <c r="F47">
        <v>2000000</v>
      </c>
    </row>
    <row r="48" spans="1:6" hidden="1" x14ac:dyDescent="0.3">
      <c r="A48">
        <v>47</v>
      </c>
      <c r="B48" t="s">
        <v>20</v>
      </c>
      <c r="C48">
        <v>2000</v>
      </c>
      <c r="D48" t="s">
        <v>14</v>
      </c>
      <c r="E48">
        <v>5500</v>
      </c>
      <c r="F48">
        <v>0</v>
      </c>
    </row>
    <row r="49" spans="1:6" hidden="1" x14ac:dyDescent="0.3">
      <c r="A49">
        <v>48</v>
      </c>
      <c r="B49" t="s">
        <v>20</v>
      </c>
      <c r="C49">
        <v>2000</v>
      </c>
      <c r="D49" t="s">
        <v>14</v>
      </c>
      <c r="E49">
        <v>3000</v>
      </c>
      <c r="F49">
        <v>0</v>
      </c>
    </row>
    <row r="50" spans="1:6" hidden="1" x14ac:dyDescent="0.3">
      <c r="A50">
        <v>49</v>
      </c>
      <c r="B50" t="s">
        <v>20</v>
      </c>
      <c r="C50">
        <v>2000</v>
      </c>
      <c r="D50" t="s">
        <v>9</v>
      </c>
      <c r="E50">
        <v>50000</v>
      </c>
      <c r="F50">
        <v>79000000</v>
      </c>
    </row>
    <row r="51" spans="1:6" hidden="1" x14ac:dyDescent="0.3">
      <c r="A51">
        <v>50</v>
      </c>
      <c r="B51" t="s">
        <v>20</v>
      </c>
      <c r="C51">
        <v>2000</v>
      </c>
      <c r="D51" t="s">
        <v>9</v>
      </c>
      <c r="E51">
        <v>386021</v>
      </c>
      <c r="F51">
        <v>34000000</v>
      </c>
    </row>
    <row r="52" spans="1:6" hidden="1" x14ac:dyDescent="0.3">
      <c r="A52">
        <v>51</v>
      </c>
      <c r="B52" t="s">
        <v>16</v>
      </c>
      <c r="C52">
        <v>2000</v>
      </c>
      <c r="D52" t="s">
        <v>9</v>
      </c>
      <c r="E52">
        <v>0</v>
      </c>
      <c r="F52">
        <v>0</v>
      </c>
    </row>
    <row r="53" spans="1:6" hidden="1" x14ac:dyDescent="0.3">
      <c r="A53">
        <v>52</v>
      </c>
      <c r="B53" t="s">
        <v>16</v>
      </c>
      <c r="C53">
        <v>2000</v>
      </c>
      <c r="D53" t="s">
        <v>9</v>
      </c>
      <c r="E53">
        <v>252016</v>
      </c>
      <c r="F53">
        <v>173000000</v>
      </c>
    </row>
    <row r="54" spans="1:6" hidden="1" x14ac:dyDescent="0.3">
      <c r="A54">
        <v>53</v>
      </c>
      <c r="B54" t="s">
        <v>16</v>
      </c>
      <c r="C54">
        <v>2000</v>
      </c>
      <c r="D54" t="s">
        <v>9</v>
      </c>
      <c r="E54">
        <v>22000000</v>
      </c>
      <c r="F54">
        <v>43000000</v>
      </c>
    </row>
    <row r="55" spans="1:6" hidden="1" x14ac:dyDescent="0.3">
      <c r="A55">
        <v>54</v>
      </c>
      <c r="B55" t="s">
        <v>16</v>
      </c>
      <c r="C55">
        <v>2000</v>
      </c>
      <c r="D55" t="s">
        <v>9</v>
      </c>
      <c r="E55">
        <v>24600000</v>
      </c>
      <c r="F55">
        <v>691500000</v>
      </c>
    </row>
    <row r="56" spans="1:6" hidden="1" x14ac:dyDescent="0.3">
      <c r="A56">
        <v>55</v>
      </c>
      <c r="B56" t="s">
        <v>16</v>
      </c>
      <c r="C56">
        <v>2000</v>
      </c>
      <c r="D56" t="s">
        <v>11</v>
      </c>
      <c r="E56">
        <v>0</v>
      </c>
      <c r="F56">
        <v>0</v>
      </c>
    </row>
    <row r="57" spans="1:6" hidden="1" x14ac:dyDescent="0.3">
      <c r="A57">
        <v>56</v>
      </c>
      <c r="B57" t="s">
        <v>16</v>
      </c>
      <c r="C57">
        <v>2000</v>
      </c>
      <c r="D57" t="s">
        <v>11</v>
      </c>
      <c r="E57">
        <v>30000</v>
      </c>
      <c r="F57">
        <v>0</v>
      </c>
    </row>
    <row r="58" spans="1:6" hidden="1" x14ac:dyDescent="0.3">
      <c r="A58">
        <v>57</v>
      </c>
      <c r="B58" t="s">
        <v>16</v>
      </c>
      <c r="C58">
        <v>2000</v>
      </c>
      <c r="D58" t="s">
        <v>9</v>
      </c>
      <c r="E58">
        <v>534035</v>
      </c>
      <c r="F58">
        <v>0</v>
      </c>
    </row>
    <row r="59" spans="1:6" hidden="1" x14ac:dyDescent="0.3">
      <c r="A59">
        <v>58</v>
      </c>
      <c r="B59" t="s">
        <v>18</v>
      </c>
      <c r="C59">
        <v>2000</v>
      </c>
      <c r="D59" t="s">
        <v>14</v>
      </c>
      <c r="E59">
        <v>2015</v>
      </c>
      <c r="F59">
        <v>0</v>
      </c>
    </row>
    <row r="60" spans="1:6" hidden="1" x14ac:dyDescent="0.3">
      <c r="A60">
        <v>59</v>
      </c>
      <c r="B60" t="s">
        <v>18</v>
      </c>
      <c r="C60">
        <v>2000</v>
      </c>
      <c r="D60" t="s">
        <v>14</v>
      </c>
      <c r="E60">
        <v>1000</v>
      </c>
      <c r="F60">
        <v>0</v>
      </c>
    </row>
    <row r="61" spans="1:6" hidden="1" x14ac:dyDescent="0.3">
      <c r="A61">
        <v>60</v>
      </c>
      <c r="B61" t="s">
        <v>18</v>
      </c>
      <c r="C61">
        <v>2000</v>
      </c>
      <c r="D61" t="s">
        <v>9</v>
      </c>
      <c r="E61">
        <v>400</v>
      </c>
      <c r="F61">
        <v>6000000</v>
      </c>
    </row>
    <row r="62" spans="1:6" hidden="1" x14ac:dyDescent="0.3">
      <c r="A62">
        <v>61</v>
      </c>
      <c r="B62" t="s">
        <v>18</v>
      </c>
      <c r="C62">
        <v>2000</v>
      </c>
      <c r="D62" t="s">
        <v>9</v>
      </c>
      <c r="E62">
        <v>0</v>
      </c>
      <c r="F62">
        <v>0</v>
      </c>
    </row>
    <row r="63" spans="1:6" hidden="1" x14ac:dyDescent="0.3">
      <c r="A63">
        <v>62</v>
      </c>
      <c r="B63" t="s">
        <v>18</v>
      </c>
      <c r="C63">
        <v>2000</v>
      </c>
      <c r="D63" t="s">
        <v>9</v>
      </c>
      <c r="E63">
        <v>0</v>
      </c>
      <c r="F63">
        <v>0</v>
      </c>
    </row>
    <row r="64" spans="1:6" hidden="1" x14ac:dyDescent="0.3">
      <c r="A64">
        <v>63</v>
      </c>
      <c r="B64" t="s">
        <v>28</v>
      </c>
      <c r="C64">
        <v>2000</v>
      </c>
      <c r="D64" t="s">
        <v>7</v>
      </c>
      <c r="E64">
        <v>0</v>
      </c>
      <c r="F64">
        <v>6000000</v>
      </c>
    </row>
    <row r="65" spans="1:6" hidden="1" x14ac:dyDescent="0.3">
      <c r="A65">
        <v>64</v>
      </c>
      <c r="B65" t="s">
        <v>17</v>
      </c>
      <c r="C65">
        <v>2000</v>
      </c>
      <c r="D65" t="s">
        <v>9</v>
      </c>
      <c r="E65">
        <v>100000</v>
      </c>
      <c r="F65">
        <v>0</v>
      </c>
    </row>
    <row r="66" spans="1:6" hidden="1" x14ac:dyDescent="0.3">
      <c r="A66">
        <v>65</v>
      </c>
      <c r="B66" t="s">
        <v>17</v>
      </c>
      <c r="C66">
        <v>2000</v>
      </c>
      <c r="D66" t="s">
        <v>9</v>
      </c>
      <c r="E66">
        <v>300000</v>
      </c>
      <c r="F66">
        <v>3000000</v>
      </c>
    </row>
    <row r="67" spans="1:6" hidden="1" x14ac:dyDescent="0.3">
      <c r="A67">
        <v>66</v>
      </c>
      <c r="B67" t="s">
        <v>29</v>
      </c>
      <c r="C67">
        <v>2000</v>
      </c>
      <c r="D67" t="s">
        <v>9</v>
      </c>
      <c r="E67">
        <v>300</v>
      </c>
      <c r="F67">
        <v>0</v>
      </c>
    </row>
    <row r="68" spans="1:6" hidden="1" x14ac:dyDescent="0.3">
      <c r="A68">
        <v>67</v>
      </c>
      <c r="B68" t="s">
        <v>29</v>
      </c>
      <c r="C68">
        <v>2000</v>
      </c>
      <c r="D68" t="s">
        <v>9</v>
      </c>
      <c r="E68">
        <v>650</v>
      </c>
      <c r="F68">
        <v>0</v>
      </c>
    </row>
    <row r="69" spans="1:6" hidden="1" x14ac:dyDescent="0.3">
      <c r="A69">
        <v>68</v>
      </c>
      <c r="B69" t="s">
        <v>22</v>
      </c>
      <c r="C69">
        <v>2000</v>
      </c>
      <c r="D69" t="s">
        <v>7</v>
      </c>
      <c r="E69">
        <v>231290</v>
      </c>
      <c r="F69">
        <v>0</v>
      </c>
    </row>
    <row r="70" spans="1:6" hidden="1" x14ac:dyDescent="0.3">
      <c r="A70">
        <v>69</v>
      </c>
      <c r="B70" t="s">
        <v>21</v>
      </c>
      <c r="C70">
        <v>2000</v>
      </c>
      <c r="D70" t="s">
        <v>11</v>
      </c>
      <c r="E70">
        <v>300</v>
      </c>
      <c r="F70">
        <v>0</v>
      </c>
    </row>
    <row r="71" spans="1:6" hidden="1" x14ac:dyDescent="0.3">
      <c r="A71">
        <v>70</v>
      </c>
      <c r="B71" t="s">
        <v>21</v>
      </c>
      <c r="C71">
        <v>2000</v>
      </c>
      <c r="D71" t="s">
        <v>14</v>
      </c>
      <c r="E71">
        <v>1</v>
      </c>
      <c r="F71">
        <v>0</v>
      </c>
    </row>
    <row r="72" spans="1:6" hidden="1" x14ac:dyDescent="0.3">
      <c r="A72">
        <v>71</v>
      </c>
      <c r="B72" t="s">
        <v>21</v>
      </c>
      <c r="C72">
        <v>2000</v>
      </c>
      <c r="D72" t="s">
        <v>9</v>
      </c>
      <c r="E72">
        <v>0</v>
      </c>
      <c r="F72">
        <v>0</v>
      </c>
    </row>
    <row r="73" spans="1:6" hidden="1" x14ac:dyDescent="0.3">
      <c r="A73">
        <v>72</v>
      </c>
      <c r="B73" t="s">
        <v>21</v>
      </c>
      <c r="C73">
        <v>2000</v>
      </c>
      <c r="D73" t="s">
        <v>11</v>
      </c>
      <c r="E73">
        <v>30000</v>
      </c>
      <c r="F73">
        <v>1000000</v>
      </c>
    </row>
    <row r="74" spans="1:6" hidden="1" x14ac:dyDescent="0.3">
      <c r="A74">
        <v>73</v>
      </c>
      <c r="B74" t="s">
        <v>21</v>
      </c>
      <c r="C74">
        <v>2000</v>
      </c>
      <c r="D74" t="s">
        <v>9</v>
      </c>
      <c r="E74">
        <v>2000</v>
      </c>
      <c r="F74">
        <v>0</v>
      </c>
    </row>
    <row r="75" spans="1:6" hidden="1" x14ac:dyDescent="0.3">
      <c r="A75">
        <v>74</v>
      </c>
      <c r="B75" t="s">
        <v>30</v>
      </c>
      <c r="C75">
        <v>2000</v>
      </c>
      <c r="D75" t="s">
        <v>9</v>
      </c>
      <c r="E75">
        <v>4500000</v>
      </c>
      <c r="F75">
        <v>419200000</v>
      </c>
    </row>
    <row r="76" spans="1:6" hidden="1" x14ac:dyDescent="0.3">
      <c r="A76">
        <v>75</v>
      </c>
      <c r="B76" t="s">
        <v>30</v>
      </c>
      <c r="C76">
        <v>2000</v>
      </c>
      <c r="D76" t="s">
        <v>11</v>
      </c>
      <c r="E76">
        <v>0</v>
      </c>
      <c r="F76">
        <v>1000000</v>
      </c>
    </row>
    <row r="77" spans="1:6" hidden="1" x14ac:dyDescent="0.3">
      <c r="A77">
        <v>76</v>
      </c>
      <c r="B77" t="s">
        <v>30</v>
      </c>
      <c r="C77">
        <v>2000</v>
      </c>
      <c r="D77" t="s">
        <v>11</v>
      </c>
      <c r="E77">
        <v>304</v>
      </c>
      <c r="F77">
        <v>0</v>
      </c>
    </row>
    <row r="78" spans="1:6" hidden="1" x14ac:dyDescent="0.3">
      <c r="A78">
        <v>77</v>
      </c>
      <c r="B78" t="s">
        <v>30</v>
      </c>
      <c r="C78">
        <v>2000</v>
      </c>
      <c r="D78" t="s">
        <v>11</v>
      </c>
      <c r="E78">
        <v>750</v>
      </c>
      <c r="F78">
        <v>0</v>
      </c>
    </row>
    <row r="79" spans="1:6" hidden="1" x14ac:dyDescent="0.3">
      <c r="A79">
        <v>78</v>
      </c>
      <c r="B79" t="s">
        <v>30</v>
      </c>
      <c r="C79">
        <v>2000</v>
      </c>
      <c r="D79" t="s">
        <v>11</v>
      </c>
      <c r="E79">
        <v>350</v>
      </c>
      <c r="F79">
        <v>0</v>
      </c>
    </row>
    <row r="80" spans="1:6" hidden="1" x14ac:dyDescent="0.3">
      <c r="A80">
        <v>79</v>
      </c>
      <c r="B80" t="s">
        <v>31</v>
      </c>
      <c r="C80">
        <v>2000</v>
      </c>
      <c r="D80" t="s">
        <v>9</v>
      </c>
      <c r="E80">
        <v>5000</v>
      </c>
      <c r="F80">
        <v>0</v>
      </c>
    </row>
    <row r="81" spans="1:6" hidden="1" x14ac:dyDescent="0.3">
      <c r="A81">
        <v>80</v>
      </c>
      <c r="B81" t="s">
        <v>32</v>
      </c>
      <c r="C81">
        <v>2000</v>
      </c>
      <c r="D81" t="s">
        <v>9</v>
      </c>
      <c r="E81">
        <v>4159</v>
      </c>
      <c r="F81">
        <v>0</v>
      </c>
    </row>
    <row r="82" spans="1:6" hidden="1" x14ac:dyDescent="0.3">
      <c r="A82">
        <v>81</v>
      </c>
      <c r="B82" t="s">
        <v>24</v>
      </c>
      <c r="C82">
        <v>2000</v>
      </c>
      <c r="D82" t="s">
        <v>11</v>
      </c>
      <c r="E82">
        <v>210</v>
      </c>
      <c r="F82">
        <v>0</v>
      </c>
    </row>
    <row r="83" spans="1:6" hidden="1" x14ac:dyDescent="0.3">
      <c r="A83">
        <v>82</v>
      </c>
      <c r="B83" t="s">
        <v>24</v>
      </c>
      <c r="C83">
        <v>2000</v>
      </c>
      <c r="D83" t="s">
        <v>14</v>
      </c>
      <c r="E83">
        <v>7477</v>
      </c>
      <c r="F83">
        <v>0</v>
      </c>
    </row>
    <row r="84" spans="1:6" hidden="1" x14ac:dyDescent="0.3">
      <c r="A84">
        <v>83</v>
      </c>
      <c r="B84" t="s">
        <v>24</v>
      </c>
      <c r="C84">
        <v>2000</v>
      </c>
      <c r="D84" t="s">
        <v>9</v>
      </c>
      <c r="E84">
        <v>5500</v>
      </c>
      <c r="F84">
        <v>0</v>
      </c>
    </row>
    <row r="85" spans="1:6" hidden="1" x14ac:dyDescent="0.3">
      <c r="A85">
        <v>84</v>
      </c>
      <c r="B85" t="s">
        <v>24</v>
      </c>
      <c r="C85">
        <v>2000</v>
      </c>
      <c r="D85" t="s">
        <v>11</v>
      </c>
      <c r="E85">
        <v>2300</v>
      </c>
      <c r="F85">
        <v>1000000</v>
      </c>
    </row>
    <row r="86" spans="1:6" hidden="1" x14ac:dyDescent="0.3">
      <c r="A86">
        <v>85</v>
      </c>
      <c r="B86" t="s">
        <v>33</v>
      </c>
      <c r="C86">
        <v>2000</v>
      </c>
      <c r="D86" t="s">
        <v>9</v>
      </c>
      <c r="E86">
        <v>50070</v>
      </c>
      <c r="F86">
        <v>6300000</v>
      </c>
    </row>
    <row r="87" spans="1:6" hidden="1" x14ac:dyDescent="0.3">
      <c r="A87">
        <v>86</v>
      </c>
      <c r="B87" t="s">
        <v>20</v>
      </c>
      <c r="C87">
        <v>2001</v>
      </c>
      <c r="D87" t="s">
        <v>9</v>
      </c>
      <c r="E87">
        <v>80000</v>
      </c>
      <c r="F87">
        <v>10000000</v>
      </c>
    </row>
    <row r="88" spans="1:6" hidden="1" x14ac:dyDescent="0.3">
      <c r="A88">
        <v>87</v>
      </c>
      <c r="B88" t="s">
        <v>19</v>
      </c>
      <c r="C88">
        <v>2001</v>
      </c>
      <c r="D88" t="s">
        <v>14</v>
      </c>
      <c r="E88">
        <v>152</v>
      </c>
      <c r="F88">
        <v>50000</v>
      </c>
    </row>
    <row r="89" spans="1:6" hidden="1" x14ac:dyDescent="0.3">
      <c r="A89">
        <v>88</v>
      </c>
      <c r="B89" t="s">
        <v>16</v>
      </c>
      <c r="C89">
        <v>2001</v>
      </c>
      <c r="D89" t="s">
        <v>14</v>
      </c>
      <c r="E89">
        <v>6321812</v>
      </c>
      <c r="F89">
        <v>2623000000</v>
      </c>
    </row>
    <row r="90" spans="1:6" hidden="1" x14ac:dyDescent="0.3">
      <c r="A90">
        <v>89</v>
      </c>
      <c r="B90" t="s">
        <v>34</v>
      </c>
      <c r="C90">
        <v>2001</v>
      </c>
      <c r="D90" t="s">
        <v>9</v>
      </c>
      <c r="E90">
        <v>0</v>
      </c>
      <c r="F90">
        <v>38000</v>
      </c>
    </row>
    <row r="91" spans="1:6" hidden="1" x14ac:dyDescent="0.3">
      <c r="A91">
        <v>90</v>
      </c>
      <c r="B91" t="s">
        <v>17</v>
      </c>
      <c r="C91">
        <v>2001</v>
      </c>
      <c r="D91" t="s">
        <v>9</v>
      </c>
      <c r="E91">
        <v>160</v>
      </c>
      <c r="F91">
        <v>0</v>
      </c>
    </row>
    <row r="92" spans="1:6" hidden="1" x14ac:dyDescent="0.3">
      <c r="A92">
        <v>91</v>
      </c>
      <c r="B92" t="s">
        <v>30</v>
      </c>
      <c r="C92">
        <v>2001</v>
      </c>
      <c r="D92" t="s">
        <v>9</v>
      </c>
      <c r="E92">
        <v>549326</v>
      </c>
      <c r="F92">
        <v>36000000</v>
      </c>
    </row>
    <row r="93" spans="1:6" hidden="1" x14ac:dyDescent="0.3">
      <c r="A93">
        <v>92</v>
      </c>
      <c r="B93" t="s">
        <v>35</v>
      </c>
      <c r="C93">
        <v>2001</v>
      </c>
      <c r="D93" t="s">
        <v>14</v>
      </c>
      <c r="E93">
        <v>914292</v>
      </c>
      <c r="F93">
        <v>500000</v>
      </c>
    </row>
    <row r="94" spans="1:6" hidden="1" x14ac:dyDescent="0.3">
      <c r="A94">
        <v>93</v>
      </c>
      <c r="B94" t="s">
        <v>36</v>
      </c>
      <c r="C94">
        <v>2000</v>
      </c>
      <c r="D94" t="s">
        <v>9</v>
      </c>
      <c r="E94">
        <v>50</v>
      </c>
      <c r="F94">
        <v>0</v>
      </c>
    </row>
    <row r="95" spans="1:6" hidden="1" x14ac:dyDescent="0.3">
      <c r="A95">
        <v>94</v>
      </c>
      <c r="B95" t="s">
        <v>37</v>
      </c>
      <c r="C95">
        <v>2000</v>
      </c>
      <c r="D95" t="s">
        <v>9</v>
      </c>
      <c r="E95">
        <v>153885</v>
      </c>
      <c r="F95">
        <v>4080000</v>
      </c>
    </row>
    <row r="96" spans="1:6" hidden="1" x14ac:dyDescent="0.3">
      <c r="A96">
        <v>95</v>
      </c>
      <c r="B96" t="s">
        <v>38</v>
      </c>
      <c r="C96">
        <v>2000</v>
      </c>
      <c r="D96" t="s">
        <v>11</v>
      </c>
      <c r="E96">
        <v>300</v>
      </c>
      <c r="F96">
        <v>0</v>
      </c>
    </row>
    <row r="97" spans="1:6" hidden="1" x14ac:dyDescent="0.3">
      <c r="A97">
        <v>96</v>
      </c>
      <c r="B97" t="s">
        <v>37</v>
      </c>
      <c r="C97">
        <v>2000</v>
      </c>
      <c r="D97" t="s">
        <v>9</v>
      </c>
      <c r="E97">
        <v>6508</v>
      </c>
      <c r="F97">
        <v>0</v>
      </c>
    </row>
    <row r="98" spans="1:6" hidden="1" x14ac:dyDescent="0.3">
      <c r="A98">
        <v>97</v>
      </c>
      <c r="B98" t="s">
        <v>37</v>
      </c>
      <c r="C98">
        <v>2000</v>
      </c>
      <c r="D98" t="s">
        <v>11</v>
      </c>
      <c r="E98">
        <v>235889</v>
      </c>
      <c r="F98">
        <v>1201000</v>
      </c>
    </row>
    <row r="99" spans="1:6" hidden="1" x14ac:dyDescent="0.3">
      <c r="A99">
        <v>98</v>
      </c>
      <c r="B99" t="s">
        <v>37</v>
      </c>
      <c r="C99">
        <v>2000</v>
      </c>
      <c r="D99" t="s">
        <v>9</v>
      </c>
      <c r="E99">
        <v>5250</v>
      </c>
      <c r="F99">
        <v>0</v>
      </c>
    </row>
    <row r="100" spans="1:6" hidden="1" x14ac:dyDescent="0.3">
      <c r="A100">
        <v>99</v>
      </c>
      <c r="B100" t="s">
        <v>37</v>
      </c>
      <c r="C100">
        <v>2000</v>
      </c>
      <c r="D100" t="s">
        <v>11</v>
      </c>
      <c r="E100">
        <v>120000</v>
      </c>
      <c r="F100">
        <v>7500000</v>
      </c>
    </row>
    <row r="101" spans="1:6" hidden="1" x14ac:dyDescent="0.3">
      <c r="A101">
        <v>100</v>
      </c>
      <c r="B101" t="s">
        <v>37</v>
      </c>
      <c r="C101">
        <v>2000</v>
      </c>
      <c r="D101" t="s">
        <v>11</v>
      </c>
      <c r="E101">
        <v>1483321</v>
      </c>
      <c r="F101">
        <v>25763000</v>
      </c>
    </row>
    <row r="102" spans="1:6" hidden="1" x14ac:dyDescent="0.3">
      <c r="A102">
        <v>101</v>
      </c>
      <c r="B102" t="s">
        <v>37</v>
      </c>
      <c r="C102">
        <v>2000</v>
      </c>
      <c r="D102" t="s">
        <v>11</v>
      </c>
      <c r="E102">
        <v>2436256</v>
      </c>
      <c r="F102">
        <v>17000000</v>
      </c>
    </row>
    <row r="103" spans="1:6" hidden="1" x14ac:dyDescent="0.3">
      <c r="A103">
        <v>102</v>
      </c>
      <c r="B103" t="s">
        <v>37</v>
      </c>
      <c r="C103">
        <v>2000</v>
      </c>
      <c r="D103" t="s">
        <v>11</v>
      </c>
      <c r="E103">
        <v>1747872</v>
      </c>
      <c r="F103">
        <v>31000000</v>
      </c>
    </row>
    <row r="104" spans="1:6" hidden="1" x14ac:dyDescent="0.3">
      <c r="A104">
        <v>103</v>
      </c>
      <c r="B104" t="s">
        <v>37</v>
      </c>
      <c r="C104">
        <v>2000</v>
      </c>
      <c r="D104" t="s">
        <v>11</v>
      </c>
      <c r="E104">
        <v>164093</v>
      </c>
      <c r="F104">
        <v>1000000</v>
      </c>
    </row>
    <row r="105" spans="1:6" hidden="1" x14ac:dyDescent="0.3">
      <c r="A105">
        <v>104</v>
      </c>
      <c r="B105" t="s">
        <v>39</v>
      </c>
      <c r="C105">
        <v>2000</v>
      </c>
      <c r="D105" t="s">
        <v>11</v>
      </c>
      <c r="E105">
        <v>300</v>
      </c>
      <c r="F105">
        <v>0</v>
      </c>
    </row>
    <row r="106" spans="1:6" hidden="1" x14ac:dyDescent="0.3">
      <c r="A106">
        <v>105</v>
      </c>
      <c r="B106" t="s">
        <v>39</v>
      </c>
      <c r="C106">
        <v>2000</v>
      </c>
      <c r="D106" t="s">
        <v>9</v>
      </c>
      <c r="E106">
        <v>3000</v>
      </c>
      <c r="F106">
        <v>500000</v>
      </c>
    </row>
    <row r="107" spans="1:6" hidden="1" x14ac:dyDescent="0.3">
      <c r="A107">
        <v>106</v>
      </c>
      <c r="B107" t="s">
        <v>39</v>
      </c>
      <c r="C107">
        <v>2000</v>
      </c>
      <c r="D107" t="s">
        <v>9</v>
      </c>
      <c r="E107">
        <v>60431</v>
      </c>
      <c r="F107">
        <v>100000000</v>
      </c>
    </row>
    <row r="108" spans="1:6" hidden="1" x14ac:dyDescent="0.3">
      <c r="A108">
        <v>107</v>
      </c>
      <c r="B108" t="s">
        <v>39</v>
      </c>
      <c r="C108">
        <v>2000</v>
      </c>
      <c r="D108" t="s">
        <v>7</v>
      </c>
      <c r="E108">
        <v>0</v>
      </c>
      <c r="F108">
        <v>500000000</v>
      </c>
    </row>
    <row r="109" spans="1:6" hidden="1" x14ac:dyDescent="0.3">
      <c r="A109">
        <v>108</v>
      </c>
      <c r="B109" t="s">
        <v>40</v>
      </c>
      <c r="C109">
        <v>2000</v>
      </c>
      <c r="D109" t="s">
        <v>9</v>
      </c>
      <c r="E109">
        <v>400</v>
      </c>
      <c r="F109">
        <v>0</v>
      </c>
    </row>
    <row r="110" spans="1:6" hidden="1" x14ac:dyDescent="0.3">
      <c r="A110">
        <v>109</v>
      </c>
      <c r="B110" t="s">
        <v>40</v>
      </c>
      <c r="C110">
        <v>2000</v>
      </c>
      <c r="D110" t="s">
        <v>11</v>
      </c>
      <c r="E110">
        <v>100</v>
      </c>
      <c r="F110">
        <v>0</v>
      </c>
    </row>
    <row r="111" spans="1:6" hidden="1" x14ac:dyDescent="0.3">
      <c r="A111">
        <v>110</v>
      </c>
      <c r="B111" t="s">
        <v>41</v>
      </c>
      <c r="C111">
        <v>2000</v>
      </c>
      <c r="D111" t="s">
        <v>9</v>
      </c>
      <c r="E111">
        <v>3500</v>
      </c>
      <c r="F111">
        <v>0</v>
      </c>
    </row>
    <row r="112" spans="1:6" hidden="1" x14ac:dyDescent="0.3">
      <c r="A112">
        <v>111</v>
      </c>
      <c r="B112" t="s">
        <v>41</v>
      </c>
      <c r="C112">
        <v>2000</v>
      </c>
      <c r="D112" t="s">
        <v>9</v>
      </c>
      <c r="E112">
        <v>150000</v>
      </c>
      <c r="F112">
        <v>0</v>
      </c>
    </row>
    <row r="113" spans="1:6" hidden="1" x14ac:dyDescent="0.3">
      <c r="A113">
        <v>112</v>
      </c>
      <c r="B113" t="s">
        <v>41</v>
      </c>
      <c r="C113">
        <v>2000</v>
      </c>
      <c r="D113" t="s">
        <v>9</v>
      </c>
      <c r="E113">
        <v>220000</v>
      </c>
      <c r="F113">
        <v>0</v>
      </c>
    </row>
    <row r="114" spans="1:6" x14ac:dyDescent="0.3">
      <c r="A114">
        <v>113</v>
      </c>
      <c r="B114" t="s">
        <v>42</v>
      </c>
      <c r="C114">
        <v>2000</v>
      </c>
      <c r="D114" t="s">
        <v>14</v>
      </c>
      <c r="E114">
        <v>6000</v>
      </c>
      <c r="F114">
        <v>0</v>
      </c>
    </row>
    <row r="115" spans="1:6" x14ac:dyDescent="0.3">
      <c r="A115">
        <v>114</v>
      </c>
      <c r="B115" t="s">
        <v>42</v>
      </c>
      <c r="C115">
        <v>2000</v>
      </c>
      <c r="D115" t="s">
        <v>7</v>
      </c>
      <c r="E115">
        <v>3000000</v>
      </c>
      <c r="F115">
        <v>57000000</v>
      </c>
    </row>
    <row r="116" spans="1:6" hidden="1" x14ac:dyDescent="0.3">
      <c r="A116">
        <v>115</v>
      </c>
      <c r="B116" t="s">
        <v>43</v>
      </c>
      <c r="C116">
        <v>2000</v>
      </c>
      <c r="D116" t="s">
        <v>11</v>
      </c>
      <c r="E116">
        <v>134</v>
      </c>
      <c r="F116">
        <v>0</v>
      </c>
    </row>
    <row r="117" spans="1:6" hidden="1" x14ac:dyDescent="0.3">
      <c r="A117">
        <v>116</v>
      </c>
      <c r="B117" t="s">
        <v>43</v>
      </c>
      <c r="C117">
        <v>2000</v>
      </c>
      <c r="D117" t="s">
        <v>9</v>
      </c>
      <c r="E117">
        <v>5000004</v>
      </c>
      <c r="F117">
        <v>250000000</v>
      </c>
    </row>
    <row r="118" spans="1:6" hidden="1" x14ac:dyDescent="0.3">
      <c r="A118">
        <v>117</v>
      </c>
      <c r="B118" t="s">
        <v>43</v>
      </c>
      <c r="C118">
        <v>2000</v>
      </c>
      <c r="D118" t="s">
        <v>9</v>
      </c>
      <c r="E118">
        <v>25003</v>
      </c>
      <c r="F118">
        <v>15000000</v>
      </c>
    </row>
    <row r="119" spans="1:6" hidden="1" x14ac:dyDescent="0.3">
      <c r="A119">
        <v>118</v>
      </c>
      <c r="B119" t="s">
        <v>43</v>
      </c>
      <c r="C119">
        <v>2000</v>
      </c>
      <c r="D119" t="s">
        <v>11</v>
      </c>
      <c r="E119">
        <v>4</v>
      </c>
      <c r="F119">
        <v>5000000</v>
      </c>
    </row>
    <row r="120" spans="1:6" hidden="1" x14ac:dyDescent="0.3">
      <c r="A120">
        <v>119</v>
      </c>
      <c r="B120" t="s">
        <v>43</v>
      </c>
      <c r="C120">
        <v>2000</v>
      </c>
      <c r="D120" t="s">
        <v>11</v>
      </c>
      <c r="E120">
        <v>6029</v>
      </c>
      <c r="F120">
        <v>21000000</v>
      </c>
    </row>
    <row r="121" spans="1:6" hidden="1" x14ac:dyDescent="0.3">
      <c r="A121">
        <v>120</v>
      </c>
      <c r="B121" t="s">
        <v>43</v>
      </c>
      <c r="C121">
        <v>2000</v>
      </c>
      <c r="D121" t="s">
        <v>11</v>
      </c>
      <c r="E121">
        <v>129</v>
      </c>
      <c r="F121">
        <v>0</v>
      </c>
    </row>
    <row r="122" spans="1:6" hidden="1" x14ac:dyDescent="0.3">
      <c r="A122">
        <v>121</v>
      </c>
      <c r="B122" t="s">
        <v>43</v>
      </c>
      <c r="C122">
        <v>2000</v>
      </c>
      <c r="D122" t="s">
        <v>11</v>
      </c>
      <c r="E122">
        <v>2005</v>
      </c>
      <c r="F122">
        <v>0</v>
      </c>
    </row>
    <row r="123" spans="1:6" hidden="1" x14ac:dyDescent="0.3">
      <c r="A123">
        <v>122</v>
      </c>
      <c r="B123" t="s">
        <v>43</v>
      </c>
      <c r="C123">
        <v>2000</v>
      </c>
      <c r="D123" t="s">
        <v>11</v>
      </c>
      <c r="E123">
        <v>5730</v>
      </c>
      <c r="F123">
        <v>0</v>
      </c>
    </row>
    <row r="124" spans="1:6" hidden="1" x14ac:dyDescent="0.3">
      <c r="A124">
        <v>123</v>
      </c>
      <c r="B124" t="s">
        <v>43</v>
      </c>
      <c r="C124">
        <v>2000</v>
      </c>
      <c r="D124" t="s">
        <v>11</v>
      </c>
      <c r="E124">
        <v>503</v>
      </c>
      <c r="F124">
        <v>35000</v>
      </c>
    </row>
    <row r="125" spans="1:6" hidden="1" x14ac:dyDescent="0.3">
      <c r="A125">
        <v>124</v>
      </c>
      <c r="B125" t="s">
        <v>38</v>
      </c>
      <c r="C125">
        <v>2000</v>
      </c>
      <c r="D125" t="s">
        <v>9</v>
      </c>
      <c r="E125">
        <v>3000</v>
      </c>
      <c r="F125">
        <v>0</v>
      </c>
    </row>
    <row r="126" spans="1:6" hidden="1" x14ac:dyDescent="0.3">
      <c r="A126">
        <v>125</v>
      </c>
      <c r="B126" t="s">
        <v>38</v>
      </c>
      <c r="C126">
        <v>2000</v>
      </c>
      <c r="D126" t="s">
        <v>9</v>
      </c>
      <c r="E126">
        <v>200</v>
      </c>
      <c r="F126">
        <v>160000000</v>
      </c>
    </row>
    <row r="127" spans="1:6" hidden="1" x14ac:dyDescent="0.3">
      <c r="A127">
        <v>126</v>
      </c>
      <c r="B127" t="s">
        <v>38</v>
      </c>
      <c r="C127">
        <v>2000</v>
      </c>
      <c r="D127" t="s">
        <v>9</v>
      </c>
      <c r="E127">
        <v>0</v>
      </c>
      <c r="F127">
        <v>0</v>
      </c>
    </row>
    <row r="128" spans="1:6" hidden="1" x14ac:dyDescent="0.3">
      <c r="A128">
        <v>127</v>
      </c>
      <c r="B128" t="s">
        <v>40</v>
      </c>
      <c r="C128">
        <v>2001</v>
      </c>
      <c r="D128" t="s">
        <v>14</v>
      </c>
      <c r="E128">
        <v>1334529</v>
      </c>
      <c r="F128">
        <v>1500000000</v>
      </c>
    </row>
    <row r="129" spans="1:6" hidden="1" x14ac:dyDescent="0.3">
      <c r="A129">
        <v>128</v>
      </c>
      <c r="B129" t="s">
        <v>40</v>
      </c>
      <c r="C129">
        <v>2001</v>
      </c>
      <c r="D129" t="s">
        <v>14</v>
      </c>
      <c r="E129">
        <v>256021</v>
      </c>
      <c r="F129">
        <v>348500000</v>
      </c>
    </row>
    <row r="130" spans="1:6" hidden="1" x14ac:dyDescent="0.3">
      <c r="A130">
        <v>129</v>
      </c>
      <c r="B130" t="s">
        <v>12</v>
      </c>
      <c r="C130">
        <v>2001</v>
      </c>
      <c r="D130" t="s">
        <v>7</v>
      </c>
      <c r="E130">
        <v>0</v>
      </c>
      <c r="F130">
        <v>0</v>
      </c>
    </row>
    <row r="131" spans="1:6" hidden="1" x14ac:dyDescent="0.3">
      <c r="A131">
        <v>130</v>
      </c>
      <c r="B131" t="s">
        <v>37</v>
      </c>
      <c r="C131">
        <v>2001</v>
      </c>
      <c r="D131" t="s">
        <v>9</v>
      </c>
      <c r="E131">
        <v>12000</v>
      </c>
      <c r="F131">
        <v>0</v>
      </c>
    </row>
    <row r="132" spans="1:6" hidden="1" x14ac:dyDescent="0.3">
      <c r="A132">
        <v>131</v>
      </c>
      <c r="B132" t="s">
        <v>37</v>
      </c>
      <c r="C132">
        <v>2001</v>
      </c>
      <c r="D132" t="s">
        <v>11</v>
      </c>
      <c r="E132">
        <v>100084</v>
      </c>
      <c r="F132">
        <v>6000000</v>
      </c>
    </row>
    <row r="133" spans="1:6" hidden="1" x14ac:dyDescent="0.3">
      <c r="A133">
        <v>132</v>
      </c>
      <c r="B133" t="s">
        <v>39</v>
      </c>
      <c r="C133">
        <v>2001</v>
      </c>
      <c r="D133" t="s">
        <v>9</v>
      </c>
      <c r="E133">
        <v>4000</v>
      </c>
      <c r="F133">
        <v>15000000</v>
      </c>
    </row>
    <row r="134" spans="1:6" hidden="1" x14ac:dyDescent="0.3">
      <c r="A134">
        <v>133</v>
      </c>
      <c r="B134" t="s">
        <v>38</v>
      </c>
      <c r="C134">
        <v>2001</v>
      </c>
      <c r="D134" t="s">
        <v>11</v>
      </c>
      <c r="E134">
        <v>10</v>
      </c>
      <c r="F134">
        <v>0</v>
      </c>
    </row>
    <row r="135" spans="1:6" hidden="1" x14ac:dyDescent="0.3">
      <c r="A135">
        <v>134</v>
      </c>
      <c r="B135" t="s">
        <v>6</v>
      </c>
      <c r="C135">
        <v>2001</v>
      </c>
      <c r="D135" t="s">
        <v>14</v>
      </c>
      <c r="E135">
        <v>270</v>
      </c>
      <c r="F135">
        <v>0</v>
      </c>
    </row>
    <row r="136" spans="1:6" hidden="1" x14ac:dyDescent="0.3">
      <c r="A136">
        <v>135</v>
      </c>
      <c r="B136" t="s">
        <v>12</v>
      </c>
      <c r="C136">
        <v>2001</v>
      </c>
      <c r="D136" t="s">
        <v>9</v>
      </c>
      <c r="E136">
        <v>39928</v>
      </c>
      <c r="F136">
        <v>0</v>
      </c>
    </row>
    <row r="137" spans="1:6" hidden="1" x14ac:dyDescent="0.3">
      <c r="A137">
        <v>136</v>
      </c>
      <c r="B137" t="s">
        <v>8</v>
      </c>
      <c r="C137">
        <v>2001</v>
      </c>
      <c r="D137" t="s">
        <v>11</v>
      </c>
      <c r="E137">
        <v>25450</v>
      </c>
      <c r="F137">
        <v>0</v>
      </c>
    </row>
    <row r="138" spans="1:6" hidden="1" x14ac:dyDescent="0.3">
      <c r="A138">
        <v>137</v>
      </c>
      <c r="B138" t="s">
        <v>8</v>
      </c>
      <c r="C138">
        <v>2001</v>
      </c>
      <c r="D138" t="s">
        <v>9</v>
      </c>
      <c r="E138">
        <v>500000</v>
      </c>
      <c r="F138">
        <v>0</v>
      </c>
    </row>
    <row r="139" spans="1:6" hidden="1" x14ac:dyDescent="0.3">
      <c r="A139">
        <v>138</v>
      </c>
      <c r="B139" t="s">
        <v>8</v>
      </c>
      <c r="C139">
        <v>2001</v>
      </c>
      <c r="D139" t="s">
        <v>11</v>
      </c>
      <c r="E139">
        <v>200</v>
      </c>
      <c r="F139">
        <v>0</v>
      </c>
    </row>
    <row r="140" spans="1:6" hidden="1" x14ac:dyDescent="0.3">
      <c r="A140">
        <v>139</v>
      </c>
      <c r="B140" t="s">
        <v>8</v>
      </c>
      <c r="C140">
        <v>2001</v>
      </c>
      <c r="D140" t="s">
        <v>11</v>
      </c>
      <c r="E140">
        <v>2500</v>
      </c>
      <c r="F140">
        <v>0</v>
      </c>
    </row>
    <row r="141" spans="1:6" hidden="1" x14ac:dyDescent="0.3">
      <c r="A141">
        <v>140</v>
      </c>
      <c r="B141" t="s">
        <v>8</v>
      </c>
      <c r="C141">
        <v>2001</v>
      </c>
      <c r="D141" t="s">
        <v>11</v>
      </c>
      <c r="E141">
        <v>600</v>
      </c>
      <c r="F141">
        <v>0</v>
      </c>
    </row>
    <row r="142" spans="1:6" hidden="1" x14ac:dyDescent="0.3">
      <c r="A142">
        <v>141</v>
      </c>
      <c r="B142" t="s">
        <v>8</v>
      </c>
      <c r="C142">
        <v>2001</v>
      </c>
      <c r="D142" t="s">
        <v>9</v>
      </c>
      <c r="E142">
        <v>200000</v>
      </c>
      <c r="F142">
        <v>0</v>
      </c>
    </row>
    <row r="143" spans="1:6" hidden="1" x14ac:dyDescent="0.3">
      <c r="A143">
        <v>142</v>
      </c>
      <c r="B143" t="s">
        <v>15</v>
      </c>
      <c r="C143">
        <v>2001</v>
      </c>
      <c r="D143" t="s">
        <v>11</v>
      </c>
      <c r="E143">
        <v>0</v>
      </c>
      <c r="F143">
        <v>0</v>
      </c>
    </row>
    <row r="144" spans="1:6" hidden="1" x14ac:dyDescent="0.3">
      <c r="A144">
        <v>143</v>
      </c>
      <c r="B144" t="s">
        <v>10</v>
      </c>
      <c r="C144">
        <v>2001</v>
      </c>
      <c r="D144" t="s">
        <v>9</v>
      </c>
      <c r="E144">
        <v>9000</v>
      </c>
      <c r="F144">
        <v>0</v>
      </c>
    </row>
    <row r="145" spans="1:6" hidden="1" x14ac:dyDescent="0.3">
      <c r="A145">
        <v>144</v>
      </c>
      <c r="B145" t="s">
        <v>6</v>
      </c>
      <c r="C145">
        <v>2002</v>
      </c>
      <c r="D145" t="s">
        <v>14</v>
      </c>
      <c r="E145">
        <v>3513</v>
      </c>
      <c r="F145">
        <v>0</v>
      </c>
    </row>
    <row r="146" spans="1:6" hidden="1" x14ac:dyDescent="0.3">
      <c r="A146">
        <v>145</v>
      </c>
      <c r="B146" t="s">
        <v>6</v>
      </c>
      <c r="C146">
        <v>2002</v>
      </c>
      <c r="D146" t="s">
        <v>14</v>
      </c>
      <c r="E146">
        <v>91228</v>
      </c>
      <c r="F146">
        <v>0</v>
      </c>
    </row>
    <row r="147" spans="1:6" hidden="1" x14ac:dyDescent="0.3">
      <c r="A147">
        <v>146</v>
      </c>
      <c r="B147" t="s">
        <v>6</v>
      </c>
      <c r="C147">
        <v>2002</v>
      </c>
      <c r="D147" t="s">
        <v>14</v>
      </c>
      <c r="E147">
        <v>6150</v>
      </c>
      <c r="F147">
        <v>0</v>
      </c>
    </row>
    <row r="148" spans="1:6" hidden="1" x14ac:dyDescent="0.3">
      <c r="A148">
        <v>147</v>
      </c>
      <c r="B148" t="s">
        <v>6</v>
      </c>
      <c r="C148">
        <v>2002</v>
      </c>
      <c r="D148" t="s">
        <v>9</v>
      </c>
      <c r="E148">
        <v>4225</v>
      </c>
      <c r="F148">
        <v>0</v>
      </c>
    </row>
    <row r="149" spans="1:6" hidden="1" x14ac:dyDescent="0.3">
      <c r="A149">
        <v>148</v>
      </c>
      <c r="B149" t="s">
        <v>6</v>
      </c>
      <c r="C149">
        <v>2002</v>
      </c>
      <c r="D149" t="s">
        <v>9</v>
      </c>
      <c r="E149">
        <v>1200</v>
      </c>
      <c r="F149">
        <v>0</v>
      </c>
    </row>
    <row r="150" spans="1:6" hidden="1" x14ac:dyDescent="0.3">
      <c r="A150">
        <v>149</v>
      </c>
      <c r="B150" t="s">
        <v>6</v>
      </c>
      <c r="C150">
        <v>2002</v>
      </c>
      <c r="D150" t="s">
        <v>9</v>
      </c>
      <c r="E150">
        <v>120</v>
      </c>
      <c r="F150">
        <v>0</v>
      </c>
    </row>
    <row r="151" spans="1:6" hidden="1" x14ac:dyDescent="0.3">
      <c r="A151">
        <v>150</v>
      </c>
      <c r="B151" t="s">
        <v>6</v>
      </c>
      <c r="C151">
        <v>2002</v>
      </c>
      <c r="D151" t="s">
        <v>9</v>
      </c>
      <c r="E151">
        <v>0</v>
      </c>
      <c r="F151">
        <v>0</v>
      </c>
    </row>
    <row r="152" spans="1:6" hidden="1" x14ac:dyDescent="0.3">
      <c r="A152">
        <v>151</v>
      </c>
      <c r="B152" t="s">
        <v>12</v>
      </c>
      <c r="C152">
        <v>2002</v>
      </c>
      <c r="D152" t="s">
        <v>9</v>
      </c>
      <c r="E152">
        <v>0</v>
      </c>
      <c r="F152">
        <v>0</v>
      </c>
    </row>
    <row r="153" spans="1:6" hidden="1" x14ac:dyDescent="0.3">
      <c r="A153">
        <v>152</v>
      </c>
      <c r="B153" t="s">
        <v>8</v>
      </c>
      <c r="C153">
        <v>2002</v>
      </c>
      <c r="D153" t="s">
        <v>9</v>
      </c>
      <c r="E153">
        <v>1500000</v>
      </c>
      <c r="F153">
        <v>0</v>
      </c>
    </row>
    <row r="154" spans="1:6" hidden="1" x14ac:dyDescent="0.3">
      <c r="A154">
        <v>153</v>
      </c>
      <c r="B154" t="s">
        <v>8</v>
      </c>
      <c r="C154">
        <v>2002</v>
      </c>
      <c r="D154" t="s">
        <v>11</v>
      </c>
      <c r="E154">
        <v>100400</v>
      </c>
      <c r="F154">
        <v>0</v>
      </c>
    </row>
    <row r="155" spans="1:6" hidden="1" x14ac:dyDescent="0.3">
      <c r="A155">
        <v>154</v>
      </c>
      <c r="B155" t="s">
        <v>8</v>
      </c>
      <c r="C155">
        <v>2002</v>
      </c>
      <c r="D155" t="s">
        <v>11</v>
      </c>
      <c r="E155">
        <v>0</v>
      </c>
      <c r="F155">
        <v>0</v>
      </c>
    </row>
    <row r="156" spans="1:6" hidden="1" x14ac:dyDescent="0.3">
      <c r="A156">
        <v>155</v>
      </c>
      <c r="B156" t="s">
        <v>8</v>
      </c>
      <c r="C156">
        <v>2002</v>
      </c>
      <c r="D156" t="s">
        <v>11</v>
      </c>
      <c r="E156">
        <v>1000</v>
      </c>
      <c r="F156">
        <v>0</v>
      </c>
    </row>
    <row r="157" spans="1:6" hidden="1" x14ac:dyDescent="0.3">
      <c r="A157">
        <v>156</v>
      </c>
      <c r="B157" t="s">
        <v>8</v>
      </c>
      <c r="C157">
        <v>2002</v>
      </c>
      <c r="D157" t="s">
        <v>11</v>
      </c>
      <c r="E157">
        <v>0</v>
      </c>
      <c r="F157">
        <v>0</v>
      </c>
    </row>
    <row r="158" spans="1:6" hidden="1" x14ac:dyDescent="0.3">
      <c r="A158">
        <v>157</v>
      </c>
      <c r="B158" t="s">
        <v>15</v>
      </c>
      <c r="C158">
        <v>2002</v>
      </c>
      <c r="D158" t="s">
        <v>9</v>
      </c>
      <c r="E158">
        <v>0</v>
      </c>
      <c r="F158">
        <v>1000000</v>
      </c>
    </row>
    <row r="159" spans="1:6" hidden="1" x14ac:dyDescent="0.3">
      <c r="A159">
        <v>158</v>
      </c>
      <c r="B159" t="s">
        <v>6</v>
      </c>
      <c r="C159">
        <v>2003</v>
      </c>
      <c r="D159" t="s">
        <v>9</v>
      </c>
      <c r="E159">
        <v>0</v>
      </c>
      <c r="F159">
        <v>0</v>
      </c>
    </row>
    <row r="160" spans="1:6" hidden="1" x14ac:dyDescent="0.3">
      <c r="A160">
        <v>159</v>
      </c>
      <c r="B160" t="s">
        <v>6</v>
      </c>
      <c r="C160">
        <v>2003</v>
      </c>
      <c r="D160" t="s">
        <v>9</v>
      </c>
      <c r="E160">
        <v>2000</v>
      </c>
      <c r="F160">
        <v>0</v>
      </c>
    </row>
    <row r="161" spans="1:6" hidden="1" x14ac:dyDescent="0.3">
      <c r="A161">
        <v>160</v>
      </c>
      <c r="B161" t="s">
        <v>12</v>
      </c>
      <c r="C161">
        <v>2003</v>
      </c>
      <c r="D161" t="s">
        <v>9</v>
      </c>
      <c r="E161">
        <v>600</v>
      </c>
      <c r="F161">
        <v>0</v>
      </c>
    </row>
    <row r="162" spans="1:6" hidden="1" x14ac:dyDescent="0.3">
      <c r="A162">
        <v>161</v>
      </c>
      <c r="B162" t="s">
        <v>25</v>
      </c>
      <c r="C162">
        <v>2001</v>
      </c>
      <c r="D162" t="s">
        <v>9</v>
      </c>
      <c r="E162">
        <v>45423</v>
      </c>
      <c r="F162">
        <v>300000000</v>
      </c>
    </row>
    <row r="163" spans="1:6" hidden="1" x14ac:dyDescent="0.3">
      <c r="A163">
        <v>162</v>
      </c>
      <c r="B163" t="s">
        <v>20</v>
      </c>
      <c r="C163">
        <v>2001</v>
      </c>
      <c r="D163" t="s">
        <v>9</v>
      </c>
      <c r="E163">
        <v>3694</v>
      </c>
      <c r="F163">
        <v>0</v>
      </c>
    </row>
    <row r="164" spans="1:6" hidden="1" x14ac:dyDescent="0.3">
      <c r="A164">
        <v>163</v>
      </c>
      <c r="B164" t="s">
        <v>20</v>
      </c>
      <c r="C164">
        <v>2001</v>
      </c>
      <c r="D164" t="s">
        <v>9</v>
      </c>
      <c r="E164">
        <v>2000</v>
      </c>
      <c r="F164">
        <v>0</v>
      </c>
    </row>
    <row r="165" spans="1:6" hidden="1" x14ac:dyDescent="0.3">
      <c r="A165">
        <v>164</v>
      </c>
      <c r="B165" t="s">
        <v>23</v>
      </c>
      <c r="C165">
        <v>2001</v>
      </c>
      <c r="D165" t="s">
        <v>7</v>
      </c>
      <c r="E165">
        <v>195000</v>
      </c>
      <c r="F165">
        <v>0</v>
      </c>
    </row>
    <row r="166" spans="1:6" hidden="1" x14ac:dyDescent="0.3">
      <c r="A166">
        <v>165</v>
      </c>
      <c r="B166" t="s">
        <v>19</v>
      </c>
      <c r="C166">
        <v>2001</v>
      </c>
      <c r="D166" t="s">
        <v>7</v>
      </c>
      <c r="E166">
        <v>113596</v>
      </c>
      <c r="F166">
        <v>14000000</v>
      </c>
    </row>
    <row r="167" spans="1:6" hidden="1" x14ac:dyDescent="0.3">
      <c r="A167">
        <v>166</v>
      </c>
      <c r="B167" t="s">
        <v>44</v>
      </c>
      <c r="C167">
        <v>2001</v>
      </c>
      <c r="D167" t="s">
        <v>9</v>
      </c>
      <c r="E167">
        <v>1437</v>
      </c>
      <c r="F167">
        <v>0</v>
      </c>
    </row>
    <row r="168" spans="1:6" hidden="1" x14ac:dyDescent="0.3">
      <c r="A168">
        <v>167</v>
      </c>
      <c r="B168" t="s">
        <v>26</v>
      </c>
      <c r="C168">
        <v>2001</v>
      </c>
      <c r="D168" t="s">
        <v>9</v>
      </c>
      <c r="E168">
        <v>31000</v>
      </c>
      <c r="F168">
        <v>0</v>
      </c>
    </row>
    <row r="169" spans="1:6" hidden="1" x14ac:dyDescent="0.3">
      <c r="A169">
        <v>168</v>
      </c>
      <c r="B169" t="s">
        <v>26</v>
      </c>
      <c r="C169">
        <v>2001</v>
      </c>
      <c r="D169" t="s">
        <v>9</v>
      </c>
      <c r="E169">
        <v>6000</v>
      </c>
      <c r="F169">
        <v>0</v>
      </c>
    </row>
    <row r="170" spans="1:6" hidden="1" x14ac:dyDescent="0.3">
      <c r="A170">
        <v>169</v>
      </c>
      <c r="B170" t="s">
        <v>26</v>
      </c>
      <c r="C170">
        <v>2001</v>
      </c>
      <c r="D170" t="s">
        <v>9</v>
      </c>
      <c r="E170">
        <v>2500</v>
      </c>
      <c r="F170">
        <v>0</v>
      </c>
    </row>
    <row r="171" spans="1:6" hidden="1" x14ac:dyDescent="0.3">
      <c r="A171">
        <v>170</v>
      </c>
      <c r="B171" t="s">
        <v>19</v>
      </c>
      <c r="C171">
        <v>2001</v>
      </c>
      <c r="D171" t="s">
        <v>11</v>
      </c>
      <c r="E171">
        <v>6446</v>
      </c>
      <c r="F171">
        <v>100000</v>
      </c>
    </row>
    <row r="172" spans="1:6" hidden="1" x14ac:dyDescent="0.3">
      <c r="A172">
        <v>171</v>
      </c>
      <c r="B172" t="s">
        <v>23</v>
      </c>
      <c r="C172">
        <v>2001</v>
      </c>
      <c r="D172" t="s">
        <v>11</v>
      </c>
      <c r="E172">
        <v>86321</v>
      </c>
      <c r="F172">
        <v>5000000</v>
      </c>
    </row>
    <row r="173" spans="1:6" hidden="1" x14ac:dyDescent="0.3">
      <c r="A173">
        <v>172</v>
      </c>
      <c r="B173" t="s">
        <v>27</v>
      </c>
      <c r="C173">
        <v>2001</v>
      </c>
      <c r="D173" t="s">
        <v>9</v>
      </c>
      <c r="E173">
        <v>5081</v>
      </c>
      <c r="F173">
        <v>0</v>
      </c>
    </row>
    <row r="174" spans="1:6" hidden="1" x14ac:dyDescent="0.3">
      <c r="A174">
        <v>173</v>
      </c>
      <c r="B174" t="s">
        <v>27</v>
      </c>
      <c r="C174">
        <v>2001</v>
      </c>
      <c r="D174" t="s">
        <v>11</v>
      </c>
      <c r="E174">
        <v>0</v>
      </c>
      <c r="F174">
        <v>20000</v>
      </c>
    </row>
    <row r="175" spans="1:6" hidden="1" x14ac:dyDescent="0.3">
      <c r="A175">
        <v>174</v>
      </c>
      <c r="B175" t="s">
        <v>20</v>
      </c>
      <c r="C175">
        <v>2001</v>
      </c>
      <c r="D175" t="s">
        <v>14</v>
      </c>
      <c r="E175">
        <v>12512</v>
      </c>
      <c r="F175">
        <v>0</v>
      </c>
    </row>
    <row r="176" spans="1:6" hidden="1" x14ac:dyDescent="0.3">
      <c r="A176">
        <v>175</v>
      </c>
      <c r="B176" t="s">
        <v>20</v>
      </c>
      <c r="C176">
        <v>2001</v>
      </c>
      <c r="D176" t="s">
        <v>14</v>
      </c>
      <c r="E176">
        <v>0</v>
      </c>
      <c r="F176">
        <v>0</v>
      </c>
    </row>
    <row r="177" spans="1:6" hidden="1" x14ac:dyDescent="0.3">
      <c r="A177">
        <v>176</v>
      </c>
      <c r="B177" t="s">
        <v>20</v>
      </c>
      <c r="C177">
        <v>2001</v>
      </c>
      <c r="D177" t="s">
        <v>9</v>
      </c>
      <c r="E177">
        <v>0</v>
      </c>
      <c r="F177">
        <v>0</v>
      </c>
    </row>
    <row r="178" spans="1:6" hidden="1" x14ac:dyDescent="0.3">
      <c r="A178">
        <v>177</v>
      </c>
      <c r="B178" t="s">
        <v>16</v>
      </c>
      <c r="C178">
        <v>2001</v>
      </c>
      <c r="D178" t="s">
        <v>11</v>
      </c>
      <c r="E178">
        <v>0</v>
      </c>
      <c r="F178">
        <v>0</v>
      </c>
    </row>
    <row r="179" spans="1:6" hidden="1" x14ac:dyDescent="0.3">
      <c r="A179">
        <v>178</v>
      </c>
      <c r="B179" t="s">
        <v>16</v>
      </c>
      <c r="C179">
        <v>2001</v>
      </c>
      <c r="D179" t="s">
        <v>9</v>
      </c>
      <c r="E179">
        <v>2800000</v>
      </c>
      <c r="F179">
        <v>26000000</v>
      </c>
    </row>
    <row r="180" spans="1:6" hidden="1" x14ac:dyDescent="0.3">
      <c r="A180">
        <v>179</v>
      </c>
      <c r="B180" t="s">
        <v>16</v>
      </c>
      <c r="C180">
        <v>2001</v>
      </c>
      <c r="D180" t="s">
        <v>9</v>
      </c>
      <c r="E180">
        <v>700000</v>
      </c>
      <c r="F180">
        <v>0</v>
      </c>
    </row>
    <row r="181" spans="1:6" hidden="1" x14ac:dyDescent="0.3">
      <c r="A181">
        <v>180</v>
      </c>
      <c r="B181" t="s">
        <v>16</v>
      </c>
      <c r="C181">
        <v>2001</v>
      </c>
      <c r="D181" t="s">
        <v>9</v>
      </c>
      <c r="E181">
        <v>9670000</v>
      </c>
      <c r="F181">
        <v>90000000</v>
      </c>
    </row>
    <row r="182" spans="1:6" hidden="1" x14ac:dyDescent="0.3">
      <c r="A182">
        <v>181</v>
      </c>
      <c r="B182" t="s">
        <v>16</v>
      </c>
      <c r="C182">
        <v>2001</v>
      </c>
      <c r="D182" t="s">
        <v>9</v>
      </c>
      <c r="E182">
        <v>40000</v>
      </c>
      <c r="F182">
        <v>116924000</v>
      </c>
    </row>
    <row r="183" spans="1:6" hidden="1" x14ac:dyDescent="0.3">
      <c r="A183">
        <v>182</v>
      </c>
      <c r="B183" t="s">
        <v>16</v>
      </c>
      <c r="C183">
        <v>2001</v>
      </c>
      <c r="D183" t="s">
        <v>9</v>
      </c>
      <c r="E183">
        <v>400000</v>
      </c>
      <c r="F183">
        <v>0</v>
      </c>
    </row>
    <row r="184" spans="1:6" hidden="1" x14ac:dyDescent="0.3">
      <c r="A184">
        <v>183</v>
      </c>
      <c r="B184" t="s">
        <v>16</v>
      </c>
      <c r="C184">
        <v>2001</v>
      </c>
      <c r="D184" t="s">
        <v>11</v>
      </c>
      <c r="E184">
        <v>27000</v>
      </c>
      <c r="F184">
        <v>0</v>
      </c>
    </row>
    <row r="185" spans="1:6" hidden="1" x14ac:dyDescent="0.3">
      <c r="A185">
        <v>184</v>
      </c>
      <c r="B185" t="s">
        <v>16</v>
      </c>
      <c r="C185">
        <v>2001</v>
      </c>
      <c r="D185" t="s">
        <v>11</v>
      </c>
      <c r="E185">
        <v>0</v>
      </c>
      <c r="F185">
        <v>0</v>
      </c>
    </row>
    <row r="186" spans="1:6" hidden="1" x14ac:dyDescent="0.3">
      <c r="A186">
        <v>185</v>
      </c>
      <c r="B186" t="s">
        <v>16</v>
      </c>
      <c r="C186">
        <v>2001</v>
      </c>
      <c r="D186" t="s">
        <v>9</v>
      </c>
      <c r="E186">
        <v>4</v>
      </c>
      <c r="F186">
        <v>0</v>
      </c>
    </row>
    <row r="187" spans="1:6" hidden="1" x14ac:dyDescent="0.3">
      <c r="A187">
        <v>186</v>
      </c>
      <c r="B187" t="s">
        <v>16</v>
      </c>
      <c r="C187">
        <v>2001</v>
      </c>
      <c r="D187" t="s">
        <v>9</v>
      </c>
      <c r="E187">
        <v>36</v>
      </c>
      <c r="F187">
        <v>0</v>
      </c>
    </row>
    <row r="188" spans="1:6" hidden="1" x14ac:dyDescent="0.3">
      <c r="A188">
        <v>187</v>
      </c>
      <c r="B188" t="s">
        <v>16</v>
      </c>
      <c r="C188">
        <v>2001</v>
      </c>
      <c r="D188" t="s">
        <v>9</v>
      </c>
      <c r="E188">
        <v>7000000</v>
      </c>
      <c r="F188">
        <v>26000000</v>
      </c>
    </row>
    <row r="189" spans="1:6" hidden="1" x14ac:dyDescent="0.3">
      <c r="A189">
        <v>188</v>
      </c>
      <c r="B189" t="s">
        <v>16</v>
      </c>
      <c r="C189">
        <v>2001</v>
      </c>
      <c r="D189" t="s">
        <v>9</v>
      </c>
      <c r="E189">
        <v>0</v>
      </c>
      <c r="F189">
        <v>103000000</v>
      </c>
    </row>
    <row r="190" spans="1:6" hidden="1" x14ac:dyDescent="0.3">
      <c r="A190">
        <v>189</v>
      </c>
      <c r="B190" t="s">
        <v>18</v>
      </c>
      <c r="C190">
        <v>2001</v>
      </c>
      <c r="D190" t="s">
        <v>14</v>
      </c>
      <c r="E190">
        <v>1000</v>
      </c>
      <c r="F190">
        <v>0</v>
      </c>
    </row>
    <row r="191" spans="1:6" hidden="1" x14ac:dyDescent="0.3">
      <c r="A191">
        <v>190</v>
      </c>
      <c r="B191" t="s">
        <v>18</v>
      </c>
      <c r="C191">
        <v>2001</v>
      </c>
      <c r="D191" t="s">
        <v>9</v>
      </c>
      <c r="E191">
        <v>1300</v>
      </c>
      <c r="F191">
        <v>0</v>
      </c>
    </row>
    <row r="192" spans="1:6" hidden="1" x14ac:dyDescent="0.3">
      <c r="A192">
        <v>191</v>
      </c>
      <c r="B192" t="s">
        <v>18</v>
      </c>
      <c r="C192">
        <v>2001</v>
      </c>
      <c r="D192" t="s">
        <v>9</v>
      </c>
      <c r="E192">
        <v>1200200</v>
      </c>
      <c r="F192">
        <v>78800000</v>
      </c>
    </row>
    <row r="193" spans="1:6" hidden="1" x14ac:dyDescent="0.3">
      <c r="A193">
        <v>192</v>
      </c>
      <c r="B193" t="s">
        <v>18</v>
      </c>
      <c r="C193">
        <v>2001</v>
      </c>
      <c r="D193" t="s">
        <v>9</v>
      </c>
      <c r="E193">
        <v>3000</v>
      </c>
      <c r="F193">
        <v>0</v>
      </c>
    </row>
    <row r="194" spans="1:6" hidden="1" x14ac:dyDescent="0.3">
      <c r="A194">
        <v>193</v>
      </c>
      <c r="B194" t="s">
        <v>18</v>
      </c>
      <c r="C194">
        <v>2001</v>
      </c>
      <c r="D194" t="s">
        <v>9</v>
      </c>
      <c r="E194">
        <v>1034</v>
      </c>
      <c r="F194">
        <v>25000000</v>
      </c>
    </row>
    <row r="195" spans="1:6" hidden="1" x14ac:dyDescent="0.3">
      <c r="A195">
        <v>194</v>
      </c>
      <c r="B195" t="s">
        <v>28</v>
      </c>
      <c r="C195">
        <v>2001</v>
      </c>
      <c r="D195" t="s">
        <v>11</v>
      </c>
      <c r="E195">
        <v>200</v>
      </c>
      <c r="F195">
        <v>55487000</v>
      </c>
    </row>
    <row r="196" spans="1:6" hidden="1" x14ac:dyDescent="0.3">
      <c r="A196">
        <v>195</v>
      </c>
      <c r="B196" t="s">
        <v>17</v>
      </c>
      <c r="C196">
        <v>2001</v>
      </c>
      <c r="D196" t="s">
        <v>7</v>
      </c>
      <c r="E196">
        <v>1000000</v>
      </c>
      <c r="F196">
        <v>0</v>
      </c>
    </row>
    <row r="197" spans="1:6" hidden="1" x14ac:dyDescent="0.3">
      <c r="A197">
        <v>196</v>
      </c>
      <c r="B197" t="s">
        <v>29</v>
      </c>
      <c r="C197">
        <v>2001</v>
      </c>
      <c r="D197" t="s">
        <v>9</v>
      </c>
      <c r="E197">
        <v>300</v>
      </c>
      <c r="F197">
        <v>2200000</v>
      </c>
    </row>
    <row r="198" spans="1:6" hidden="1" x14ac:dyDescent="0.3">
      <c r="A198">
        <v>197</v>
      </c>
      <c r="B198" t="s">
        <v>21</v>
      </c>
      <c r="C198">
        <v>2001</v>
      </c>
      <c r="D198" t="s">
        <v>9</v>
      </c>
      <c r="E198">
        <v>0</v>
      </c>
      <c r="F198">
        <v>0</v>
      </c>
    </row>
    <row r="199" spans="1:6" hidden="1" x14ac:dyDescent="0.3">
      <c r="A199">
        <v>198</v>
      </c>
      <c r="B199" t="s">
        <v>21</v>
      </c>
      <c r="C199">
        <v>2001</v>
      </c>
      <c r="D199" t="s">
        <v>11</v>
      </c>
      <c r="E199">
        <v>100</v>
      </c>
      <c r="F199">
        <v>0</v>
      </c>
    </row>
    <row r="200" spans="1:6" hidden="1" x14ac:dyDescent="0.3">
      <c r="A200">
        <v>199</v>
      </c>
      <c r="B200" t="s">
        <v>21</v>
      </c>
      <c r="C200">
        <v>2001</v>
      </c>
      <c r="D200" t="s">
        <v>11</v>
      </c>
      <c r="E200">
        <v>3800</v>
      </c>
      <c r="F200">
        <v>400000000</v>
      </c>
    </row>
    <row r="201" spans="1:6" hidden="1" x14ac:dyDescent="0.3">
      <c r="A201">
        <v>200</v>
      </c>
      <c r="B201" t="s">
        <v>21</v>
      </c>
      <c r="C201">
        <v>2001</v>
      </c>
      <c r="D201" t="s">
        <v>11</v>
      </c>
      <c r="E201">
        <v>0</v>
      </c>
      <c r="F201">
        <v>1000000</v>
      </c>
    </row>
    <row r="202" spans="1:6" hidden="1" x14ac:dyDescent="0.3">
      <c r="A202">
        <v>201</v>
      </c>
      <c r="B202" t="s">
        <v>21</v>
      </c>
      <c r="C202">
        <v>2001</v>
      </c>
      <c r="D202" t="s">
        <v>11</v>
      </c>
      <c r="E202">
        <v>0</v>
      </c>
      <c r="F202">
        <v>0</v>
      </c>
    </row>
    <row r="203" spans="1:6" hidden="1" x14ac:dyDescent="0.3">
      <c r="A203">
        <v>202</v>
      </c>
      <c r="B203" t="s">
        <v>21</v>
      </c>
      <c r="C203">
        <v>2001</v>
      </c>
      <c r="D203" t="s">
        <v>11</v>
      </c>
      <c r="E203">
        <v>2500</v>
      </c>
      <c r="F203">
        <v>0</v>
      </c>
    </row>
    <row r="204" spans="1:6" hidden="1" x14ac:dyDescent="0.3">
      <c r="A204">
        <v>203</v>
      </c>
      <c r="B204" t="s">
        <v>45</v>
      </c>
      <c r="C204">
        <v>2001</v>
      </c>
      <c r="D204" t="s">
        <v>9</v>
      </c>
      <c r="E204">
        <v>3750</v>
      </c>
      <c r="F204">
        <v>0</v>
      </c>
    </row>
    <row r="205" spans="1:6" hidden="1" x14ac:dyDescent="0.3">
      <c r="A205">
        <v>204</v>
      </c>
      <c r="B205" t="s">
        <v>30</v>
      </c>
      <c r="C205">
        <v>2001</v>
      </c>
      <c r="D205" t="s">
        <v>7</v>
      </c>
      <c r="E205">
        <v>100000</v>
      </c>
      <c r="F205">
        <v>0</v>
      </c>
    </row>
    <row r="206" spans="1:6" hidden="1" x14ac:dyDescent="0.3">
      <c r="A206">
        <v>205</v>
      </c>
      <c r="B206" t="s">
        <v>30</v>
      </c>
      <c r="C206">
        <v>2001</v>
      </c>
      <c r="D206" t="s">
        <v>7</v>
      </c>
      <c r="E206">
        <v>600000</v>
      </c>
      <c r="F206">
        <v>0</v>
      </c>
    </row>
    <row r="207" spans="1:6" hidden="1" x14ac:dyDescent="0.3">
      <c r="A207">
        <v>206</v>
      </c>
      <c r="B207" t="s">
        <v>30</v>
      </c>
      <c r="C207">
        <v>2001</v>
      </c>
      <c r="D207" t="s">
        <v>9</v>
      </c>
      <c r="E207">
        <v>200000</v>
      </c>
      <c r="F207">
        <v>0</v>
      </c>
    </row>
    <row r="208" spans="1:6" hidden="1" x14ac:dyDescent="0.3">
      <c r="A208">
        <v>207</v>
      </c>
      <c r="B208" t="s">
        <v>20</v>
      </c>
      <c r="C208">
        <v>2002</v>
      </c>
      <c r="D208" t="s">
        <v>14</v>
      </c>
      <c r="E208">
        <v>9082</v>
      </c>
      <c r="F208">
        <v>0</v>
      </c>
    </row>
    <row r="209" spans="1:6" hidden="1" x14ac:dyDescent="0.3">
      <c r="A209">
        <v>208</v>
      </c>
      <c r="B209" t="s">
        <v>27</v>
      </c>
      <c r="C209">
        <v>2002</v>
      </c>
      <c r="D209" t="s">
        <v>9</v>
      </c>
      <c r="E209">
        <v>38339</v>
      </c>
      <c r="F209">
        <v>1000000</v>
      </c>
    </row>
    <row r="210" spans="1:6" hidden="1" x14ac:dyDescent="0.3">
      <c r="A210">
        <v>209</v>
      </c>
      <c r="B210" t="s">
        <v>20</v>
      </c>
      <c r="C210">
        <v>2002</v>
      </c>
      <c r="D210" t="s">
        <v>9</v>
      </c>
      <c r="E210">
        <v>40</v>
      </c>
      <c r="F210">
        <v>0</v>
      </c>
    </row>
    <row r="211" spans="1:6" hidden="1" x14ac:dyDescent="0.3">
      <c r="A211">
        <v>210</v>
      </c>
      <c r="B211" t="s">
        <v>28</v>
      </c>
      <c r="C211">
        <v>2002</v>
      </c>
      <c r="D211" t="s">
        <v>9</v>
      </c>
      <c r="E211">
        <v>25000</v>
      </c>
      <c r="F211">
        <v>20000000</v>
      </c>
    </row>
    <row r="212" spans="1:6" hidden="1" x14ac:dyDescent="0.3">
      <c r="A212">
        <v>211</v>
      </c>
      <c r="B212" t="s">
        <v>34</v>
      </c>
      <c r="C212">
        <v>2002</v>
      </c>
      <c r="D212" t="s">
        <v>9</v>
      </c>
      <c r="E212">
        <v>150008</v>
      </c>
      <c r="F212">
        <v>0</v>
      </c>
    </row>
    <row r="213" spans="1:6" hidden="1" x14ac:dyDescent="0.3">
      <c r="A213">
        <v>212</v>
      </c>
      <c r="B213" t="s">
        <v>16</v>
      </c>
      <c r="C213">
        <v>2002</v>
      </c>
      <c r="D213" t="s">
        <v>14</v>
      </c>
      <c r="E213">
        <v>200</v>
      </c>
      <c r="F213">
        <v>0</v>
      </c>
    </row>
    <row r="214" spans="1:6" hidden="1" x14ac:dyDescent="0.3">
      <c r="A214">
        <v>213</v>
      </c>
      <c r="B214" t="s">
        <v>22</v>
      </c>
      <c r="C214">
        <v>2002</v>
      </c>
      <c r="D214" t="s">
        <v>11</v>
      </c>
      <c r="E214">
        <v>0</v>
      </c>
      <c r="F214">
        <v>0</v>
      </c>
    </row>
    <row r="215" spans="1:6" hidden="1" x14ac:dyDescent="0.3">
      <c r="A215">
        <v>214</v>
      </c>
      <c r="B215" t="s">
        <v>27</v>
      </c>
      <c r="C215">
        <v>2002</v>
      </c>
      <c r="D215" t="s">
        <v>11</v>
      </c>
      <c r="E215">
        <v>250</v>
      </c>
      <c r="F215">
        <v>0</v>
      </c>
    </row>
    <row r="216" spans="1:6" hidden="1" x14ac:dyDescent="0.3">
      <c r="A216">
        <v>215</v>
      </c>
      <c r="B216" t="s">
        <v>28</v>
      </c>
      <c r="C216">
        <v>2002</v>
      </c>
      <c r="D216" t="s">
        <v>11</v>
      </c>
      <c r="E216">
        <v>1500</v>
      </c>
      <c r="F216">
        <v>30000</v>
      </c>
    </row>
    <row r="217" spans="1:6" hidden="1" x14ac:dyDescent="0.3">
      <c r="A217">
        <v>216</v>
      </c>
      <c r="B217" t="s">
        <v>22</v>
      </c>
      <c r="C217">
        <v>2002</v>
      </c>
      <c r="D217" t="s">
        <v>7</v>
      </c>
      <c r="E217">
        <v>600000</v>
      </c>
      <c r="F217">
        <v>0</v>
      </c>
    </row>
    <row r="218" spans="1:6" hidden="1" x14ac:dyDescent="0.3">
      <c r="A218">
        <v>217</v>
      </c>
      <c r="B218" t="s">
        <v>44</v>
      </c>
      <c r="C218">
        <v>2002</v>
      </c>
      <c r="D218" t="s">
        <v>9</v>
      </c>
      <c r="E218">
        <v>20000</v>
      </c>
      <c r="F218">
        <v>1000000</v>
      </c>
    </row>
    <row r="219" spans="1:6" hidden="1" x14ac:dyDescent="0.3">
      <c r="A219">
        <v>218</v>
      </c>
      <c r="B219" t="s">
        <v>44</v>
      </c>
      <c r="C219">
        <v>2002</v>
      </c>
      <c r="D219" t="s">
        <v>9</v>
      </c>
      <c r="E219">
        <v>75040</v>
      </c>
      <c r="F219">
        <v>0</v>
      </c>
    </row>
    <row r="220" spans="1:6" hidden="1" x14ac:dyDescent="0.3">
      <c r="A220">
        <v>219</v>
      </c>
      <c r="B220" t="s">
        <v>25</v>
      </c>
      <c r="C220">
        <v>2002</v>
      </c>
      <c r="D220" t="s">
        <v>9</v>
      </c>
      <c r="E220">
        <v>2301</v>
      </c>
      <c r="F220">
        <v>1500000</v>
      </c>
    </row>
    <row r="221" spans="1:6" hidden="1" x14ac:dyDescent="0.3">
      <c r="A221">
        <v>220</v>
      </c>
      <c r="B221" t="s">
        <v>25</v>
      </c>
      <c r="C221">
        <v>2002</v>
      </c>
      <c r="D221" t="s">
        <v>9</v>
      </c>
      <c r="E221">
        <v>4</v>
      </c>
      <c r="F221">
        <v>0</v>
      </c>
    </row>
    <row r="222" spans="1:6" hidden="1" x14ac:dyDescent="0.3">
      <c r="A222">
        <v>221</v>
      </c>
      <c r="B222" t="s">
        <v>25</v>
      </c>
      <c r="C222">
        <v>2002</v>
      </c>
      <c r="D222" t="s">
        <v>9</v>
      </c>
      <c r="E222">
        <v>0</v>
      </c>
      <c r="F222">
        <v>0</v>
      </c>
    </row>
    <row r="223" spans="1:6" hidden="1" x14ac:dyDescent="0.3">
      <c r="A223">
        <v>222</v>
      </c>
      <c r="B223" t="s">
        <v>26</v>
      </c>
      <c r="C223">
        <v>2002</v>
      </c>
      <c r="D223" t="s">
        <v>9</v>
      </c>
      <c r="E223">
        <v>4000</v>
      </c>
      <c r="F223">
        <v>0</v>
      </c>
    </row>
    <row r="224" spans="1:6" hidden="1" x14ac:dyDescent="0.3">
      <c r="A224">
        <v>223</v>
      </c>
      <c r="B224" t="s">
        <v>19</v>
      </c>
      <c r="C224">
        <v>2002</v>
      </c>
      <c r="D224" t="s">
        <v>9</v>
      </c>
      <c r="E224">
        <v>98740</v>
      </c>
      <c r="F224">
        <v>0</v>
      </c>
    </row>
    <row r="225" spans="1:6" hidden="1" x14ac:dyDescent="0.3">
      <c r="A225">
        <v>224</v>
      </c>
      <c r="B225" t="s">
        <v>19</v>
      </c>
      <c r="C225">
        <v>2002</v>
      </c>
      <c r="D225" t="s">
        <v>11</v>
      </c>
      <c r="E225">
        <v>1500</v>
      </c>
      <c r="F225">
        <v>100000</v>
      </c>
    </row>
    <row r="226" spans="1:6" hidden="1" x14ac:dyDescent="0.3">
      <c r="A226">
        <v>225</v>
      </c>
      <c r="B226" t="s">
        <v>23</v>
      </c>
      <c r="C226">
        <v>2002</v>
      </c>
      <c r="D226" t="s">
        <v>9</v>
      </c>
      <c r="E226">
        <v>1720</v>
      </c>
      <c r="F226">
        <v>0</v>
      </c>
    </row>
    <row r="227" spans="1:6" hidden="1" x14ac:dyDescent="0.3">
      <c r="A227">
        <v>226</v>
      </c>
      <c r="B227" t="s">
        <v>23</v>
      </c>
      <c r="C227">
        <v>2002</v>
      </c>
      <c r="D227" t="s">
        <v>9</v>
      </c>
      <c r="E227">
        <v>969</v>
      </c>
      <c r="F227">
        <v>100000000</v>
      </c>
    </row>
    <row r="228" spans="1:6" hidden="1" x14ac:dyDescent="0.3">
      <c r="A228">
        <v>227</v>
      </c>
      <c r="B228" t="s">
        <v>23</v>
      </c>
      <c r="C228">
        <v>2002</v>
      </c>
      <c r="D228" t="s">
        <v>7</v>
      </c>
      <c r="E228">
        <v>220000</v>
      </c>
      <c r="F228">
        <v>0</v>
      </c>
    </row>
    <row r="229" spans="1:6" hidden="1" x14ac:dyDescent="0.3">
      <c r="A229">
        <v>228</v>
      </c>
      <c r="B229" t="s">
        <v>23</v>
      </c>
      <c r="C229">
        <v>2002</v>
      </c>
      <c r="D229" t="s">
        <v>9</v>
      </c>
      <c r="E229">
        <v>0</v>
      </c>
      <c r="F229">
        <v>0</v>
      </c>
    </row>
    <row r="230" spans="1:6" hidden="1" x14ac:dyDescent="0.3">
      <c r="A230">
        <v>229</v>
      </c>
      <c r="B230" t="s">
        <v>20</v>
      </c>
      <c r="C230">
        <v>2002</v>
      </c>
      <c r="D230" t="s">
        <v>14</v>
      </c>
      <c r="E230">
        <v>2548</v>
      </c>
      <c r="F230">
        <v>0</v>
      </c>
    </row>
    <row r="231" spans="1:6" hidden="1" x14ac:dyDescent="0.3">
      <c r="A231">
        <v>230</v>
      </c>
      <c r="B231" t="s">
        <v>20</v>
      </c>
      <c r="C231">
        <v>2002</v>
      </c>
      <c r="D231" t="s">
        <v>14</v>
      </c>
      <c r="E231">
        <v>155</v>
      </c>
      <c r="F231">
        <v>0</v>
      </c>
    </row>
    <row r="232" spans="1:6" hidden="1" x14ac:dyDescent="0.3">
      <c r="A232">
        <v>231</v>
      </c>
      <c r="B232" t="s">
        <v>20</v>
      </c>
      <c r="C232">
        <v>2002</v>
      </c>
      <c r="D232" t="s">
        <v>14</v>
      </c>
      <c r="E232">
        <v>60</v>
      </c>
      <c r="F232">
        <v>0</v>
      </c>
    </row>
    <row r="233" spans="1:6" hidden="1" x14ac:dyDescent="0.3">
      <c r="A233">
        <v>232</v>
      </c>
      <c r="B233" t="s">
        <v>20</v>
      </c>
      <c r="C233">
        <v>2002</v>
      </c>
      <c r="D233" t="s">
        <v>9</v>
      </c>
      <c r="E233">
        <v>2000</v>
      </c>
      <c r="F233">
        <v>0</v>
      </c>
    </row>
    <row r="234" spans="1:6" hidden="1" x14ac:dyDescent="0.3">
      <c r="A234">
        <v>233</v>
      </c>
      <c r="B234" t="s">
        <v>20</v>
      </c>
      <c r="C234">
        <v>2002</v>
      </c>
      <c r="D234" t="s">
        <v>9</v>
      </c>
      <c r="E234">
        <v>500750</v>
      </c>
      <c r="F234">
        <v>350000000</v>
      </c>
    </row>
    <row r="235" spans="1:6" hidden="1" x14ac:dyDescent="0.3">
      <c r="A235">
        <v>234</v>
      </c>
      <c r="B235" t="s">
        <v>20</v>
      </c>
      <c r="C235">
        <v>2002</v>
      </c>
      <c r="D235" t="s">
        <v>9</v>
      </c>
      <c r="E235">
        <v>780</v>
      </c>
      <c r="F235">
        <v>0</v>
      </c>
    </row>
    <row r="236" spans="1:6" hidden="1" x14ac:dyDescent="0.3">
      <c r="A236">
        <v>235</v>
      </c>
      <c r="B236" t="s">
        <v>20</v>
      </c>
      <c r="C236">
        <v>2002</v>
      </c>
      <c r="D236" t="s">
        <v>9</v>
      </c>
      <c r="E236">
        <v>0</v>
      </c>
      <c r="F236">
        <v>0</v>
      </c>
    </row>
    <row r="237" spans="1:6" hidden="1" x14ac:dyDescent="0.3">
      <c r="A237">
        <v>236</v>
      </c>
      <c r="B237" t="s">
        <v>20</v>
      </c>
      <c r="C237">
        <v>2002</v>
      </c>
      <c r="D237" t="s">
        <v>9</v>
      </c>
      <c r="E237">
        <v>1000</v>
      </c>
      <c r="F237">
        <v>0</v>
      </c>
    </row>
    <row r="238" spans="1:6" hidden="1" x14ac:dyDescent="0.3">
      <c r="A238">
        <v>237</v>
      </c>
      <c r="B238" t="s">
        <v>20</v>
      </c>
      <c r="C238">
        <v>2002</v>
      </c>
      <c r="D238" t="s">
        <v>9</v>
      </c>
      <c r="E238">
        <v>87000</v>
      </c>
      <c r="F238">
        <v>1600000</v>
      </c>
    </row>
    <row r="239" spans="1:6" hidden="1" x14ac:dyDescent="0.3">
      <c r="A239">
        <v>238</v>
      </c>
      <c r="B239" t="s">
        <v>16</v>
      </c>
      <c r="C239">
        <v>2002</v>
      </c>
      <c r="D239" t="s">
        <v>11</v>
      </c>
      <c r="E239">
        <v>10200</v>
      </c>
      <c r="F239">
        <v>0</v>
      </c>
    </row>
    <row r="240" spans="1:6" hidden="1" x14ac:dyDescent="0.3">
      <c r="A240">
        <v>239</v>
      </c>
      <c r="B240" t="s">
        <v>16</v>
      </c>
      <c r="C240">
        <v>2002</v>
      </c>
      <c r="D240" t="s">
        <v>11</v>
      </c>
      <c r="E240">
        <v>0</v>
      </c>
      <c r="F240">
        <v>0</v>
      </c>
    </row>
    <row r="241" spans="1:6" hidden="1" x14ac:dyDescent="0.3">
      <c r="A241">
        <v>240</v>
      </c>
      <c r="B241" t="s">
        <v>16</v>
      </c>
      <c r="C241">
        <v>2002</v>
      </c>
      <c r="D241" t="s">
        <v>9</v>
      </c>
      <c r="E241">
        <v>42000000</v>
      </c>
      <c r="F241">
        <v>30772000</v>
      </c>
    </row>
    <row r="242" spans="1:6" hidden="1" x14ac:dyDescent="0.3">
      <c r="A242">
        <v>241</v>
      </c>
      <c r="B242" t="s">
        <v>16</v>
      </c>
      <c r="C242">
        <v>2002</v>
      </c>
      <c r="D242" t="s">
        <v>9</v>
      </c>
      <c r="E242">
        <v>50</v>
      </c>
      <c r="F242">
        <v>20000000</v>
      </c>
    </row>
    <row r="243" spans="1:6" hidden="1" x14ac:dyDescent="0.3">
      <c r="A243">
        <v>242</v>
      </c>
      <c r="B243" t="s">
        <v>16</v>
      </c>
      <c r="C243">
        <v>2002</v>
      </c>
      <c r="D243" t="s">
        <v>9</v>
      </c>
      <c r="E243">
        <v>3000</v>
      </c>
      <c r="F243">
        <v>0</v>
      </c>
    </row>
    <row r="244" spans="1:6" hidden="1" x14ac:dyDescent="0.3">
      <c r="A244">
        <v>243</v>
      </c>
      <c r="B244" t="s">
        <v>16</v>
      </c>
      <c r="C244">
        <v>2002</v>
      </c>
      <c r="D244" t="s">
        <v>9</v>
      </c>
      <c r="E244">
        <v>5000</v>
      </c>
      <c r="F244">
        <v>0</v>
      </c>
    </row>
    <row r="245" spans="1:6" hidden="1" x14ac:dyDescent="0.3">
      <c r="A245">
        <v>244</v>
      </c>
      <c r="B245" t="s">
        <v>16</v>
      </c>
      <c r="C245">
        <v>2002</v>
      </c>
      <c r="D245" t="s">
        <v>9</v>
      </c>
      <c r="E245">
        <v>0</v>
      </c>
      <c r="F245">
        <v>0</v>
      </c>
    </row>
    <row r="246" spans="1:6" hidden="1" x14ac:dyDescent="0.3">
      <c r="A246">
        <v>245</v>
      </c>
      <c r="B246" t="s">
        <v>16</v>
      </c>
      <c r="C246">
        <v>2002</v>
      </c>
      <c r="D246" t="s">
        <v>11</v>
      </c>
      <c r="E246">
        <v>5050</v>
      </c>
      <c r="F246">
        <v>416000</v>
      </c>
    </row>
    <row r="247" spans="1:6" hidden="1" x14ac:dyDescent="0.3">
      <c r="A247">
        <v>246</v>
      </c>
      <c r="B247" t="s">
        <v>16</v>
      </c>
      <c r="C247">
        <v>2002</v>
      </c>
      <c r="D247" t="s">
        <v>11</v>
      </c>
      <c r="E247">
        <v>0</v>
      </c>
      <c r="F247">
        <v>0</v>
      </c>
    </row>
    <row r="248" spans="1:6" hidden="1" x14ac:dyDescent="0.3">
      <c r="A248">
        <v>247</v>
      </c>
      <c r="B248" t="s">
        <v>16</v>
      </c>
      <c r="C248">
        <v>2002</v>
      </c>
      <c r="D248" t="s">
        <v>7</v>
      </c>
      <c r="E248">
        <v>300000000</v>
      </c>
      <c r="F248">
        <v>910722000</v>
      </c>
    </row>
    <row r="249" spans="1:6" hidden="1" x14ac:dyDescent="0.3">
      <c r="A249">
        <v>248</v>
      </c>
      <c r="B249" t="s">
        <v>16</v>
      </c>
      <c r="C249">
        <v>2002</v>
      </c>
      <c r="D249" t="s">
        <v>9</v>
      </c>
      <c r="E249">
        <v>200</v>
      </c>
      <c r="F249">
        <v>0</v>
      </c>
    </row>
    <row r="250" spans="1:6" hidden="1" x14ac:dyDescent="0.3">
      <c r="A250">
        <v>249</v>
      </c>
      <c r="B250" t="s">
        <v>18</v>
      </c>
      <c r="C250">
        <v>2002</v>
      </c>
      <c r="D250" t="s">
        <v>14</v>
      </c>
      <c r="E250">
        <v>780</v>
      </c>
      <c r="F250">
        <v>0</v>
      </c>
    </row>
    <row r="251" spans="1:6" hidden="1" x14ac:dyDescent="0.3">
      <c r="A251">
        <v>250</v>
      </c>
      <c r="B251" t="s">
        <v>18</v>
      </c>
      <c r="C251">
        <v>2002</v>
      </c>
      <c r="D251" t="s">
        <v>14</v>
      </c>
      <c r="E251">
        <v>20056</v>
      </c>
      <c r="F251">
        <v>0</v>
      </c>
    </row>
    <row r="252" spans="1:6" hidden="1" x14ac:dyDescent="0.3">
      <c r="A252">
        <v>251</v>
      </c>
      <c r="B252" t="s">
        <v>18</v>
      </c>
      <c r="C252">
        <v>2002</v>
      </c>
      <c r="D252" t="s">
        <v>14</v>
      </c>
      <c r="E252">
        <v>111300</v>
      </c>
      <c r="F252">
        <v>300000000</v>
      </c>
    </row>
    <row r="253" spans="1:6" hidden="1" x14ac:dyDescent="0.3">
      <c r="A253">
        <v>252</v>
      </c>
      <c r="B253" t="s">
        <v>18</v>
      </c>
      <c r="C253">
        <v>2002</v>
      </c>
      <c r="D253" t="s">
        <v>14</v>
      </c>
      <c r="E253">
        <v>15015</v>
      </c>
      <c r="F253">
        <v>0</v>
      </c>
    </row>
    <row r="254" spans="1:6" hidden="1" x14ac:dyDescent="0.3">
      <c r="A254">
        <v>253</v>
      </c>
      <c r="B254" t="s">
        <v>18</v>
      </c>
      <c r="C254">
        <v>2002</v>
      </c>
      <c r="D254" t="s">
        <v>14</v>
      </c>
      <c r="E254">
        <v>5</v>
      </c>
      <c r="F254">
        <v>0</v>
      </c>
    </row>
    <row r="255" spans="1:6" hidden="1" x14ac:dyDescent="0.3">
      <c r="A255">
        <v>254</v>
      </c>
      <c r="B255" t="s">
        <v>18</v>
      </c>
      <c r="C255">
        <v>2002</v>
      </c>
      <c r="D255" t="s">
        <v>9</v>
      </c>
      <c r="E255">
        <v>4500</v>
      </c>
      <c r="F255">
        <v>59060000</v>
      </c>
    </row>
    <row r="256" spans="1:6" hidden="1" x14ac:dyDescent="0.3">
      <c r="A256">
        <v>255</v>
      </c>
      <c r="B256" t="s">
        <v>18</v>
      </c>
      <c r="C256">
        <v>2002</v>
      </c>
      <c r="D256" t="s">
        <v>9</v>
      </c>
      <c r="E256">
        <v>0</v>
      </c>
      <c r="F256">
        <v>0</v>
      </c>
    </row>
    <row r="257" spans="1:6" hidden="1" x14ac:dyDescent="0.3">
      <c r="A257">
        <v>256</v>
      </c>
      <c r="B257" t="s">
        <v>18</v>
      </c>
      <c r="C257">
        <v>2002</v>
      </c>
      <c r="D257" t="s">
        <v>9</v>
      </c>
      <c r="E257">
        <v>200000</v>
      </c>
      <c r="F257">
        <v>4000000</v>
      </c>
    </row>
    <row r="258" spans="1:6" hidden="1" x14ac:dyDescent="0.3">
      <c r="A258">
        <v>257</v>
      </c>
      <c r="B258" t="s">
        <v>28</v>
      </c>
      <c r="C258">
        <v>2002</v>
      </c>
      <c r="D258" t="s">
        <v>11</v>
      </c>
      <c r="E258">
        <v>0</v>
      </c>
      <c r="F258">
        <v>1000000</v>
      </c>
    </row>
    <row r="259" spans="1:6" hidden="1" x14ac:dyDescent="0.3">
      <c r="A259">
        <v>258</v>
      </c>
      <c r="B259" t="s">
        <v>34</v>
      </c>
      <c r="C259">
        <v>2002</v>
      </c>
      <c r="D259" t="s">
        <v>9</v>
      </c>
      <c r="E259">
        <v>2000</v>
      </c>
      <c r="F259">
        <v>0</v>
      </c>
    </row>
    <row r="260" spans="1:6" hidden="1" x14ac:dyDescent="0.3">
      <c r="A260">
        <v>259</v>
      </c>
      <c r="B260" t="s">
        <v>34</v>
      </c>
      <c r="C260">
        <v>2002</v>
      </c>
      <c r="D260" t="s">
        <v>9</v>
      </c>
      <c r="E260">
        <v>20000</v>
      </c>
      <c r="F260">
        <v>0</v>
      </c>
    </row>
    <row r="261" spans="1:6" hidden="1" x14ac:dyDescent="0.3">
      <c r="A261">
        <v>260</v>
      </c>
      <c r="B261" t="s">
        <v>34</v>
      </c>
      <c r="C261">
        <v>2002</v>
      </c>
      <c r="D261" t="s">
        <v>9</v>
      </c>
      <c r="E261">
        <v>3000</v>
      </c>
      <c r="F261">
        <v>0</v>
      </c>
    </row>
    <row r="262" spans="1:6" hidden="1" x14ac:dyDescent="0.3">
      <c r="A262">
        <v>261</v>
      </c>
      <c r="B262" t="s">
        <v>17</v>
      </c>
      <c r="C262">
        <v>2002</v>
      </c>
      <c r="D262" t="s">
        <v>9</v>
      </c>
      <c r="E262">
        <v>500000</v>
      </c>
      <c r="F262">
        <v>0</v>
      </c>
    </row>
    <row r="263" spans="1:6" hidden="1" x14ac:dyDescent="0.3">
      <c r="A263">
        <v>262</v>
      </c>
      <c r="B263" t="s">
        <v>29</v>
      </c>
      <c r="C263">
        <v>2002</v>
      </c>
      <c r="D263" t="s">
        <v>9</v>
      </c>
      <c r="E263">
        <v>15017</v>
      </c>
      <c r="F263">
        <v>200000000</v>
      </c>
    </row>
    <row r="264" spans="1:6" hidden="1" x14ac:dyDescent="0.3">
      <c r="A264">
        <v>263</v>
      </c>
      <c r="B264" t="s">
        <v>22</v>
      </c>
      <c r="C264">
        <v>2002</v>
      </c>
      <c r="D264" t="s">
        <v>11</v>
      </c>
      <c r="E264">
        <v>1900</v>
      </c>
      <c r="F264">
        <v>181000</v>
      </c>
    </row>
    <row r="265" spans="1:6" hidden="1" x14ac:dyDescent="0.3">
      <c r="A265">
        <v>264</v>
      </c>
      <c r="B265" t="s">
        <v>22</v>
      </c>
      <c r="C265">
        <v>2002</v>
      </c>
      <c r="D265" t="s">
        <v>11</v>
      </c>
      <c r="E265">
        <v>526200</v>
      </c>
      <c r="F265">
        <v>0</v>
      </c>
    </row>
    <row r="266" spans="1:6" hidden="1" x14ac:dyDescent="0.3">
      <c r="A266">
        <v>265</v>
      </c>
      <c r="B266" t="s">
        <v>21</v>
      </c>
      <c r="C266">
        <v>2002</v>
      </c>
      <c r="D266" t="s">
        <v>9</v>
      </c>
      <c r="E266">
        <v>7000</v>
      </c>
      <c r="F266">
        <v>0</v>
      </c>
    </row>
    <row r="267" spans="1:6" hidden="1" x14ac:dyDescent="0.3">
      <c r="A267">
        <v>266</v>
      </c>
      <c r="B267" t="s">
        <v>21</v>
      </c>
      <c r="C267">
        <v>2002</v>
      </c>
      <c r="D267" t="s">
        <v>9</v>
      </c>
      <c r="E267">
        <v>0</v>
      </c>
      <c r="F267">
        <v>0</v>
      </c>
    </row>
    <row r="268" spans="1:6" hidden="1" x14ac:dyDescent="0.3">
      <c r="A268">
        <v>267</v>
      </c>
      <c r="B268" t="s">
        <v>21</v>
      </c>
      <c r="C268">
        <v>2002</v>
      </c>
      <c r="D268" t="s">
        <v>11</v>
      </c>
      <c r="E268">
        <v>500030</v>
      </c>
      <c r="F268">
        <v>640000000</v>
      </c>
    </row>
    <row r="269" spans="1:6" hidden="1" x14ac:dyDescent="0.3">
      <c r="A269">
        <v>268</v>
      </c>
      <c r="B269" t="s">
        <v>21</v>
      </c>
      <c r="C269">
        <v>2002</v>
      </c>
      <c r="D269" t="s">
        <v>11</v>
      </c>
      <c r="E269">
        <v>500</v>
      </c>
      <c r="F269">
        <v>0</v>
      </c>
    </row>
    <row r="270" spans="1:6" hidden="1" x14ac:dyDescent="0.3">
      <c r="A270">
        <v>269</v>
      </c>
      <c r="B270" t="s">
        <v>21</v>
      </c>
      <c r="C270">
        <v>2002</v>
      </c>
      <c r="D270" t="s">
        <v>11</v>
      </c>
      <c r="E270">
        <v>9000</v>
      </c>
      <c r="F270">
        <v>200000000</v>
      </c>
    </row>
    <row r="271" spans="1:6" hidden="1" x14ac:dyDescent="0.3">
      <c r="A271">
        <v>270</v>
      </c>
      <c r="B271" t="s">
        <v>21</v>
      </c>
      <c r="C271">
        <v>2002</v>
      </c>
      <c r="D271" t="s">
        <v>7</v>
      </c>
      <c r="E271">
        <v>0</v>
      </c>
      <c r="F271">
        <v>210000000</v>
      </c>
    </row>
    <row r="272" spans="1:6" hidden="1" x14ac:dyDescent="0.3">
      <c r="A272">
        <v>271</v>
      </c>
      <c r="B272" t="s">
        <v>45</v>
      </c>
      <c r="C272">
        <v>2002</v>
      </c>
      <c r="D272" t="s">
        <v>9</v>
      </c>
      <c r="E272">
        <v>50000</v>
      </c>
      <c r="F272">
        <v>0</v>
      </c>
    </row>
    <row r="273" spans="1:6" hidden="1" x14ac:dyDescent="0.3">
      <c r="A273">
        <v>272</v>
      </c>
      <c r="B273" t="s">
        <v>30</v>
      </c>
      <c r="C273">
        <v>2002</v>
      </c>
      <c r="D273" t="s">
        <v>9</v>
      </c>
      <c r="E273">
        <v>500</v>
      </c>
      <c r="F273">
        <v>0</v>
      </c>
    </row>
    <row r="274" spans="1:6" hidden="1" x14ac:dyDescent="0.3">
      <c r="A274">
        <v>273</v>
      </c>
      <c r="B274" t="s">
        <v>30</v>
      </c>
      <c r="C274">
        <v>2002</v>
      </c>
      <c r="D274" t="s">
        <v>11</v>
      </c>
      <c r="E274">
        <v>4017</v>
      </c>
      <c r="F274">
        <v>0</v>
      </c>
    </row>
    <row r="275" spans="1:6" hidden="1" x14ac:dyDescent="0.3">
      <c r="A275">
        <v>274</v>
      </c>
      <c r="B275" t="s">
        <v>20</v>
      </c>
      <c r="C275">
        <v>2003</v>
      </c>
      <c r="D275" t="s">
        <v>9</v>
      </c>
      <c r="E275">
        <v>10000</v>
      </c>
      <c r="F275">
        <v>0</v>
      </c>
    </row>
    <row r="276" spans="1:6" hidden="1" x14ac:dyDescent="0.3">
      <c r="A276">
        <v>275</v>
      </c>
      <c r="B276" t="s">
        <v>21</v>
      </c>
      <c r="C276">
        <v>2003</v>
      </c>
      <c r="D276" t="s">
        <v>14</v>
      </c>
      <c r="E276">
        <v>178603</v>
      </c>
      <c r="F276">
        <v>116300000</v>
      </c>
    </row>
    <row r="277" spans="1:6" hidden="1" x14ac:dyDescent="0.3">
      <c r="A277">
        <v>276</v>
      </c>
      <c r="B277" t="s">
        <v>16</v>
      </c>
      <c r="C277">
        <v>2003</v>
      </c>
      <c r="D277" t="s">
        <v>11</v>
      </c>
      <c r="E277">
        <v>4</v>
      </c>
      <c r="F277">
        <v>0</v>
      </c>
    </row>
    <row r="278" spans="1:6" hidden="1" x14ac:dyDescent="0.3">
      <c r="A278">
        <v>277</v>
      </c>
      <c r="B278" t="s">
        <v>30</v>
      </c>
      <c r="C278">
        <v>2003</v>
      </c>
      <c r="D278" t="s">
        <v>11</v>
      </c>
      <c r="E278">
        <v>23010</v>
      </c>
      <c r="F278">
        <v>0</v>
      </c>
    </row>
    <row r="279" spans="1:6" hidden="1" x14ac:dyDescent="0.3">
      <c r="A279">
        <v>278</v>
      </c>
      <c r="B279" t="s">
        <v>25</v>
      </c>
      <c r="C279">
        <v>2003</v>
      </c>
      <c r="D279" t="s">
        <v>11</v>
      </c>
      <c r="E279">
        <v>0</v>
      </c>
      <c r="F279">
        <v>0</v>
      </c>
    </row>
    <row r="280" spans="1:6" hidden="1" x14ac:dyDescent="0.3">
      <c r="A280">
        <v>279</v>
      </c>
      <c r="B280" t="s">
        <v>20</v>
      </c>
      <c r="C280">
        <v>2003</v>
      </c>
      <c r="D280" t="s">
        <v>14</v>
      </c>
      <c r="E280">
        <v>2502</v>
      </c>
      <c r="F280">
        <v>0</v>
      </c>
    </row>
    <row r="281" spans="1:6" hidden="1" x14ac:dyDescent="0.3">
      <c r="A281">
        <v>280</v>
      </c>
      <c r="B281" t="s">
        <v>20</v>
      </c>
      <c r="C281">
        <v>2003</v>
      </c>
      <c r="D281" t="s">
        <v>9</v>
      </c>
      <c r="E281">
        <v>15000</v>
      </c>
      <c r="F281">
        <v>0</v>
      </c>
    </row>
    <row r="282" spans="1:6" hidden="1" x14ac:dyDescent="0.3">
      <c r="A282">
        <v>281</v>
      </c>
      <c r="B282" t="s">
        <v>20</v>
      </c>
      <c r="C282">
        <v>2003</v>
      </c>
      <c r="D282" t="s">
        <v>9</v>
      </c>
      <c r="E282">
        <v>33000</v>
      </c>
      <c r="F282">
        <v>0</v>
      </c>
    </row>
    <row r="283" spans="1:6" hidden="1" x14ac:dyDescent="0.3">
      <c r="A283">
        <v>282</v>
      </c>
      <c r="B283" t="s">
        <v>20</v>
      </c>
      <c r="C283">
        <v>2003</v>
      </c>
      <c r="D283" t="s">
        <v>9</v>
      </c>
      <c r="E283">
        <v>230</v>
      </c>
      <c r="F283">
        <v>0</v>
      </c>
    </row>
    <row r="284" spans="1:6" hidden="1" x14ac:dyDescent="0.3">
      <c r="A284">
        <v>283</v>
      </c>
      <c r="B284" t="s">
        <v>20</v>
      </c>
      <c r="C284">
        <v>2003</v>
      </c>
      <c r="D284" t="s">
        <v>9</v>
      </c>
      <c r="E284">
        <v>3700</v>
      </c>
      <c r="F284">
        <v>0</v>
      </c>
    </row>
    <row r="285" spans="1:6" hidden="1" x14ac:dyDescent="0.3">
      <c r="A285">
        <v>284</v>
      </c>
      <c r="B285" t="s">
        <v>16</v>
      </c>
      <c r="C285">
        <v>2003</v>
      </c>
      <c r="D285" t="s">
        <v>11</v>
      </c>
      <c r="E285">
        <v>485910</v>
      </c>
      <c r="F285">
        <v>16000000</v>
      </c>
    </row>
    <row r="286" spans="1:6" hidden="1" x14ac:dyDescent="0.3">
      <c r="A286">
        <v>285</v>
      </c>
      <c r="B286" t="s">
        <v>16</v>
      </c>
      <c r="C286">
        <v>2003</v>
      </c>
      <c r="D286" t="s">
        <v>11</v>
      </c>
      <c r="E286">
        <v>140</v>
      </c>
      <c r="F286">
        <v>0</v>
      </c>
    </row>
    <row r="287" spans="1:6" hidden="1" x14ac:dyDescent="0.3">
      <c r="A287">
        <v>286</v>
      </c>
      <c r="B287" t="s">
        <v>16</v>
      </c>
      <c r="C287">
        <v>2003</v>
      </c>
      <c r="D287" t="s">
        <v>11</v>
      </c>
      <c r="E287">
        <v>200</v>
      </c>
      <c r="F287">
        <v>0</v>
      </c>
    </row>
    <row r="288" spans="1:6" hidden="1" x14ac:dyDescent="0.3">
      <c r="A288">
        <v>287</v>
      </c>
      <c r="B288" t="s">
        <v>18</v>
      </c>
      <c r="C288">
        <v>2003</v>
      </c>
      <c r="D288" t="s">
        <v>14</v>
      </c>
      <c r="E288">
        <v>10080</v>
      </c>
      <c r="F288">
        <v>0</v>
      </c>
    </row>
    <row r="289" spans="1:6" hidden="1" x14ac:dyDescent="0.3">
      <c r="A289">
        <v>288</v>
      </c>
      <c r="B289" t="s">
        <v>22</v>
      </c>
      <c r="C289">
        <v>2003</v>
      </c>
      <c r="D289" t="s">
        <v>9</v>
      </c>
      <c r="E289">
        <v>23370</v>
      </c>
      <c r="F289">
        <v>150000000</v>
      </c>
    </row>
    <row r="290" spans="1:6" hidden="1" x14ac:dyDescent="0.3">
      <c r="A290">
        <v>289</v>
      </c>
      <c r="B290" t="s">
        <v>22</v>
      </c>
      <c r="C290">
        <v>2003</v>
      </c>
      <c r="D290" t="s">
        <v>11</v>
      </c>
      <c r="E290">
        <v>500</v>
      </c>
      <c r="F290">
        <v>0</v>
      </c>
    </row>
    <row r="291" spans="1:6" hidden="1" x14ac:dyDescent="0.3">
      <c r="A291">
        <v>290</v>
      </c>
      <c r="B291" t="s">
        <v>30</v>
      </c>
      <c r="C291">
        <v>2003</v>
      </c>
      <c r="D291" t="s">
        <v>9</v>
      </c>
      <c r="E291">
        <v>100003</v>
      </c>
      <c r="F291">
        <v>0</v>
      </c>
    </row>
    <row r="292" spans="1:6" hidden="1" x14ac:dyDescent="0.3">
      <c r="A292">
        <v>291</v>
      </c>
      <c r="B292" t="s">
        <v>30</v>
      </c>
      <c r="C292">
        <v>2003</v>
      </c>
      <c r="D292" t="s">
        <v>9</v>
      </c>
      <c r="E292">
        <v>400000</v>
      </c>
      <c r="F292">
        <v>0</v>
      </c>
    </row>
    <row r="293" spans="1:6" hidden="1" x14ac:dyDescent="0.3">
      <c r="A293">
        <v>292</v>
      </c>
      <c r="B293" t="s">
        <v>37</v>
      </c>
      <c r="C293">
        <v>2001</v>
      </c>
      <c r="D293" t="s">
        <v>11</v>
      </c>
      <c r="E293">
        <v>1060147</v>
      </c>
      <c r="F293">
        <v>22700000</v>
      </c>
    </row>
    <row r="294" spans="1:6" hidden="1" x14ac:dyDescent="0.3">
      <c r="A294">
        <v>293</v>
      </c>
      <c r="B294" t="s">
        <v>37</v>
      </c>
      <c r="C294">
        <v>2001</v>
      </c>
      <c r="D294" t="s">
        <v>11</v>
      </c>
      <c r="E294">
        <v>54840</v>
      </c>
      <c r="F294">
        <v>96000</v>
      </c>
    </row>
    <row r="295" spans="1:6" hidden="1" x14ac:dyDescent="0.3">
      <c r="A295">
        <v>294</v>
      </c>
      <c r="B295" t="s">
        <v>35</v>
      </c>
      <c r="C295">
        <v>2001</v>
      </c>
      <c r="D295" t="s">
        <v>9</v>
      </c>
      <c r="E295">
        <v>400179</v>
      </c>
      <c r="F295">
        <v>246000000</v>
      </c>
    </row>
    <row r="296" spans="1:6" hidden="1" x14ac:dyDescent="0.3">
      <c r="A296">
        <v>295</v>
      </c>
      <c r="B296" t="s">
        <v>36</v>
      </c>
      <c r="C296">
        <v>2001</v>
      </c>
      <c r="D296" t="s">
        <v>14</v>
      </c>
      <c r="E296">
        <v>349978</v>
      </c>
      <c r="F296">
        <v>300000000</v>
      </c>
    </row>
    <row r="297" spans="1:6" hidden="1" x14ac:dyDescent="0.3">
      <c r="A297">
        <v>296</v>
      </c>
      <c r="B297" t="s">
        <v>38</v>
      </c>
      <c r="C297">
        <v>2001</v>
      </c>
      <c r="D297" t="s">
        <v>9</v>
      </c>
      <c r="E297">
        <v>312</v>
      </c>
      <c r="F297">
        <v>0</v>
      </c>
    </row>
    <row r="298" spans="1:6" hidden="1" x14ac:dyDescent="0.3">
      <c r="A298">
        <v>297</v>
      </c>
      <c r="B298" t="s">
        <v>24</v>
      </c>
      <c r="C298">
        <v>2001</v>
      </c>
      <c r="D298" t="s">
        <v>7</v>
      </c>
      <c r="E298">
        <v>188000</v>
      </c>
      <c r="F298">
        <v>0</v>
      </c>
    </row>
    <row r="299" spans="1:6" hidden="1" x14ac:dyDescent="0.3">
      <c r="A299">
        <v>298</v>
      </c>
      <c r="B299" t="s">
        <v>32</v>
      </c>
      <c r="C299">
        <v>2001</v>
      </c>
      <c r="D299" t="s">
        <v>7</v>
      </c>
      <c r="E299">
        <v>3584558</v>
      </c>
      <c r="F299">
        <v>0</v>
      </c>
    </row>
    <row r="300" spans="1:6" hidden="1" x14ac:dyDescent="0.3">
      <c r="A300">
        <v>299</v>
      </c>
      <c r="B300" t="s">
        <v>31</v>
      </c>
      <c r="C300">
        <v>2001</v>
      </c>
      <c r="D300" t="s">
        <v>7</v>
      </c>
      <c r="E300">
        <v>0</v>
      </c>
      <c r="F300">
        <v>0</v>
      </c>
    </row>
    <row r="301" spans="1:6" hidden="1" x14ac:dyDescent="0.3">
      <c r="A301">
        <v>300</v>
      </c>
      <c r="B301" t="s">
        <v>32</v>
      </c>
      <c r="C301">
        <v>2001</v>
      </c>
      <c r="D301" t="s">
        <v>9</v>
      </c>
      <c r="E301">
        <v>20000</v>
      </c>
      <c r="F301">
        <v>0</v>
      </c>
    </row>
    <row r="302" spans="1:6" hidden="1" x14ac:dyDescent="0.3">
      <c r="A302">
        <v>301</v>
      </c>
      <c r="B302" t="s">
        <v>24</v>
      </c>
      <c r="C302">
        <v>2001</v>
      </c>
      <c r="D302" t="s">
        <v>11</v>
      </c>
      <c r="E302">
        <v>24866</v>
      </c>
      <c r="F302">
        <v>1000000</v>
      </c>
    </row>
    <row r="303" spans="1:6" hidden="1" x14ac:dyDescent="0.3">
      <c r="A303">
        <v>302</v>
      </c>
      <c r="B303" t="s">
        <v>35</v>
      </c>
      <c r="C303">
        <v>2001</v>
      </c>
      <c r="D303" t="s">
        <v>11</v>
      </c>
      <c r="E303">
        <v>500</v>
      </c>
      <c r="F303">
        <v>0</v>
      </c>
    </row>
    <row r="304" spans="1:6" hidden="1" x14ac:dyDescent="0.3">
      <c r="A304">
        <v>303</v>
      </c>
      <c r="B304" t="s">
        <v>36</v>
      </c>
      <c r="C304">
        <v>2001</v>
      </c>
      <c r="D304" t="s">
        <v>14</v>
      </c>
      <c r="E304">
        <v>155</v>
      </c>
      <c r="F304">
        <v>0</v>
      </c>
    </row>
    <row r="305" spans="1:6" hidden="1" x14ac:dyDescent="0.3">
      <c r="A305">
        <v>304</v>
      </c>
      <c r="B305" t="s">
        <v>36</v>
      </c>
      <c r="C305">
        <v>2001</v>
      </c>
      <c r="D305" t="s">
        <v>14</v>
      </c>
      <c r="E305">
        <v>3965</v>
      </c>
      <c r="F305">
        <v>0</v>
      </c>
    </row>
    <row r="306" spans="1:6" hidden="1" x14ac:dyDescent="0.3">
      <c r="A306">
        <v>305</v>
      </c>
      <c r="B306" t="s">
        <v>36</v>
      </c>
      <c r="C306">
        <v>2001</v>
      </c>
      <c r="D306" t="s">
        <v>9</v>
      </c>
      <c r="E306">
        <v>310</v>
      </c>
      <c r="F306">
        <v>0</v>
      </c>
    </row>
    <row r="307" spans="1:6" hidden="1" x14ac:dyDescent="0.3">
      <c r="A307">
        <v>306</v>
      </c>
      <c r="B307" t="s">
        <v>36</v>
      </c>
      <c r="C307">
        <v>2001</v>
      </c>
      <c r="D307" t="s">
        <v>9</v>
      </c>
      <c r="E307">
        <v>46000</v>
      </c>
      <c r="F307">
        <v>0</v>
      </c>
    </row>
    <row r="308" spans="1:6" hidden="1" x14ac:dyDescent="0.3">
      <c r="A308">
        <v>307</v>
      </c>
      <c r="B308" t="s">
        <v>36</v>
      </c>
      <c r="C308">
        <v>2001</v>
      </c>
      <c r="D308" t="s">
        <v>9</v>
      </c>
      <c r="E308">
        <v>20000</v>
      </c>
      <c r="F308">
        <v>0</v>
      </c>
    </row>
    <row r="309" spans="1:6" hidden="1" x14ac:dyDescent="0.3">
      <c r="A309">
        <v>308</v>
      </c>
      <c r="B309" t="s">
        <v>37</v>
      </c>
      <c r="C309">
        <v>2001</v>
      </c>
      <c r="D309" t="s">
        <v>9</v>
      </c>
      <c r="E309">
        <v>79000</v>
      </c>
      <c r="F309">
        <v>8000000</v>
      </c>
    </row>
    <row r="310" spans="1:6" hidden="1" x14ac:dyDescent="0.3">
      <c r="A310">
        <v>309</v>
      </c>
      <c r="B310" t="s">
        <v>37</v>
      </c>
      <c r="C310">
        <v>2001</v>
      </c>
      <c r="D310" t="s">
        <v>9</v>
      </c>
      <c r="E310">
        <v>300</v>
      </c>
      <c r="F310">
        <v>0</v>
      </c>
    </row>
    <row r="311" spans="1:6" hidden="1" x14ac:dyDescent="0.3">
      <c r="A311">
        <v>310</v>
      </c>
      <c r="B311" t="s">
        <v>37</v>
      </c>
      <c r="C311">
        <v>2001</v>
      </c>
      <c r="D311" t="s">
        <v>11</v>
      </c>
      <c r="E311">
        <v>1902654</v>
      </c>
      <c r="F311">
        <v>68565000</v>
      </c>
    </row>
    <row r="312" spans="1:6" hidden="1" x14ac:dyDescent="0.3">
      <c r="A312">
        <v>311</v>
      </c>
      <c r="B312" t="s">
        <v>37</v>
      </c>
      <c r="C312">
        <v>2001</v>
      </c>
      <c r="D312" t="s">
        <v>11</v>
      </c>
      <c r="E312">
        <v>295355</v>
      </c>
      <c r="F312">
        <v>293000</v>
      </c>
    </row>
    <row r="313" spans="1:6" hidden="1" x14ac:dyDescent="0.3">
      <c r="A313">
        <v>312</v>
      </c>
      <c r="B313" t="s">
        <v>37</v>
      </c>
      <c r="C313">
        <v>2001</v>
      </c>
      <c r="D313" t="s">
        <v>11</v>
      </c>
      <c r="E313">
        <v>37357</v>
      </c>
      <c r="F313">
        <v>1407000</v>
      </c>
    </row>
    <row r="314" spans="1:6" hidden="1" x14ac:dyDescent="0.3">
      <c r="A314">
        <v>313</v>
      </c>
      <c r="B314" t="s">
        <v>39</v>
      </c>
      <c r="C314">
        <v>2001</v>
      </c>
      <c r="D314" t="s">
        <v>9</v>
      </c>
      <c r="E314">
        <v>10803</v>
      </c>
      <c r="F314">
        <v>120000000</v>
      </c>
    </row>
    <row r="315" spans="1:6" hidden="1" x14ac:dyDescent="0.3">
      <c r="A315">
        <v>314</v>
      </c>
      <c r="B315" t="s">
        <v>40</v>
      </c>
      <c r="C315">
        <v>2001</v>
      </c>
      <c r="D315" t="s">
        <v>9</v>
      </c>
      <c r="E315">
        <v>1000</v>
      </c>
      <c r="F315">
        <v>0</v>
      </c>
    </row>
    <row r="316" spans="1:6" hidden="1" x14ac:dyDescent="0.3">
      <c r="A316">
        <v>315</v>
      </c>
      <c r="B316" t="s">
        <v>40</v>
      </c>
      <c r="C316">
        <v>2001</v>
      </c>
      <c r="D316" t="s">
        <v>7</v>
      </c>
      <c r="E316">
        <v>400000</v>
      </c>
      <c r="F316">
        <v>22400000</v>
      </c>
    </row>
    <row r="317" spans="1:6" hidden="1" x14ac:dyDescent="0.3">
      <c r="A317">
        <v>316</v>
      </c>
      <c r="B317" t="s">
        <v>41</v>
      </c>
      <c r="C317">
        <v>2001</v>
      </c>
      <c r="D317" t="s">
        <v>9</v>
      </c>
      <c r="E317">
        <v>6500</v>
      </c>
      <c r="F317">
        <v>0</v>
      </c>
    </row>
    <row r="318" spans="1:6" x14ac:dyDescent="0.3">
      <c r="A318">
        <v>317</v>
      </c>
      <c r="B318" t="s">
        <v>42</v>
      </c>
      <c r="C318">
        <v>2001</v>
      </c>
      <c r="D318" t="s">
        <v>9</v>
      </c>
      <c r="E318">
        <v>2190</v>
      </c>
      <c r="F318">
        <v>0</v>
      </c>
    </row>
    <row r="319" spans="1:6" x14ac:dyDescent="0.3">
      <c r="A319">
        <v>318</v>
      </c>
      <c r="B319" t="s">
        <v>42</v>
      </c>
      <c r="C319">
        <v>2001</v>
      </c>
      <c r="D319" t="s">
        <v>11</v>
      </c>
      <c r="E319">
        <v>830</v>
      </c>
      <c r="F319">
        <v>234000</v>
      </c>
    </row>
    <row r="320" spans="1:6" hidden="1" x14ac:dyDescent="0.3">
      <c r="A320">
        <v>319</v>
      </c>
      <c r="B320" t="s">
        <v>43</v>
      </c>
      <c r="C320">
        <v>2001</v>
      </c>
      <c r="D320" t="s">
        <v>9</v>
      </c>
      <c r="E320">
        <v>3000</v>
      </c>
      <c r="F320">
        <v>0</v>
      </c>
    </row>
    <row r="321" spans="1:6" hidden="1" x14ac:dyDescent="0.3">
      <c r="A321">
        <v>320</v>
      </c>
      <c r="B321" t="s">
        <v>43</v>
      </c>
      <c r="C321">
        <v>2001</v>
      </c>
      <c r="D321" t="s">
        <v>9</v>
      </c>
      <c r="E321">
        <v>35006</v>
      </c>
      <c r="F321">
        <v>4700000</v>
      </c>
    </row>
    <row r="322" spans="1:6" hidden="1" x14ac:dyDescent="0.3">
      <c r="A322">
        <v>321</v>
      </c>
      <c r="B322" t="s">
        <v>43</v>
      </c>
      <c r="C322">
        <v>2001</v>
      </c>
      <c r="D322" t="s">
        <v>9</v>
      </c>
      <c r="E322">
        <v>1570270</v>
      </c>
      <c r="F322">
        <v>84000000</v>
      </c>
    </row>
    <row r="323" spans="1:6" hidden="1" x14ac:dyDescent="0.3">
      <c r="A323">
        <v>322</v>
      </c>
      <c r="B323" t="s">
        <v>43</v>
      </c>
      <c r="C323">
        <v>2001</v>
      </c>
      <c r="D323" t="s">
        <v>11</v>
      </c>
      <c r="E323">
        <v>117453</v>
      </c>
      <c r="F323">
        <v>25000000</v>
      </c>
    </row>
    <row r="324" spans="1:6" hidden="1" x14ac:dyDescent="0.3">
      <c r="A324">
        <v>323</v>
      </c>
      <c r="B324" t="s">
        <v>43</v>
      </c>
      <c r="C324">
        <v>2001</v>
      </c>
      <c r="D324" t="s">
        <v>11</v>
      </c>
      <c r="E324">
        <v>10003</v>
      </c>
      <c r="F324">
        <v>3200000</v>
      </c>
    </row>
    <row r="325" spans="1:6" hidden="1" x14ac:dyDescent="0.3">
      <c r="A325">
        <v>324</v>
      </c>
      <c r="B325" t="s">
        <v>43</v>
      </c>
      <c r="C325">
        <v>2001</v>
      </c>
      <c r="D325" t="s">
        <v>11</v>
      </c>
      <c r="E325">
        <v>73183</v>
      </c>
      <c r="F325">
        <v>55000000</v>
      </c>
    </row>
    <row r="326" spans="1:6" hidden="1" x14ac:dyDescent="0.3">
      <c r="A326">
        <v>325</v>
      </c>
      <c r="B326" t="s">
        <v>43</v>
      </c>
      <c r="C326">
        <v>2001</v>
      </c>
      <c r="D326" t="s">
        <v>9</v>
      </c>
      <c r="E326">
        <v>175</v>
      </c>
      <c r="F326">
        <v>0</v>
      </c>
    </row>
    <row r="327" spans="1:6" hidden="1" x14ac:dyDescent="0.3">
      <c r="A327">
        <v>326</v>
      </c>
      <c r="B327" t="s">
        <v>46</v>
      </c>
      <c r="C327">
        <v>2001</v>
      </c>
      <c r="D327" t="s">
        <v>9</v>
      </c>
      <c r="E327">
        <v>0</v>
      </c>
      <c r="F327">
        <v>0</v>
      </c>
    </row>
    <row r="328" spans="1:6" hidden="1" x14ac:dyDescent="0.3">
      <c r="A328">
        <v>327</v>
      </c>
      <c r="B328" t="s">
        <v>46</v>
      </c>
      <c r="C328">
        <v>2001</v>
      </c>
      <c r="D328" t="s">
        <v>11</v>
      </c>
      <c r="E328">
        <v>0</v>
      </c>
      <c r="F328">
        <v>0</v>
      </c>
    </row>
    <row r="329" spans="1:6" hidden="1" x14ac:dyDescent="0.3">
      <c r="A329">
        <v>328</v>
      </c>
      <c r="B329" t="s">
        <v>46</v>
      </c>
      <c r="C329">
        <v>2001</v>
      </c>
      <c r="D329" t="s">
        <v>11</v>
      </c>
      <c r="E329">
        <v>0</v>
      </c>
      <c r="F329">
        <v>0</v>
      </c>
    </row>
    <row r="330" spans="1:6" hidden="1" x14ac:dyDescent="0.3">
      <c r="A330">
        <v>329</v>
      </c>
      <c r="B330" t="s">
        <v>38</v>
      </c>
      <c r="C330">
        <v>2001</v>
      </c>
      <c r="D330" t="s">
        <v>11</v>
      </c>
      <c r="E330">
        <v>630</v>
      </c>
      <c r="F330">
        <v>0</v>
      </c>
    </row>
    <row r="331" spans="1:6" hidden="1" x14ac:dyDescent="0.3">
      <c r="A331">
        <v>330</v>
      </c>
      <c r="B331" t="s">
        <v>38</v>
      </c>
      <c r="C331">
        <v>2001</v>
      </c>
      <c r="D331" t="s">
        <v>9</v>
      </c>
      <c r="E331">
        <v>42356</v>
      </c>
      <c r="F331">
        <v>0</v>
      </c>
    </row>
    <row r="332" spans="1:6" hidden="1" x14ac:dyDescent="0.3">
      <c r="A332">
        <v>331</v>
      </c>
      <c r="B332" t="s">
        <v>35</v>
      </c>
      <c r="C332">
        <v>2002</v>
      </c>
      <c r="D332" t="s">
        <v>14</v>
      </c>
      <c r="E332">
        <v>15065</v>
      </c>
      <c r="F332">
        <v>0</v>
      </c>
    </row>
    <row r="333" spans="1:6" hidden="1" x14ac:dyDescent="0.3">
      <c r="A333">
        <v>332</v>
      </c>
      <c r="B333" t="s">
        <v>35</v>
      </c>
      <c r="C333">
        <v>2002</v>
      </c>
      <c r="D333" t="s">
        <v>14</v>
      </c>
      <c r="E333">
        <v>140782</v>
      </c>
      <c r="F333">
        <v>0</v>
      </c>
    </row>
    <row r="334" spans="1:6" hidden="1" x14ac:dyDescent="0.3">
      <c r="A334">
        <v>333</v>
      </c>
      <c r="B334" t="s">
        <v>36</v>
      </c>
      <c r="C334">
        <v>2002</v>
      </c>
      <c r="D334" t="s">
        <v>9</v>
      </c>
      <c r="E334">
        <v>8349</v>
      </c>
      <c r="F334">
        <v>0</v>
      </c>
    </row>
    <row r="335" spans="1:6" hidden="1" x14ac:dyDescent="0.3">
      <c r="A335">
        <v>334</v>
      </c>
      <c r="B335" t="s">
        <v>37</v>
      </c>
      <c r="C335">
        <v>2002</v>
      </c>
      <c r="D335" t="s">
        <v>9</v>
      </c>
      <c r="E335">
        <v>95008</v>
      </c>
      <c r="F335">
        <v>392000</v>
      </c>
    </row>
    <row r="336" spans="1:6" x14ac:dyDescent="0.3">
      <c r="A336">
        <v>335</v>
      </c>
      <c r="B336" t="s">
        <v>42</v>
      </c>
      <c r="C336">
        <v>2002</v>
      </c>
      <c r="D336" t="s">
        <v>9</v>
      </c>
      <c r="E336">
        <v>1713</v>
      </c>
      <c r="F336">
        <v>2836000</v>
      </c>
    </row>
    <row r="337" spans="1:6" x14ac:dyDescent="0.3">
      <c r="A337">
        <v>336</v>
      </c>
      <c r="B337" t="s">
        <v>42</v>
      </c>
      <c r="C337">
        <v>2002</v>
      </c>
      <c r="D337" t="s">
        <v>9</v>
      </c>
      <c r="E337">
        <v>1500</v>
      </c>
      <c r="F337">
        <v>0</v>
      </c>
    </row>
    <row r="338" spans="1:6" hidden="1" x14ac:dyDescent="0.3">
      <c r="A338">
        <v>337</v>
      </c>
      <c r="B338" t="s">
        <v>37</v>
      </c>
      <c r="C338">
        <v>2002</v>
      </c>
      <c r="D338" t="s">
        <v>14</v>
      </c>
      <c r="E338">
        <v>73451</v>
      </c>
      <c r="F338">
        <v>1714000</v>
      </c>
    </row>
    <row r="339" spans="1:6" hidden="1" x14ac:dyDescent="0.3">
      <c r="A339">
        <v>338</v>
      </c>
      <c r="B339" t="s">
        <v>31</v>
      </c>
      <c r="C339">
        <v>2002</v>
      </c>
      <c r="D339" t="s">
        <v>7</v>
      </c>
      <c r="E339">
        <v>345000</v>
      </c>
      <c r="F339">
        <v>0</v>
      </c>
    </row>
    <row r="340" spans="1:6" hidden="1" x14ac:dyDescent="0.3">
      <c r="A340">
        <v>339</v>
      </c>
      <c r="B340" t="s">
        <v>32</v>
      </c>
      <c r="C340">
        <v>2002</v>
      </c>
      <c r="D340" t="s">
        <v>11</v>
      </c>
      <c r="E340">
        <v>1253</v>
      </c>
      <c r="F340">
        <v>0</v>
      </c>
    </row>
    <row r="341" spans="1:6" hidden="1" x14ac:dyDescent="0.3">
      <c r="A341">
        <v>340</v>
      </c>
      <c r="B341" t="s">
        <v>24</v>
      </c>
      <c r="C341">
        <v>2002</v>
      </c>
      <c r="D341" t="s">
        <v>9</v>
      </c>
      <c r="E341">
        <v>13546</v>
      </c>
      <c r="F341">
        <v>50000</v>
      </c>
    </row>
    <row r="342" spans="1:6" hidden="1" x14ac:dyDescent="0.3">
      <c r="A342">
        <v>341</v>
      </c>
      <c r="B342" t="s">
        <v>24</v>
      </c>
      <c r="C342">
        <v>2002</v>
      </c>
      <c r="D342" t="s">
        <v>11</v>
      </c>
      <c r="E342">
        <v>300</v>
      </c>
      <c r="F342">
        <v>1000000</v>
      </c>
    </row>
    <row r="343" spans="1:6" hidden="1" x14ac:dyDescent="0.3">
      <c r="A343">
        <v>342</v>
      </c>
      <c r="B343" t="s">
        <v>35</v>
      </c>
      <c r="C343">
        <v>2002</v>
      </c>
      <c r="D343" t="s">
        <v>11</v>
      </c>
      <c r="E343">
        <v>12</v>
      </c>
      <c r="F343">
        <v>0</v>
      </c>
    </row>
    <row r="344" spans="1:6" hidden="1" x14ac:dyDescent="0.3">
      <c r="A344">
        <v>343</v>
      </c>
      <c r="B344" t="s">
        <v>35</v>
      </c>
      <c r="C344">
        <v>2002</v>
      </c>
      <c r="D344" t="s">
        <v>14</v>
      </c>
      <c r="E344">
        <v>0</v>
      </c>
      <c r="F344">
        <v>0</v>
      </c>
    </row>
    <row r="345" spans="1:6" hidden="1" x14ac:dyDescent="0.3">
      <c r="A345">
        <v>344</v>
      </c>
      <c r="B345" t="s">
        <v>35</v>
      </c>
      <c r="C345">
        <v>2002</v>
      </c>
      <c r="D345" t="s">
        <v>9</v>
      </c>
      <c r="E345">
        <v>0</v>
      </c>
      <c r="F345">
        <v>0</v>
      </c>
    </row>
    <row r="346" spans="1:6" hidden="1" x14ac:dyDescent="0.3">
      <c r="A346">
        <v>345</v>
      </c>
      <c r="B346" t="s">
        <v>35</v>
      </c>
      <c r="C346">
        <v>2002</v>
      </c>
      <c r="D346" t="s">
        <v>9</v>
      </c>
      <c r="E346">
        <v>3010</v>
      </c>
      <c r="F346">
        <v>30000</v>
      </c>
    </row>
    <row r="347" spans="1:6" hidden="1" x14ac:dyDescent="0.3">
      <c r="A347">
        <v>346</v>
      </c>
      <c r="B347" t="s">
        <v>35</v>
      </c>
      <c r="C347">
        <v>2002</v>
      </c>
      <c r="D347" t="s">
        <v>9</v>
      </c>
      <c r="E347">
        <v>1000</v>
      </c>
      <c r="F347">
        <v>0</v>
      </c>
    </row>
    <row r="348" spans="1:6" hidden="1" x14ac:dyDescent="0.3">
      <c r="A348">
        <v>347</v>
      </c>
      <c r="B348" t="s">
        <v>36</v>
      </c>
      <c r="C348">
        <v>2002</v>
      </c>
      <c r="D348" t="s">
        <v>11</v>
      </c>
      <c r="E348">
        <v>86682</v>
      </c>
      <c r="F348">
        <v>0</v>
      </c>
    </row>
    <row r="349" spans="1:6" hidden="1" x14ac:dyDescent="0.3">
      <c r="A349">
        <v>348</v>
      </c>
      <c r="B349" t="s">
        <v>36</v>
      </c>
      <c r="C349">
        <v>2002</v>
      </c>
      <c r="D349" t="s">
        <v>9</v>
      </c>
      <c r="E349">
        <v>2169</v>
      </c>
      <c r="F349">
        <v>0</v>
      </c>
    </row>
    <row r="350" spans="1:6" hidden="1" x14ac:dyDescent="0.3">
      <c r="A350">
        <v>349</v>
      </c>
      <c r="B350" t="s">
        <v>36</v>
      </c>
      <c r="C350">
        <v>2002</v>
      </c>
      <c r="D350" t="s">
        <v>9</v>
      </c>
      <c r="E350">
        <v>350</v>
      </c>
      <c r="F350">
        <v>0</v>
      </c>
    </row>
    <row r="351" spans="1:6" hidden="1" x14ac:dyDescent="0.3">
      <c r="A351">
        <v>350</v>
      </c>
      <c r="B351" t="s">
        <v>36</v>
      </c>
      <c r="C351">
        <v>2002</v>
      </c>
      <c r="D351" t="s">
        <v>7</v>
      </c>
      <c r="E351">
        <v>21500</v>
      </c>
      <c r="F351">
        <v>0</v>
      </c>
    </row>
    <row r="352" spans="1:6" hidden="1" x14ac:dyDescent="0.3">
      <c r="A352">
        <v>351</v>
      </c>
      <c r="B352" t="s">
        <v>37</v>
      </c>
      <c r="C352">
        <v>2002</v>
      </c>
      <c r="D352" t="s">
        <v>9</v>
      </c>
      <c r="E352">
        <v>3559</v>
      </c>
      <c r="F352">
        <v>0</v>
      </c>
    </row>
    <row r="353" spans="1:6" hidden="1" x14ac:dyDescent="0.3">
      <c r="A353">
        <v>352</v>
      </c>
      <c r="B353" t="s">
        <v>37</v>
      </c>
      <c r="C353">
        <v>2002</v>
      </c>
      <c r="D353" t="s">
        <v>9</v>
      </c>
      <c r="E353">
        <v>7000</v>
      </c>
      <c r="F353">
        <v>0</v>
      </c>
    </row>
    <row r="354" spans="1:6" hidden="1" x14ac:dyDescent="0.3">
      <c r="A354">
        <v>353</v>
      </c>
      <c r="B354" t="s">
        <v>37</v>
      </c>
      <c r="C354">
        <v>2002</v>
      </c>
      <c r="D354" t="s">
        <v>9</v>
      </c>
      <c r="E354">
        <v>50000</v>
      </c>
      <c r="F354">
        <v>1450000</v>
      </c>
    </row>
    <row r="355" spans="1:6" hidden="1" x14ac:dyDescent="0.3">
      <c r="A355">
        <v>354</v>
      </c>
      <c r="B355" t="s">
        <v>37</v>
      </c>
      <c r="C355">
        <v>2002</v>
      </c>
      <c r="D355" t="s">
        <v>11</v>
      </c>
      <c r="E355">
        <v>700041</v>
      </c>
      <c r="F355">
        <v>1000000</v>
      </c>
    </row>
    <row r="356" spans="1:6" hidden="1" x14ac:dyDescent="0.3">
      <c r="A356">
        <v>355</v>
      </c>
      <c r="B356" t="s">
        <v>37</v>
      </c>
      <c r="C356">
        <v>2002</v>
      </c>
      <c r="D356" t="s">
        <v>11</v>
      </c>
      <c r="E356">
        <v>11000</v>
      </c>
      <c r="F356">
        <v>5664000</v>
      </c>
    </row>
    <row r="357" spans="1:6" hidden="1" x14ac:dyDescent="0.3">
      <c r="A357">
        <v>356</v>
      </c>
      <c r="B357" t="s">
        <v>37</v>
      </c>
      <c r="C357">
        <v>2002</v>
      </c>
      <c r="D357" t="s">
        <v>11</v>
      </c>
      <c r="E357">
        <v>3000</v>
      </c>
      <c r="F357">
        <v>0</v>
      </c>
    </row>
    <row r="358" spans="1:6" hidden="1" x14ac:dyDescent="0.3">
      <c r="A358">
        <v>357</v>
      </c>
      <c r="B358" t="s">
        <v>37</v>
      </c>
      <c r="C358">
        <v>2002</v>
      </c>
      <c r="D358" t="s">
        <v>7</v>
      </c>
      <c r="E358">
        <v>0</v>
      </c>
      <c r="F358">
        <v>453000</v>
      </c>
    </row>
    <row r="359" spans="1:6" hidden="1" x14ac:dyDescent="0.3">
      <c r="A359">
        <v>358</v>
      </c>
      <c r="B359" t="s">
        <v>37</v>
      </c>
      <c r="C359">
        <v>2002</v>
      </c>
      <c r="D359" t="s">
        <v>11</v>
      </c>
      <c r="E359">
        <v>54631</v>
      </c>
      <c r="F359">
        <v>3292000</v>
      </c>
    </row>
    <row r="360" spans="1:6" hidden="1" x14ac:dyDescent="0.3">
      <c r="A360">
        <v>359</v>
      </c>
      <c r="B360" t="s">
        <v>37</v>
      </c>
      <c r="C360">
        <v>2002</v>
      </c>
      <c r="D360" t="s">
        <v>11</v>
      </c>
      <c r="E360">
        <v>19050</v>
      </c>
      <c r="F360">
        <v>238000</v>
      </c>
    </row>
    <row r="361" spans="1:6" hidden="1" x14ac:dyDescent="0.3">
      <c r="A361">
        <v>360</v>
      </c>
      <c r="B361" t="s">
        <v>37</v>
      </c>
      <c r="C361">
        <v>2002</v>
      </c>
      <c r="D361" t="s">
        <v>11</v>
      </c>
      <c r="E361">
        <v>194472</v>
      </c>
      <c r="F361">
        <v>3340000</v>
      </c>
    </row>
    <row r="362" spans="1:6" hidden="1" x14ac:dyDescent="0.3">
      <c r="A362">
        <v>361</v>
      </c>
      <c r="B362" t="s">
        <v>39</v>
      </c>
      <c r="C362">
        <v>2002</v>
      </c>
      <c r="D362" t="s">
        <v>9</v>
      </c>
      <c r="E362">
        <v>3900</v>
      </c>
      <c r="F362">
        <v>0</v>
      </c>
    </row>
    <row r="363" spans="1:6" hidden="1" x14ac:dyDescent="0.3">
      <c r="A363">
        <v>362</v>
      </c>
      <c r="B363" t="s">
        <v>39</v>
      </c>
      <c r="C363">
        <v>2002</v>
      </c>
      <c r="D363" t="s">
        <v>9</v>
      </c>
      <c r="E363">
        <v>4500</v>
      </c>
      <c r="F363">
        <v>0</v>
      </c>
    </row>
    <row r="364" spans="1:6" hidden="1" x14ac:dyDescent="0.3">
      <c r="A364">
        <v>363</v>
      </c>
      <c r="B364" t="s">
        <v>39</v>
      </c>
      <c r="C364">
        <v>2002</v>
      </c>
      <c r="D364" t="s">
        <v>9</v>
      </c>
      <c r="E364">
        <v>301</v>
      </c>
      <c r="F364">
        <v>290000</v>
      </c>
    </row>
    <row r="365" spans="1:6" hidden="1" x14ac:dyDescent="0.3">
      <c r="A365">
        <v>364</v>
      </c>
      <c r="B365" t="s">
        <v>40</v>
      </c>
      <c r="C365">
        <v>2002</v>
      </c>
      <c r="D365" t="s">
        <v>9</v>
      </c>
      <c r="E365">
        <v>100</v>
      </c>
      <c r="F365">
        <v>0</v>
      </c>
    </row>
    <row r="366" spans="1:6" hidden="1" x14ac:dyDescent="0.3">
      <c r="A366">
        <v>365</v>
      </c>
      <c r="B366" t="s">
        <v>40</v>
      </c>
      <c r="C366">
        <v>2002</v>
      </c>
      <c r="D366" t="s">
        <v>11</v>
      </c>
      <c r="E366">
        <v>500</v>
      </c>
      <c r="F366">
        <v>0</v>
      </c>
    </row>
    <row r="367" spans="1:6" hidden="1" x14ac:dyDescent="0.3">
      <c r="A367">
        <v>366</v>
      </c>
      <c r="B367" t="s">
        <v>41</v>
      </c>
      <c r="C367">
        <v>2002</v>
      </c>
      <c r="D367" t="s">
        <v>9</v>
      </c>
      <c r="E367">
        <v>0</v>
      </c>
      <c r="F367">
        <v>0</v>
      </c>
    </row>
    <row r="368" spans="1:6" x14ac:dyDescent="0.3">
      <c r="A368">
        <v>367</v>
      </c>
      <c r="B368" t="s">
        <v>42</v>
      </c>
      <c r="C368">
        <v>2002</v>
      </c>
      <c r="D368" t="s">
        <v>14</v>
      </c>
      <c r="E368">
        <v>1050</v>
      </c>
      <c r="F368">
        <v>0</v>
      </c>
    </row>
    <row r="369" spans="1:6" x14ac:dyDescent="0.3">
      <c r="A369">
        <v>368</v>
      </c>
      <c r="B369" t="s">
        <v>42</v>
      </c>
      <c r="C369">
        <v>2002</v>
      </c>
      <c r="D369" t="s">
        <v>14</v>
      </c>
      <c r="E369">
        <v>500</v>
      </c>
      <c r="F369">
        <v>0</v>
      </c>
    </row>
    <row r="370" spans="1:6" x14ac:dyDescent="0.3">
      <c r="A370">
        <v>369</v>
      </c>
      <c r="B370" t="s">
        <v>42</v>
      </c>
      <c r="C370">
        <v>2002</v>
      </c>
      <c r="D370" t="s">
        <v>9</v>
      </c>
      <c r="E370">
        <v>630</v>
      </c>
      <c r="F370">
        <v>0</v>
      </c>
    </row>
    <row r="371" spans="1:6" x14ac:dyDescent="0.3">
      <c r="A371">
        <v>370</v>
      </c>
      <c r="B371" t="s">
        <v>42</v>
      </c>
      <c r="C371">
        <v>2002</v>
      </c>
      <c r="D371" t="s">
        <v>9</v>
      </c>
      <c r="E371">
        <v>408</v>
      </c>
      <c r="F371">
        <v>0</v>
      </c>
    </row>
    <row r="372" spans="1:6" hidden="1" x14ac:dyDescent="0.3">
      <c r="A372">
        <v>371</v>
      </c>
      <c r="B372" t="s">
        <v>43</v>
      </c>
      <c r="C372">
        <v>2002</v>
      </c>
      <c r="D372" t="s">
        <v>11</v>
      </c>
      <c r="E372">
        <v>1800</v>
      </c>
      <c r="F372">
        <v>100000</v>
      </c>
    </row>
    <row r="373" spans="1:6" hidden="1" x14ac:dyDescent="0.3">
      <c r="A373">
        <v>372</v>
      </c>
      <c r="B373" t="s">
        <v>43</v>
      </c>
      <c r="C373">
        <v>2002</v>
      </c>
      <c r="D373" t="s">
        <v>9</v>
      </c>
      <c r="E373">
        <v>2000</v>
      </c>
      <c r="F373">
        <v>2200000</v>
      </c>
    </row>
    <row r="374" spans="1:6" hidden="1" x14ac:dyDescent="0.3">
      <c r="A374">
        <v>373</v>
      </c>
      <c r="B374" t="s">
        <v>43</v>
      </c>
      <c r="C374">
        <v>2002</v>
      </c>
      <c r="D374" t="s">
        <v>9</v>
      </c>
      <c r="E374">
        <v>1138200</v>
      </c>
      <c r="F374">
        <v>23900000</v>
      </c>
    </row>
    <row r="375" spans="1:6" hidden="1" x14ac:dyDescent="0.3">
      <c r="A375">
        <v>374</v>
      </c>
      <c r="B375" t="s">
        <v>43</v>
      </c>
      <c r="C375">
        <v>2002</v>
      </c>
      <c r="D375" t="s">
        <v>9</v>
      </c>
      <c r="E375">
        <v>291616</v>
      </c>
      <c r="F375">
        <v>58000000</v>
      </c>
    </row>
    <row r="376" spans="1:6" hidden="1" x14ac:dyDescent="0.3">
      <c r="A376">
        <v>375</v>
      </c>
      <c r="B376" t="s">
        <v>43</v>
      </c>
      <c r="C376">
        <v>2002</v>
      </c>
      <c r="D376" t="s">
        <v>7</v>
      </c>
      <c r="E376">
        <v>1300000</v>
      </c>
      <c r="F376">
        <v>200000000</v>
      </c>
    </row>
    <row r="377" spans="1:6" hidden="1" x14ac:dyDescent="0.3">
      <c r="A377">
        <v>376</v>
      </c>
      <c r="B377" t="s">
        <v>46</v>
      </c>
      <c r="C377">
        <v>2002</v>
      </c>
      <c r="D377" t="s">
        <v>9</v>
      </c>
      <c r="E377">
        <v>0</v>
      </c>
      <c r="F377">
        <v>0</v>
      </c>
    </row>
    <row r="378" spans="1:6" hidden="1" x14ac:dyDescent="0.3">
      <c r="A378">
        <v>377</v>
      </c>
      <c r="B378" t="s">
        <v>46</v>
      </c>
      <c r="C378">
        <v>2002</v>
      </c>
      <c r="D378" t="s">
        <v>9</v>
      </c>
      <c r="E378">
        <v>0</v>
      </c>
      <c r="F378">
        <v>0</v>
      </c>
    </row>
    <row r="379" spans="1:6" hidden="1" x14ac:dyDescent="0.3">
      <c r="A379">
        <v>378</v>
      </c>
      <c r="B379" t="s">
        <v>46</v>
      </c>
      <c r="C379">
        <v>2002</v>
      </c>
      <c r="D379" t="s">
        <v>9</v>
      </c>
      <c r="E379">
        <v>0</v>
      </c>
      <c r="F379">
        <v>0</v>
      </c>
    </row>
    <row r="380" spans="1:6" hidden="1" x14ac:dyDescent="0.3">
      <c r="A380">
        <v>379</v>
      </c>
      <c r="B380" t="s">
        <v>46</v>
      </c>
      <c r="C380">
        <v>2002</v>
      </c>
      <c r="D380" t="s">
        <v>9</v>
      </c>
      <c r="E380">
        <v>700</v>
      </c>
      <c r="F380">
        <v>0</v>
      </c>
    </row>
    <row r="381" spans="1:6" hidden="1" x14ac:dyDescent="0.3">
      <c r="A381">
        <v>380</v>
      </c>
      <c r="B381" t="s">
        <v>38</v>
      </c>
      <c r="C381">
        <v>2002</v>
      </c>
      <c r="D381" t="s">
        <v>11</v>
      </c>
      <c r="E381">
        <v>66</v>
      </c>
      <c r="F381">
        <v>9000000</v>
      </c>
    </row>
    <row r="382" spans="1:6" hidden="1" x14ac:dyDescent="0.3">
      <c r="A382">
        <v>381</v>
      </c>
      <c r="B382" t="s">
        <v>38</v>
      </c>
      <c r="C382">
        <v>2002</v>
      </c>
      <c r="D382" t="s">
        <v>11</v>
      </c>
      <c r="E382">
        <v>100000</v>
      </c>
      <c r="F382">
        <v>5000000</v>
      </c>
    </row>
    <row r="383" spans="1:6" hidden="1" x14ac:dyDescent="0.3">
      <c r="A383">
        <v>382</v>
      </c>
      <c r="B383" t="s">
        <v>38</v>
      </c>
      <c r="C383">
        <v>2002</v>
      </c>
      <c r="D383" t="s">
        <v>11</v>
      </c>
      <c r="E383">
        <v>1000</v>
      </c>
      <c r="F383">
        <v>41000</v>
      </c>
    </row>
    <row r="384" spans="1:6" hidden="1" x14ac:dyDescent="0.3">
      <c r="A384">
        <v>383</v>
      </c>
      <c r="B384" t="s">
        <v>38</v>
      </c>
      <c r="C384">
        <v>2002</v>
      </c>
      <c r="D384" t="s">
        <v>9</v>
      </c>
      <c r="E384">
        <v>2500</v>
      </c>
      <c r="F384">
        <v>0</v>
      </c>
    </row>
    <row r="385" spans="1:6" hidden="1" x14ac:dyDescent="0.3">
      <c r="A385">
        <v>384</v>
      </c>
      <c r="B385" t="s">
        <v>38</v>
      </c>
      <c r="C385">
        <v>2002</v>
      </c>
      <c r="D385" t="s">
        <v>11</v>
      </c>
      <c r="E385">
        <v>150</v>
      </c>
      <c r="F385">
        <v>0</v>
      </c>
    </row>
    <row r="386" spans="1:6" hidden="1" x14ac:dyDescent="0.3">
      <c r="A386">
        <v>385</v>
      </c>
      <c r="B386" t="s">
        <v>6</v>
      </c>
      <c r="C386">
        <v>2003</v>
      </c>
      <c r="D386" t="s">
        <v>9</v>
      </c>
      <c r="E386">
        <v>3</v>
      </c>
      <c r="F386">
        <v>0</v>
      </c>
    </row>
    <row r="387" spans="1:6" hidden="1" x14ac:dyDescent="0.3">
      <c r="A387">
        <v>386</v>
      </c>
      <c r="B387" t="s">
        <v>36</v>
      </c>
      <c r="C387">
        <v>2003</v>
      </c>
      <c r="D387" t="s">
        <v>9</v>
      </c>
      <c r="E387">
        <v>60012</v>
      </c>
      <c r="F387">
        <v>0</v>
      </c>
    </row>
    <row r="388" spans="1:6" hidden="1" x14ac:dyDescent="0.3">
      <c r="A388">
        <v>387</v>
      </c>
      <c r="B388" t="s">
        <v>6</v>
      </c>
      <c r="C388">
        <v>2003</v>
      </c>
      <c r="D388" t="s">
        <v>14</v>
      </c>
      <c r="E388">
        <v>1001</v>
      </c>
      <c r="F388">
        <v>0</v>
      </c>
    </row>
    <row r="389" spans="1:6" hidden="1" x14ac:dyDescent="0.3">
      <c r="A389">
        <v>388</v>
      </c>
      <c r="B389" t="s">
        <v>6</v>
      </c>
      <c r="C389">
        <v>2003</v>
      </c>
      <c r="D389" t="s">
        <v>9</v>
      </c>
      <c r="E389">
        <v>400</v>
      </c>
      <c r="F389">
        <v>0</v>
      </c>
    </row>
    <row r="390" spans="1:6" hidden="1" x14ac:dyDescent="0.3">
      <c r="A390">
        <v>389</v>
      </c>
      <c r="B390" t="s">
        <v>6</v>
      </c>
      <c r="C390">
        <v>2003</v>
      </c>
      <c r="D390" t="s">
        <v>9</v>
      </c>
      <c r="E390">
        <v>100</v>
      </c>
      <c r="F390">
        <v>0</v>
      </c>
    </row>
    <row r="391" spans="1:6" hidden="1" x14ac:dyDescent="0.3">
      <c r="A391">
        <v>390</v>
      </c>
      <c r="B391" t="s">
        <v>13</v>
      </c>
      <c r="C391">
        <v>2003</v>
      </c>
      <c r="D391" t="s">
        <v>9</v>
      </c>
      <c r="E391">
        <v>31500</v>
      </c>
      <c r="F391">
        <v>55000000</v>
      </c>
    </row>
    <row r="392" spans="1:6" hidden="1" x14ac:dyDescent="0.3">
      <c r="A392">
        <v>391</v>
      </c>
      <c r="B392" t="s">
        <v>8</v>
      </c>
      <c r="C392">
        <v>2003</v>
      </c>
      <c r="D392" t="s">
        <v>14</v>
      </c>
      <c r="E392">
        <v>2525</v>
      </c>
      <c r="F392">
        <v>0</v>
      </c>
    </row>
    <row r="393" spans="1:6" hidden="1" x14ac:dyDescent="0.3">
      <c r="A393">
        <v>392</v>
      </c>
      <c r="B393" t="s">
        <v>8</v>
      </c>
      <c r="C393">
        <v>2003</v>
      </c>
      <c r="D393" t="s">
        <v>9</v>
      </c>
      <c r="E393">
        <v>500000</v>
      </c>
      <c r="F393">
        <v>0</v>
      </c>
    </row>
    <row r="394" spans="1:6" hidden="1" x14ac:dyDescent="0.3">
      <c r="A394">
        <v>393</v>
      </c>
      <c r="B394" t="s">
        <v>35</v>
      </c>
      <c r="C394">
        <v>2003</v>
      </c>
      <c r="D394" t="s">
        <v>11</v>
      </c>
      <c r="E394">
        <v>2557</v>
      </c>
      <c r="F394">
        <v>0</v>
      </c>
    </row>
    <row r="395" spans="1:6" hidden="1" x14ac:dyDescent="0.3">
      <c r="A395">
        <v>394</v>
      </c>
      <c r="B395" t="s">
        <v>39</v>
      </c>
      <c r="C395">
        <v>2003</v>
      </c>
      <c r="D395" t="s">
        <v>9</v>
      </c>
      <c r="E395">
        <v>600</v>
      </c>
      <c r="F395">
        <v>0</v>
      </c>
    </row>
    <row r="396" spans="1:6" hidden="1" x14ac:dyDescent="0.3">
      <c r="A396">
        <v>395</v>
      </c>
      <c r="B396" t="s">
        <v>39</v>
      </c>
      <c r="C396">
        <v>2003</v>
      </c>
      <c r="D396" t="s">
        <v>9</v>
      </c>
      <c r="E396">
        <v>0</v>
      </c>
      <c r="F396">
        <v>0</v>
      </c>
    </row>
    <row r="397" spans="1:6" hidden="1" x14ac:dyDescent="0.3">
      <c r="A397">
        <v>396</v>
      </c>
      <c r="B397" t="s">
        <v>38</v>
      </c>
      <c r="C397">
        <v>2003</v>
      </c>
      <c r="D397" t="s">
        <v>9</v>
      </c>
      <c r="E397">
        <v>500</v>
      </c>
      <c r="F397">
        <v>0</v>
      </c>
    </row>
    <row r="398" spans="1:6" hidden="1" x14ac:dyDescent="0.3">
      <c r="A398">
        <v>397</v>
      </c>
      <c r="B398" t="s">
        <v>6</v>
      </c>
      <c r="C398">
        <v>2003</v>
      </c>
      <c r="D398" t="s">
        <v>9</v>
      </c>
      <c r="E398">
        <v>1000</v>
      </c>
      <c r="F398">
        <v>0</v>
      </c>
    </row>
    <row r="399" spans="1:6" hidden="1" x14ac:dyDescent="0.3">
      <c r="A399">
        <v>398</v>
      </c>
      <c r="B399" t="s">
        <v>6</v>
      </c>
      <c r="C399">
        <v>2003</v>
      </c>
      <c r="D399" t="s">
        <v>9</v>
      </c>
      <c r="E399">
        <v>250</v>
      </c>
      <c r="F399">
        <v>0</v>
      </c>
    </row>
    <row r="400" spans="1:6" hidden="1" x14ac:dyDescent="0.3">
      <c r="A400">
        <v>399</v>
      </c>
      <c r="B400" t="s">
        <v>6</v>
      </c>
      <c r="C400">
        <v>2003</v>
      </c>
      <c r="D400" t="s">
        <v>9</v>
      </c>
      <c r="E400">
        <v>0</v>
      </c>
      <c r="F400">
        <v>0</v>
      </c>
    </row>
    <row r="401" spans="1:6" hidden="1" x14ac:dyDescent="0.3">
      <c r="A401">
        <v>400</v>
      </c>
      <c r="B401" t="s">
        <v>12</v>
      </c>
      <c r="C401">
        <v>2003</v>
      </c>
      <c r="D401" t="s">
        <v>9</v>
      </c>
      <c r="E401">
        <v>225</v>
      </c>
      <c r="F401">
        <v>0</v>
      </c>
    </row>
    <row r="402" spans="1:6" hidden="1" x14ac:dyDescent="0.3">
      <c r="A402">
        <v>401</v>
      </c>
      <c r="B402" t="s">
        <v>6</v>
      </c>
      <c r="C402">
        <v>2004</v>
      </c>
      <c r="D402" t="s">
        <v>9</v>
      </c>
      <c r="E402">
        <v>2000</v>
      </c>
      <c r="F402">
        <v>0</v>
      </c>
    </row>
    <row r="403" spans="1:6" hidden="1" x14ac:dyDescent="0.3">
      <c r="A403">
        <v>402</v>
      </c>
      <c r="B403" t="s">
        <v>12</v>
      </c>
      <c r="C403">
        <v>2004</v>
      </c>
      <c r="D403" t="s">
        <v>9</v>
      </c>
      <c r="E403">
        <v>331700</v>
      </c>
      <c r="F403">
        <v>0</v>
      </c>
    </row>
    <row r="404" spans="1:6" hidden="1" x14ac:dyDescent="0.3">
      <c r="A404">
        <v>403</v>
      </c>
      <c r="B404" t="s">
        <v>12</v>
      </c>
      <c r="C404">
        <v>2004</v>
      </c>
      <c r="D404" t="s">
        <v>7</v>
      </c>
      <c r="E404">
        <v>25000</v>
      </c>
      <c r="F404">
        <v>0</v>
      </c>
    </row>
    <row r="405" spans="1:6" hidden="1" x14ac:dyDescent="0.3">
      <c r="A405">
        <v>404</v>
      </c>
      <c r="B405" t="s">
        <v>6</v>
      </c>
      <c r="C405">
        <v>2004</v>
      </c>
      <c r="D405" t="s">
        <v>14</v>
      </c>
      <c r="E405">
        <v>1040</v>
      </c>
      <c r="F405">
        <v>0</v>
      </c>
    </row>
    <row r="406" spans="1:6" hidden="1" x14ac:dyDescent="0.3">
      <c r="A406">
        <v>405</v>
      </c>
      <c r="B406" t="s">
        <v>6</v>
      </c>
      <c r="C406">
        <v>2004</v>
      </c>
      <c r="D406" t="s">
        <v>9</v>
      </c>
      <c r="E406">
        <v>2500</v>
      </c>
      <c r="F406">
        <v>0</v>
      </c>
    </row>
    <row r="407" spans="1:6" hidden="1" x14ac:dyDescent="0.3">
      <c r="A407">
        <v>406</v>
      </c>
      <c r="B407" t="s">
        <v>12</v>
      </c>
      <c r="C407">
        <v>2004</v>
      </c>
      <c r="D407" t="s">
        <v>9</v>
      </c>
      <c r="E407">
        <v>0</v>
      </c>
      <c r="F407">
        <v>0</v>
      </c>
    </row>
    <row r="408" spans="1:6" hidden="1" x14ac:dyDescent="0.3">
      <c r="A408">
        <v>407</v>
      </c>
      <c r="B408" t="s">
        <v>12</v>
      </c>
      <c r="C408">
        <v>2004</v>
      </c>
      <c r="D408" t="s">
        <v>9</v>
      </c>
      <c r="E408">
        <v>2000</v>
      </c>
      <c r="F408">
        <v>0</v>
      </c>
    </row>
    <row r="409" spans="1:6" hidden="1" x14ac:dyDescent="0.3">
      <c r="A409">
        <v>408</v>
      </c>
      <c r="B409" t="s">
        <v>8</v>
      </c>
      <c r="C409">
        <v>2004</v>
      </c>
      <c r="D409" t="s">
        <v>11</v>
      </c>
      <c r="E409">
        <v>13000</v>
      </c>
      <c r="F409">
        <v>0</v>
      </c>
    </row>
    <row r="410" spans="1:6" hidden="1" x14ac:dyDescent="0.3">
      <c r="A410">
        <v>409</v>
      </c>
      <c r="B410" t="s">
        <v>8</v>
      </c>
      <c r="C410">
        <v>2004</v>
      </c>
      <c r="D410" t="s">
        <v>11</v>
      </c>
      <c r="E410">
        <v>4050</v>
      </c>
      <c r="F410">
        <v>0</v>
      </c>
    </row>
    <row r="411" spans="1:6" hidden="1" x14ac:dyDescent="0.3">
      <c r="A411">
        <v>410</v>
      </c>
      <c r="B411" t="s">
        <v>8</v>
      </c>
      <c r="C411">
        <v>2004</v>
      </c>
      <c r="D411" t="s">
        <v>14</v>
      </c>
      <c r="E411">
        <v>0</v>
      </c>
      <c r="F411">
        <v>500000000</v>
      </c>
    </row>
    <row r="412" spans="1:6" hidden="1" x14ac:dyDescent="0.3">
      <c r="A412">
        <v>411</v>
      </c>
      <c r="B412" t="s">
        <v>8</v>
      </c>
      <c r="C412">
        <v>2005</v>
      </c>
      <c r="D412" t="s">
        <v>11</v>
      </c>
      <c r="E412">
        <v>11500</v>
      </c>
      <c r="F412">
        <v>0</v>
      </c>
    </row>
    <row r="413" spans="1:6" hidden="1" x14ac:dyDescent="0.3">
      <c r="A413">
        <v>412</v>
      </c>
      <c r="B413" t="s">
        <v>6</v>
      </c>
      <c r="C413">
        <v>2005</v>
      </c>
      <c r="D413" t="s">
        <v>11</v>
      </c>
      <c r="E413">
        <v>22656</v>
      </c>
      <c r="F413">
        <v>5000000</v>
      </c>
    </row>
    <row r="414" spans="1:6" hidden="1" x14ac:dyDescent="0.3">
      <c r="A414">
        <v>413</v>
      </c>
      <c r="B414" t="s">
        <v>6</v>
      </c>
      <c r="C414">
        <v>2005</v>
      </c>
      <c r="D414" t="s">
        <v>9</v>
      </c>
      <c r="E414">
        <v>1500</v>
      </c>
      <c r="F414">
        <v>0</v>
      </c>
    </row>
    <row r="415" spans="1:6" hidden="1" x14ac:dyDescent="0.3">
      <c r="A415">
        <v>414</v>
      </c>
      <c r="B415" t="s">
        <v>6</v>
      </c>
      <c r="C415">
        <v>2005</v>
      </c>
      <c r="D415" t="s">
        <v>9</v>
      </c>
      <c r="E415">
        <v>11003</v>
      </c>
      <c r="F415">
        <v>0</v>
      </c>
    </row>
    <row r="416" spans="1:6" hidden="1" x14ac:dyDescent="0.3">
      <c r="A416">
        <v>415</v>
      </c>
      <c r="B416" t="s">
        <v>12</v>
      </c>
      <c r="C416">
        <v>2005</v>
      </c>
      <c r="D416" t="s">
        <v>9</v>
      </c>
      <c r="E416">
        <v>10000</v>
      </c>
      <c r="F416">
        <v>0</v>
      </c>
    </row>
    <row r="417" spans="1:6" hidden="1" x14ac:dyDescent="0.3">
      <c r="A417">
        <v>416</v>
      </c>
      <c r="B417" t="s">
        <v>8</v>
      </c>
      <c r="C417">
        <v>2003</v>
      </c>
      <c r="D417" t="s">
        <v>11</v>
      </c>
      <c r="E417">
        <v>400</v>
      </c>
      <c r="F417">
        <v>0</v>
      </c>
    </row>
    <row r="418" spans="1:6" hidden="1" x14ac:dyDescent="0.3">
      <c r="A418">
        <v>417</v>
      </c>
      <c r="B418" t="s">
        <v>34</v>
      </c>
      <c r="C418">
        <v>2003</v>
      </c>
      <c r="D418" t="s">
        <v>9</v>
      </c>
      <c r="E418">
        <v>60000</v>
      </c>
      <c r="F418">
        <v>0</v>
      </c>
    </row>
    <row r="419" spans="1:6" hidden="1" x14ac:dyDescent="0.3">
      <c r="A419">
        <v>418</v>
      </c>
      <c r="B419" t="s">
        <v>16</v>
      </c>
      <c r="C419">
        <v>2003</v>
      </c>
      <c r="D419" t="s">
        <v>11</v>
      </c>
      <c r="E419">
        <v>40000</v>
      </c>
      <c r="F419">
        <v>28000000</v>
      </c>
    </row>
    <row r="420" spans="1:6" hidden="1" x14ac:dyDescent="0.3">
      <c r="A420">
        <v>419</v>
      </c>
      <c r="B420" t="s">
        <v>25</v>
      </c>
      <c r="C420">
        <v>2003</v>
      </c>
      <c r="D420" t="s">
        <v>9</v>
      </c>
      <c r="E420">
        <v>0</v>
      </c>
      <c r="F420">
        <v>0</v>
      </c>
    </row>
    <row r="421" spans="1:6" hidden="1" x14ac:dyDescent="0.3">
      <c r="A421">
        <v>420</v>
      </c>
      <c r="B421" t="s">
        <v>27</v>
      </c>
      <c r="C421">
        <v>2003</v>
      </c>
      <c r="D421" t="s">
        <v>9</v>
      </c>
      <c r="E421">
        <v>150000</v>
      </c>
      <c r="F421">
        <v>0</v>
      </c>
    </row>
    <row r="422" spans="1:6" hidden="1" x14ac:dyDescent="0.3">
      <c r="A422">
        <v>421</v>
      </c>
      <c r="B422" t="s">
        <v>27</v>
      </c>
      <c r="C422">
        <v>2003</v>
      </c>
      <c r="D422" t="s">
        <v>11</v>
      </c>
      <c r="E422">
        <v>155</v>
      </c>
      <c r="F422">
        <v>0</v>
      </c>
    </row>
    <row r="423" spans="1:6" hidden="1" x14ac:dyDescent="0.3">
      <c r="A423">
        <v>422</v>
      </c>
      <c r="B423" t="s">
        <v>20</v>
      </c>
      <c r="C423">
        <v>2003</v>
      </c>
      <c r="D423" t="s">
        <v>9</v>
      </c>
      <c r="E423">
        <v>1498</v>
      </c>
      <c r="F423">
        <v>0</v>
      </c>
    </row>
    <row r="424" spans="1:6" hidden="1" x14ac:dyDescent="0.3">
      <c r="A424">
        <v>423</v>
      </c>
      <c r="B424" t="s">
        <v>20</v>
      </c>
      <c r="C424">
        <v>2003</v>
      </c>
      <c r="D424" t="s">
        <v>9</v>
      </c>
      <c r="E424">
        <v>25000</v>
      </c>
      <c r="F424">
        <v>0</v>
      </c>
    </row>
    <row r="425" spans="1:6" hidden="1" x14ac:dyDescent="0.3">
      <c r="A425">
        <v>424</v>
      </c>
      <c r="B425" t="s">
        <v>20</v>
      </c>
      <c r="C425">
        <v>2003</v>
      </c>
      <c r="D425" t="s">
        <v>9</v>
      </c>
      <c r="E425">
        <v>350000</v>
      </c>
      <c r="F425">
        <v>0</v>
      </c>
    </row>
    <row r="426" spans="1:6" hidden="1" x14ac:dyDescent="0.3">
      <c r="A426">
        <v>425</v>
      </c>
      <c r="B426" t="s">
        <v>16</v>
      </c>
      <c r="C426">
        <v>2003</v>
      </c>
      <c r="D426" t="s">
        <v>9</v>
      </c>
      <c r="E426">
        <v>15</v>
      </c>
      <c r="F426">
        <v>0</v>
      </c>
    </row>
    <row r="427" spans="1:6" hidden="1" x14ac:dyDescent="0.3">
      <c r="A427">
        <v>426</v>
      </c>
      <c r="B427" t="s">
        <v>17</v>
      </c>
      <c r="C427">
        <v>2003</v>
      </c>
      <c r="D427" t="s">
        <v>9</v>
      </c>
      <c r="E427">
        <v>695000</v>
      </c>
      <c r="F427">
        <v>29000000</v>
      </c>
    </row>
    <row r="428" spans="1:6" hidden="1" x14ac:dyDescent="0.3">
      <c r="A428">
        <v>427</v>
      </c>
      <c r="B428" t="s">
        <v>25</v>
      </c>
      <c r="C428">
        <v>2003</v>
      </c>
      <c r="D428" t="s">
        <v>14</v>
      </c>
      <c r="E428">
        <v>210261</v>
      </c>
      <c r="F428">
        <v>5000000000</v>
      </c>
    </row>
    <row r="429" spans="1:6" hidden="1" x14ac:dyDescent="0.3">
      <c r="A429">
        <v>428</v>
      </c>
      <c r="B429" t="s">
        <v>16</v>
      </c>
      <c r="C429">
        <v>2003</v>
      </c>
      <c r="D429" t="s">
        <v>11</v>
      </c>
      <c r="E429">
        <v>4600</v>
      </c>
      <c r="F429">
        <v>0</v>
      </c>
    </row>
    <row r="430" spans="1:6" hidden="1" x14ac:dyDescent="0.3">
      <c r="A430">
        <v>429</v>
      </c>
      <c r="B430" t="s">
        <v>27</v>
      </c>
      <c r="C430">
        <v>2003</v>
      </c>
      <c r="D430" t="s">
        <v>7</v>
      </c>
      <c r="E430">
        <v>35000</v>
      </c>
      <c r="F430">
        <v>0</v>
      </c>
    </row>
    <row r="431" spans="1:6" hidden="1" x14ac:dyDescent="0.3">
      <c r="A431">
        <v>430</v>
      </c>
      <c r="B431" t="s">
        <v>8</v>
      </c>
      <c r="C431">
        <v>2003</v>
      </c>
      <c r="D431" t="s">
        <v>9</v>
      </c>
      <c r="E431">
        <v>50000</v>
      </c>
      <c r="F431">
        <v>0</v>
      </c>
    </row>
    <row r="432" spans="1:6" hidden="1" x14ac:dyDescent="0.3">
      <c r="A432">
        <v>431</v>
      </c>
      <c r="B432" t="s">
        <v>8</v>
      </c>
      <c r="C432">
        <v>2003</v>
      </c>
      <c r="D432" t="s">
        <v>11</v>
      </c>
      <c r="E432">
        <v>0</v>
      </c>
      <c r="F432">
        <v>0</v>
      </c>
    </row>
    <row r="433" spans="1:6" hidden="1" x14ac:dyDescent="0.3">
      <c r="A433">
        <v>432</v>
      </c>
      <c r="B433" t="s">
        <v>8</v>
      </c>
      <c r="C433">
        <v>2003</v>
      </c>
      <c r="D433" t="s">
        <v>11</v>
      </c>
      <c r="E433">
        <v>20</v>
      </c>
      <c r="F433">
        <v>0</v>
      </c>
    </row>
    <row r="434" spans="1:6" hidden="1" x14ac:dyDescent="0.3">
      <c r="A434">
        <v>433</v>
      </c>
      <c r="B434" t="s">
        <v>10</v>
      </c>
      <c r="C434">
        <v>2003</v>
      </c>
      <c r="D434" t="s">
        <v>7</v>
      </c>
      <c r="E434">
        <v>62575</v>
      </c>
      <c r="F434">
        <v>140000000</v>
      </c>
    </row>
    <row r="435" spans="1:6" hidden="1" x14ac:dyDescent="0.3">
      <c r="A435">
        <v>434</v>
      </c>
      <c r="B435" t="s">
        <v>44</v>
      </c>
      <c r="C435">
        <v>2003</v>
      </c>
      <c r="D435" t="s">
        <v>14</v>
      </c>
      <c r="E435">
        <v>135</v>
      </c>
      <c r="F435">
        <v>0</v>
      </c>
    </row>
    <row r="436" spans="1:6" hidden="1" x14ac:dyDescent="0.3">
      <c r="A436">
        <v>435</v>
      </c>
      <c r="B436" t="s">
        <v>44</v>
      </c>
      <c r="C436">
        <v>2003</v>
      </c>
      <c r="D436" t="s">
        <v>9</v>
      </c>
      <c r="E436">
        <v>2500</v>
      </c>
      <c r="F436">
        <v>0</v>
      </c>
    </row>
    <row r="437" spans="1:6" hidden="1" x14ac:dyDescent="0.3">
      <c r="A437">
        <v>436</v>
      </c>
      <c r="B437" t="s">
        <v>25</v>
      </c>
      <c r="C437">
        <v>2003</v>
      </c>
      <c r="D437" t="s">
        <v>14</v>
      </c>
      <c r="E437">
        <v>200</v>
      </c>
      <c r="F437">
        <v>0</v>
      </c>
    </row>
    <row r="438" spans="1:6" hidden="1" x14ac:dyDescent="0.3">
      <c r="A438">
        <v>437</v>
      </c>
      <c r="B438" t="s">
        <v>25</v>
      </c>
      <c r="C438">
        <v>2003</v>
      </c>
      <c r="D438" t="s">
        <v>9</v>
      </c>
      <c r="E438">
        <v>50</v>
      </c>
      <c r="F438">
        <v>0</v>
      </c>
    </row>
    <row r="439" spans="1:6" hidden="1" x14ac:dyDescent="0.3">
      <c r="A439">
        <v>438</v>
      </c>
      <c r="B439" t="s">
        <v>25</v>
      </c>
      <c r="C439">
        <v>2003</v>
      </c>
      <c r="D439" t="s">
        <v>9</v>
      </c>
      <c r="E439">
        <v>0</v>
      </c>
      <c r="F439">
        <v>0</v>
      </c>
    </row>
    <row r="440" spans="1:6" hidden="1" x14ac:dyDescent="0.3">
      <c r="A440">
        <v>439</v>
      </c>
      <c r="B440" t="s">
        <v>26</v>
      </c>
      <c r="C440">
        <v>2003</v>
      </c>
      <c r="D440" t="s">
        <v>9</v>
      </c>
      <c r="E440">
        <v>110000</v>
      </c>
      <c r="F440">
        <v>0</v>
      </c>
    </row>
    <row r="441" spans="1:6" hidden="1" x14ac:dyDescent="0.3">
      <c r="A441">
        <v>440</v>
      </c>
      <c r="B441" t="s">
        <v>26</v>
      </c>
      <c r="C441">
        <v>2003</v>
      </c>
      <c r="D441" t="s">
        <v>7</v>
      </c>
      <c r="E441">
        <v>12600000</v>
      </c>
      <c r="F441">
        <v>0</v>
      </c>
    </row>
    <row r="442" spans="1:6" hidden="1" x14ac:dyDescent="0.3">
      <c r="A442">
        <v>441</v>
      </c>
      <c r="B442" t="s">
        <v>23</v>
      </c>
      <c r="C442">
        <v>2003</v>
      </c>
      <c r="D442" t="s">
        <v>9</v>
      </c>
      <c r="E442">
        <v>3000</v>
      </c>
      <c r="F442">
        <v>20000000</v>
      </c>
    </row>
    <row r="443" spans="1:6" hidden="1" x14ac:dyDescent="0.3">
      <c r="A443">
        <v>442</v>
      </c>
      <c r="B443" t="s">
        <v>23</v>
      </c>
      <c r="C443">
        <v>2003</v>
      </c>
      <c r="D443" t="s">
        <v>9</v>
      </c>
      <c r="E443">
        <v>105</v>
      </c>
      <c r="F443">
        <v>0</v>
      </c>
    </row>
    <row r="444" spans="1:6" hidden="1" x14ac:dyDescent="0.3">
      <c r="A444">
        <v>443</v>
      </c>
      <c r="B444" t="s">
        <v>27</v>
      </c>
      <c r="C444">
        <v>2003</v>
      </c>
      <c r="D444" t="s">
        <v>9</v>
      </c>
      <c r="E444">
        <v>12070</v>
      </c>
      <c r="F444">
        <v>0</v>
      </c>
    </row>
    <row r="445" spans="1:6" hidden="1" x14ac:dyDescent="0.3">
      <c r="A445">
        <v>444</v>
      </c>
      <c r="B445" t="s">
        <v>27</v>
      </c>
      <c r="C445">
        <v>2003</v>
      </c>
      <c r="D445" t="s">
        <v>9</v>
      </c>
      <c r="E445">
        <v>320</v>
      </c>
      <c r="F445">
        <v>0</v>
      </c>
    </row>
    <row r="446" spans="1:6" hidden="1" x14ac:dyDescent="0.3">
      <c r="A446">
        <v>445</v>
      </c>
      <c r="B446" t="s">
        <v>20</v>
      </c>
      <c r="C446">
        <v>2003</v>
      </c>
      <c r="D446" t="s">
        <v>14</v>
      </c>
      <c r="E446">
        <v>247</v>
      </c>
      <c r="F446">
        <v>0</v>
      </c>
    </row>
    <row r="447" spans="1:6" hidden="1" x14ac:dyDescent="0.3">
      <c r="A447">
        <v>446</v>
      </c>
      <c r="B447" t="s">
        <v>20</v>
      </c>
      <c r="C447">
        <v>2003</v>
      </c>
      <c r="D447" t="s">
        <v>14</v>
      </c>
      <c r="E447">
        <v>500</v>
      </c>
      <c r="F447">
        <v>0</v>
      </c>
    </row>
    <row r="448" spans="1:6" hidden="1" x14ac:dyDescent="0.3">
      <c r="A448">
        <v>447</v>
      </c>
      <c r="B448" t="s">
        <v>20</v>
      </c>
      <c r="C448">
        <v>2003</v>
      </c>
      <c r="D448" t="s">
        <v>7</v>
      </c>
      <c r="E448">
        <v>15000</v>
      </c>
      <c r="F448">
        <v>1000000</v>
      </c>
    </row>
    <row r="449" spans="1:6" hidden="1" x14ac:dyDescent="0.3">
      <c r="A449">
        <v>448</v>
      </c>
      <c r="B449" t="s">
        <v>16</v>
      </c>
      <c r="C449">
        <v>2003</v>
      </c>
      <c r="D449" t="s">
        <v>9</v>
      </c>
      <c r="E449">
        <v>30</v>
      </c>
      <c r="F449">
        <v>0</v>
      </c>
    </row>
    <row r="450" spans="1:6" hidden="1" x14ac:dyDescent="0.3">
      <c r="A450">
        <v>449</v>
      </c>
      <c r="B450" t="s">
        <v>16</v>
      </c>
      <c r="C450">
        <v>2003</v>
      </c>
      <c r="D450" t="s">
        <v>9</v>
      </c>
      <c r="E450">
        <v>4550000</v>
      </c>
      <c r="F450">
        <v>0</v>
      </c>
    </row>
    <row r="451" spans="1:6" hidden="1" x14ac:dyDescent="0.3">
      <c r="A451">
        <v>450</v>
      </c>
      <c r="B451" t="s">
        <v>16</v>
      </c>
      <c r="C451">
        <v>2003</v>
      </c>
      <c r="D451" t="s">
        <v>9</v>
      </c>
      <c r="E451">
        <v>14500</v>
      </c>
      <c r="F451">
        <v>0</v>
      </c>
    </row>
    <row r="452" spans="1:6" hidden="1" x14ac:dyDescent="0.3">
      <c r="A452">
        <v>451</v>
      </c>
      <c r="B452" t="s">
        <v>16</v>
      </c>
      <c r="C452">
        <v>2003</v>
      </c>
      <c r="D452" t="s">
        <v>9</v>
      </c>
      <c r="E452">
        <v>3000000</v>
      </c>
      <c r="F452">
        <v>169000000</v>
      </c>
    </row>
    <row r="453" spans="1:6" hidden="1" x14ac:dyDescent="0.3">
      <c r="A453">
        <v>452</v>
      </c>
      <c r="B453" t="s">
        <v>16</v>
      </c>
      <c r="C453">
        <v>2003</v>
      </c>
      <c r="D453" t="s">
        <v>9</v>
      </c>
      <c r="E453">
        <v>0</v>
      </c>
      <c r="F453">
        <v>0</v>
      </c>
    </row>
    <row r="454" spans="1:6" hidden="1" x14ac:dyDescent="0.3">
      <c r="A454">
        <v>453</v>
      </c>
      <c r="B454" t="s">
        <v>16</v>
      </c>
      <c r="C454">
        <v>2003</v>
      </c>
      <c r="D454" t="s">
        <v>11</v>
      </c>
      <c r="E454">
        <v>460</v>
      </c>
      <c r="F454">
        <v>0</v>
      </c>
    </row>
    <row r="455" spans="1:6" hidden="1" x14ac:dyDescent="0.3">
      <c r="A455">
        <v>454</v>
      </c>
      <c r="B455" t="s">
        <v>18</v>
      </c>
      <c r="C455">
        <v>2003</v>
      </c>
      <c r="D455" t="s">
        <v>14</v>
      </c>
      <c r="E455">
        <v>1091</v>
      </c>
      <c r="F455">
        <v>0</v>
      </c>
    </row>
    <row r="456" spans="1:6" hidden="1" x14ac:dyDescent="0.3">
      <c r="A456">
        <v>455</v>
      </c>
      <c r="B456" t="s">
        <v>18</v>
      </c>
      <c r="C456">
        <v>2003</v>
      </c>
      <c r="D456" t="s">
        <v>14</v>
      </c>
      <c r="E456">
        <v>17525</v>
      </c>
      <c r="F456">
        <v>21666000</v>
      </c>
    </row>
    <row r="457" spans="1:6" hidden="1" x14ac:dyDescent="0.3">
      <c r="A457">
        <v>456</v>
      </c>
      <c r="B457" t="s">
        <v>18</v>
      </c>
      <c r="C457">
        <v>2003</v>
      </c>
      <c r="D457" t="s">
        <v>14</v>
      </c>
      <c r="E457">
        <v>267628</v>
      </c>
      <c r="F457">
        <v>500000000</v>
      </c>
    </row>
    <row r="458" spans="1:6" hidden="1" x14ac:dyDescent="0.3">
      <c r="A458">
        <v>457</v>
      </c>
      <c r="B458" t="s">
        <v>18</v>
      </c>
      <c r="C458">
        <v>2003</v>
      </c>
      <c r="D458" t="s">
        <v>14</v>
      </c>
      <c r="E458">
        <v>725</v>
      </c>
      <c r="F458">
        <v>0</v>
      </c>
    </row>
    <row r="459" spans="1:6" hidden="1" x14ac:dyDescent="0.3">
      <c r="A459">
        <v>458</v>
      </c>
      <c r="B459" t="s">
        <v>18</v>
      </c>
      <c r="C459">
        <v>2003</v>
      </c>
      <c r="D459" t="s">
        <v>9</v>
      </c>
      <c r="E459">
        <v>1370</v>
      </c>
      <c r="F459">
        <v>838000</v>
      </c>
    </row>
    <row r="460" spans="1:6" hidden="1" x14ac:dyDescent="0.3">
      <c r="A460">
        <v>459</v>
      </c>
      <c r="B460" t="s">
        <v>34</v>
      </c>
      <c r="C460">
        <v>2003</v>
      </c>
      <c r="D460" t="s">
        <v>9</v>
      </c>
      <c r="E460">
        <v>300</v>
      </c>
      <c r="F460">
        <v>0</v>
      </c>
    </row>
    <row r="461" spans="1:6" hidden="1" x14ac:dyDescent="0.3">
      <c r="A461">
        <v>460</v>
      </c>
      <c r="B461" t="s">
        <v>44</v>
      </c>
      <c r="C461">
        <v>2004</v>
      </c>
      <c r="D461" t="s">
        <v>9</v>
      </c>
      <c r="E461">
        <v>2056</v>
      </c>
      <c r="F461">
        <v>0</v>
      </c>
    </row>
    <row r="462" spans="1:6" hidden="1" x14ac:dyDescent="0.3">
      <c r="A462">
        <v>461</v>
      </c>
      <c r="B462" t="s">
        <v>20</v>
      </c>
      <c r="C462">
        <v>2004</v>
      </c>
      <c r="D462" t="s">
        <v>11</v>
      </c>
      <c r="E462">
        <v>2400</v>
      </c>
      <c r="F462">
        <v>0</v>
      </c>
    </row>
    <row r="463" spans="1:6" hidden="1" x14ac:dyDescent="0.3">
      <c r="A463">
        <v>462</v>
      </c>
      <c r="B463" t="s">
        <v>16</v>
      </c>
      <c r="C463">
        <v>2004</v>
      </c>
      <c r="D463" t="s">
        <v>9</v>
      </c>
      <c r="E463">
        <v>100000</v>
      </c>
      <c r="F463">
        <v>0</v>
      </c>
    </row>
    <row r="464" spans="1:6" hidden="1" x14ac:dyDescent="0.3">
      <c r="A464">
        <v>463</v>
      </c>
      <c r="B464" t="s">
        <v>27</v>
      </c>
      <c r="C464">
        <v>2004</v>
      </c>
      <c r="D464" t="s">
        <v>11</v>
      </c>
      <c r="E464">
        <v>315594</v>
      </c>
      <c r="F464">
        <v>50000000</v>
      </c>
    </row>
    <row r="465" spans="1:6" hidden="1" x14ac:dyDescent="0.3">
      <c r="A465">
        <v>464</v>
      </c>
      <c r="B465" t="s">
        <v>8</v>
      </c>
      <c r="C465">
        <v>2004</v>
      </c>
      <c r="D465" t="s">
        <v>9</v>
      </c>
      <c r="E465">
        <v>36000000</v>
      </c>
      <c r="F465">
        <v>2200000000</v>
      </c>
    </row>
    <row r="466" spans="1:6" hidden="1" x14ac:dyDescent="0.3">
      <c r="A466">
        <v>465</v>
      </c>
      <c r="B466" t="s">
        <v>47</v>
      </c>
      <c r="C466">
        <v>2004</v>
      </c>
      <c r="D466" t="s">
        <v>9</v>
      </c>
      <c r="E466">
        <v>100000</v>
      </c>
      <c r="F466">
        <v>0</v>
      </c>
    </row>
    <row r="467" spans="1:6" hidden="1" x14ac:dyDescent="0.3">
      <c r="A467">
        <v>466</v>
      </c>
      <c r="B467" t="s">
        <v>34</v>
      </c>
      <c r="C467">
        <v>2004</v>
      </c>
      <c r="D467" t="s">
        <v>7</v>
      </c>
      <c r="E467">
        <v>2300000</v>
      </c>
      <c r="F467">
        <v>0</v>
      </c>
    </row>
    <row r="468" spans="1:6" hidden="1" x14ac:dyDescent="0.3">
      <c r="A468">
        <v>467</v>
      </c>
      <c r="B468" t="s">
        <v>28</v>
      </c>
      <c r="C468">
        <v>2004</v>
      </c>
      <c r="D468" t="s">
        <v>11</v>
      </c>
      <c r="E468">
        <v>350000</v>
      </c>
      <c r="F468">
        <v>595000000</v>
      </c>
    </row>
    <row r="469" spans="1:6" hidden="1" x14ac:dyDescent="0.3">
      <c r="A469">
        <v>468</v>
      </c>
      <c r="B469" t="s">
        <v>20</v>
      </c>
      <c r="C469">
        <v>2004</v>
      </c>
      <c r="D469" t="s">
        <v>14</v>
      </c>
      <c r="E469">
        <v>14072</v>
      </c>
      <c r="F469">
        <v>1000000</v>
      </c>
    </row>
    <row r="470" spans="1:6" hidden="1" x14ac:dyDescent="0.3">
      <c r="A470">
        <v>469</v>
      </c>
      <c r="B470" t="s">
        <v>20</v>
      </c>
      <c r="C470">
        <v>2004</v>
      </c>
      <c r="D470" t="s">
        <v>14</v>
      </c>
      <c r="E470">
        <v>12833</v>
      </c>
      <c r="F470">
        <v>55000000</v>
      </c>
    </row>
    <row r="471" spans="1:6" hidden="1" x14ac:dyDescent="0.3">
      <c r="A471">
        <v>470</v>
      </c>
      <c r="B471" t="s">
        <v>10</v>
      </c>
      <c r="C471">
        <v>2004</v>
      </c>
      <c r="D471" t="s">
        <v>9</v>
      </c>
      <c r="E471">
        <v>275000</v>
      </c>
      <c r="F471">
        <v>0</v>
      </c>
    </row>
    <row r="472" spans="1:6" hidden="1" x14ac:dyDescent="0.3">
      <c r="A472">
        <v>471</v>
      </c>
      <c r="B472" t="s">
        <v>44</v>
      </c>
      <c r="C472">
        <v>2004</v>
      </c>
      <c r="D472" t="s">
        <v>14</v>
      </c>
      <c r="E472">
        <v>280</v>
      </c>
      <c r="F472">
        <v>0</v>
      </c>
    </row>
    <row r="473" spans="1:6" hidden="1" x14ac:dyDescent="0.3">
      <c r="A473">
        <v>472</v>
      </c>
      <c r="B473" t="s">
        <v>44</v>
      </c>
      <c r="C473">
        <v>2004</v>
      </c>
      <c r="D473" t="s">
        <v>9</v>
      </c>
      <c r="E473">
        <v>1000</v>
      </c>
      <c r="F473">
        <v>0</v>
      </c>
    </row>
    <row r="474" spans="1:6" hidden="1" x14ac:dyDescent="0.3">
      <c r="A474">
        <v>473</v>
      </c>
      <c r="B474" t="s">
        <v>20</v>
      </c>
      <c r="C474">
        <v>2004</v>
      </c>
      <c r="D474" t="s">
        <v>14</v>
      </c>
      <c r="E474">
        <v>83381</v>
      </c>
      <c r="F474">
        <v>0</v>
      </c>
    </row>
    <row r="475" spans="1:6" hidden="1" x14ac:dyDescent="0.3">
      <c r="A475">
        <v>474</v>
      </c>
      <c r="B475" t="s">
        <v>16</v>
      </c>
      <c r="C475">
        <v>2004</v>
      </c>
      <c r="D475" t="s">
        <v>9</v>
      </c>
      <c r="E475">
        <v>1000</v>
      </c>
      <c r="F475">
        <v>0</v>
      </c>
    </row>
    <row r="476" spans="1:6" hidden="1" x14ac:dyDescent="0.3">
      <c r="A476">
        <v>475</v>
      </c>
      <c r="B476" t="s">
        <v>18</v>
      </c>
      <c r="C476">
        <v>2004</v>
      </c>
      <c r="D476" t="s">
        <v>14</v>
      </c>
      <c r="E476">
        <v>498</v>
      </c>
      <c r="F476">
        <v>165000000</v>
      </c>
    </row>
    <row r="477" spans="1:6" hidden="1" x14ac:dyDescent="0.3">
      <c r="A477">
        <v>476</v>
      </c>
      <c r="B477" t="s">
        <v>34</v>
      </c>
      <c r="C477">
        <v>2004</v>
      </c>
      <c r="D477" t="s">
        <v>9</v>
      </c>
      <c r="E477">
        <v>10000</v>
      </c>
      <c r="F477">
        <v>0</v>
      </c>
    </row>
    <row r="478" spans="1:6" hidden="1" x14ac:dyDescent="0.3">
      <c r="A478">
        <v>477</v>
      </c>
      <c r="B478" t="s">
        <v>20</v>
      </c>
      <c r="C478">
        <v>2004</v>
      </c>
      <c r="D478" t="s">
        <v>14</v>
      </c>
      <c r="E478">
        <v>532898</v>
      </c>
      <c r="F478">
        <v>4451600000</v>
      </c>
    </row>
    <row r="479" spans="1:6" hidden="1" x14ac:dyDescent="0.3">
      <c r="A479">
        <v>478</v>
      </c>
      <c r="B479" t="s">
        <v>34</v>
      </c>
      <c r="C479">
        <v>2004</v>
      </c>
      <c r="D479" t="s">
        <v>14</v>
      </c>
      <c r="E479">
        <v>0</v>
      </c>
      <c r="F479">
        <v>100000000</v>
      </c>
    </row>
    <row r="480" spans="1:6" hidden="1" x14ac:dyDescent="0.3">
      <c r="A480">
        <v>479</v>
      </c>
      <c r="B480" t="s">
        <v>8</v>
      </c>
      <c r="C480">
        <v>2004</v>
      </c>
      <c r="D480" t="s">
        <v>9</v>
      </c>
      <c r="E480">
        <v>600000</v>
      </c>
      <c r="F480">
        <v>0</v>
      </c>
    </row>
    <row r="481" spans="1:6" hidden="1" x14ac:dyDescent="0.3">
      <c r="A481">
        <v>480</v>
      </c>
      <c r="B481" t="s">
        <v>18</v>
      </c>
      <c r="C481">
        <v>2004</v>
      </c>
      <c r="D481" t="s">
        <v>9</v>
      </c>
      <c r="E481">
        <v>10</v>
      </c>
      <c r="F481">
        <v>0</v>
      </c>
    </row>
    <row r="482" spans="1:6" hidden="1" x14ac:dyDescent="0.3">
      <c r="A482">
        <v>481</v>
      </c>
      <c r="B482" t="s">
        <v>8</v>
      </c>
      <c r="C482">
        <v>2004</v>
      </c>
      <c r="D482" t="s">
        <v>9</v>
      </c>
      <c r="E482">
        <v>271700</v>
      </c>
      <c r="F482">
        <v>0</v>
      </c>
    </row>
    <row r="483" spans="1:6" hidden="1" x14ac:dyDescent="0.3">
      <c r="A483">
        <v>482</v>
      </c>
      <c r="B483" t="s">
        <v>27</v>
      </c>
      <c r="C483">
        <v>2004</v>
      </c>
      <c r="D483" t="s">
        <v>11</v>
      </c>
      <c r="E483">
        <v>6500</v>
      </c>
      <c r="F483">
        <v>1000000</v>
      </c>
    </row>
    <row r="484" spans="1:6" hidden="1" x14ac:dyDescent="0.3">
      <c r="A484">
        <v>483</v>
      </c>
      <c r="B484" t="s">
        <v>28</v>
      </c>
      <c r="C484">
        <v>2004</v>
      </c>
      <c r="D484" t="s">
        <v>11</v>
      </c>
      <c r="E484">
        <v>126</v>
      </c>
      <c r="F484">
        <v>300000000</v>
      </c>
    </row>
    <row r="485" spans="1:6" hidden="1" x14ac:dyDescent="0.3">
      <c r="A485">
        <v>484</v>
      </c>
      <c r="B485" t="s">
        <v>23</v>
      </c>
      <c r="C485">
        <v>2004</v>
      </c>
      <c r="D485" t="s">
        <v>7</v>
      </c>
      <c r="E485">
        <v>137500</v>
      </c>
      <c r="F485">
        <v>0</v>
      </c>
    </row>
    <row r="486" spans="1:6" hidden="1" x14ac:dyDescent="0.3">
      <c r="A486">
        <v>485</v>
      </c>
      <c r="B486" t="s">
        <v>8</v>
      </c>
      <c r="C486">
        <v>2004</v>
      </c>
      <c r="D486" t="s">
        <v>11</v>
      </c>
      <c r="E486">
        <v>50</v>
      </c>
      <c r="F486">
        <v>0</v>
      </c>
    </row>
    <row r="487" spans="1:6" hidden="1" x14ac:dyDescent="0.3">
      <c r="A487">
        <v>486</v>
      </c>
      <c r="B487" t="s">
        <v>8</v>
      </c>
      <c r="C487">
        <v>2004</v>
      </c>
      <c r="D487" t="s">
        <v>11</v>
      </c>
      <c r="E487">
        <v>1100</v>
      </c>
      <c r="F487">
        <v>0</v>
      </c>
    </row>
    <row r="488" spans="1:6" hidden="1" x14ac:dyDescent="0.3">
      <c r="A488">
        <v>487</v>
      </c>
      <c r="B488" t="s">
        <v>10</v>
      </c>
      <c r="C488">
        <v>2004</v>
      </c>
      <c r="D488" t="s">
        <v>9</v>
      </c>
      <c r="E488">
        <v>3000</v>
      </c>
      <c r="F488">
        <v>0</v>
      </c>
    </row>
    <row r="489" spans="1:6" hidden="1" x14ac:dyDescent="0.3">
      <c r="A489">
        <v>488</v>
      </c>
      <c r="B489" t="s">
        <v>25</v>
      </c>
      <c r="C489">
        <v>2004</v>
      </c>
      <c r="D489" t="s">
        <v>14</v>
      </c>
      <c r="E489">
        <v>300</v>
      </c>
      <c r="F489">
        <v>0</v>
      </c>
    </row>
    <row r="490" spans="1:6" hidden="1" x14ac:dyDescent="0.3">
      <c r="A490">
        <v>489</v>
      </c>
      <c r="B490" t="s">
        <v>25</v>
      </c>
      <c r="C490">
        <v>2004</v>
      </c>
      <c r="D490" t="s">
        <v>14</v>
      </c>
      <c r="E490">
        <v>15</v>
      </c>
      <c r="F490">
        <v>0</v>
      </c>
    </row>
    <row r="491" spans="1:6" hidden="1" x14ac:dyDescent="0.3">
      <c r="A491">
        <v>490</v>
      </c>
      <c r="B491" t="s">
        <v>25</v>
      </c>
      <c r="C491">
        <v>2004</v>
      </c>
      <c r="D491" t="s">
        <v>9</v>
      </c>
      <c r="E491">
        <v>27545</v>
      </c>
      <c r="F491">
        <v>0</v>
      </c>
    </row>
    <row r="492" spans="1:6" hidden="1" x14ac:dyDescent="0.3">
      <c r="A492">
        <v>491</v>
      </c>
      <c r="B492" t="s">
        <v>25</v>
      </c>
      <c r="C492">
        <v>2004</v>
      </c>
      <c r="D492" t="s">
        <v>9</v>
      </c>
      <c r="E492">
        <v>20</v>
      </c>
      <c r="F492">
        <v>0</v>
      </c>
    </row>
    <row r="493" spans="1:6" hidden="1" x14ac:dyDescent="0.3">
      <c r="A493">
        <v>492</v>
      </c>
      <c r="B493" t="s">
        <v>27</v>
      </c>
      <c r="C493">
        <v>2004</v>
      </c>
      <c r="D493" t="s">
        <v>9</v>
      </c>
      <c r="E493">
        <v>31283</v>
      </c>
      <c r="F493">
        <v>0</v>
      </c>
    </row>
    <row r="494" spans="1:6" hidden="1" x14ac:dyDescent="0.3">
      <c r="A494">
        <v>493</v>
      </c>
      <c r="B494" t="s">
        <v>20</v>
      </c>
      <c r="C494">
        <v>2004</v>
      </c>
      <c r="D494" t="s">
        <v>14</v>
      </c>
      <c r="E494">
        <v>30040</v>
      </c>
      <c r="F494">
        <v>12000000</v>
      </c>
    </row>
    <row r="495" spans="1:6" hidden="1" x14ac:dyDescent="0.3">
      <c r="A495">
        <v>494</v>
      </c>
      <c r="B495" t="s">
        <v>20</v>
      </c>
      <c r="C495">
        <v>2004</v>
      </c>
      <c r="D495" t="s">
        <v>14</v>
      </c>
      <c r="E495">
        <v>507</v>
      </c>
      <c r="F495">
        <v>0</v>
      </c>
    </row>
    <row r="496" spans="1:6" hidden="1" x14ac:dyDescent="0.3">
      <c r="A496">
        <v>495</v>
      </c>
      <c r="B496" t="s">
        <v>20</v>
      </c>
      <c r="C496">
        <v>2004</v>
      </c>
      <c r="D496" t="s">
        <v>9</v>
      </c>
      <c r="E496">
        <v>13000</v>
      </c>
      <c r="F496">
        <v>60000000</v>
      </c>
    </row>
    <row r="497" spans="1:6" hidden="1" x14ac:dyDescent="0.3">
      <c r="A497">
        <v>496</v>
      </c>
      <c r="B497" t="s">
        <v>20</v>
      </c>
      <c r="C497">
        <v>2004</v>
      </c>
      <c r="D497" t="s">
        <v>11</v>
      </c>
      <c r="E497">
        <v>1315</v>
      </c>
      <c r="F497">
        <v>0</v>
      </c>
    </row>
    <row r="498" spans="1:6" hidden="1" x14ac:dyDescent="0.3">
      <c r="A498">
        <v>497</v>
      </c>
      <c r="B498" t="s">
        <v>16</v>
      </c>
      <c r="C498">
        <v>2004</v>
      </c>
      <c r="D498" t="s">
        <v>14</v>
      </c>
      <c r="E498">
        <v>654512</v>
      </c>
      <c r="F498">
        <v>1022800000</v>
      </c>
    </row>
    <row r="499" spans="1:6" hidden="1" x14ac:dyDescent="0.3">
      <c r="A499">
        <v>498</v>
      </c>
      <c r="B499" t="s">
        <v>16</v>
      </c>
      <c r="C499">
        <v>2004</v>
      </c>
      <c r="D499" t="s">
        <v>9</v>
      </c>
      <c r="E499">
        <v>0</v>
      </c>
      <c r="F499">
        <v>0</v>
      </c>
    </row>
    <row r="500" spans="1:6" hidden="1" x14ac:dyDescent="0.3">
      <c r="A500">
        <v>499</v>
      </c>
      <c r="B500" t="s">
        <v>16</v>
      </c>
      <c r="C500">
        <v>2004</v>
      </c>
      <c r="D500" t="s">
        <v>9</v>
      </c>
      <c r="E500">
        <v>5000</v>
      </c>
      <c r="F500">
        <v>0</v>
      </c>
    </row>
    <row r="501" spans="1:6" hidden="1" x14ac:dyDescent="0.3">
      <c r="A501">
        <v>500</v>
      </c>
      <c r="B501" t="s">
        <v>16</v>
      </c>
      <c r="C501">
        <v>2004</v>
      </c>
      <c r="D501" t="s">
        <v>9</v>
      </c>
      <c r="E501">
        <v>33000000</v>
      </c>
      <c r="F501">
        <v>2500000000</v>
      </c>
    </row>
    <row r="502" spans="1:6" hidden="1" x14ac:dyDescent="0.3">
      <c r="A502">
        <v>501</v>
      </c>
      <c r="B502" t="s">
        <v>16</v>
      </c>
      <c r="C502">
        <v>2004</v>
      </c>
      <c r="D502" t="s">
        <v>9</v>
      </c>
      <c r="E502">
        <v>100000</v>
      </c>
      <c r="F502">
        <v>276000000</v>
      </c>
    </row>
    <row r="503" spans="1:6" hidden="1" x14ac:dyDescent="0.3">
      <c r="A503">
        <v>502</v>
      </c>
      <c r="B503" t="s">
        <v>18</v>
      </c>
      <c r="C503">
        <v>2004</v>
      </c>
      <c r="D503" t="s">
        <v>9</v>
      </c>
      <c r="E503">
        <v>4043</v>
      </c>
      <c r="F503">
        <v>0</v>
      </c>
    </row>
    <row r="504" spans="1:6" hidden="1" x14ac:dyDescent="0.3">
      <c r="A504">
        <v>503</v>
      </c>
      <c r="B504" t="s">
        <v>18</v>
      </c>
      <c r="C504">
        <v>2004</v>
      </c>
      <c r="D504" t="s">
        <v>11</v>
      </c>
      <c r="E504">
        <v>2500</v>
      </c>
      <c r="F504">
        <v>240000</v>
      </c>
    </row>
    <row r="505" spans="1:6" hidden="1" x14ac:dyDescent="0.3">
      <c r="A505">
        <v>504</v>
      </c>
      <c r="B505" t="s">
        <v>34</v>
      </c>
      <c r="C505">
        <v>2004</v>
      </c>
      <c r="D505" t="s">
        <v>9</v>
      </c>
      <c r="E505">
        <v>2000</v>
      </c>
      <c r="F505">
        <v>0</v>
      </c>
    </row>
    <row r="506" spans="1:6" hidden="1" x14ac:dyDescent="0.3">
      <c r="A506">
        <v>505</v>
      </c>
      <c r="B506" t="s">
        <v>17</v>
      </c>
      <c r="C506">
        <v>2004</v>
      </c>
      <c r="D506" t="s">
        <v>14</v>
      </c>
      <c r="E506">
        <v>1019306</v>
      </c>
      <c r="F506">
        <v>1316500000</v>
      </c>
    </row>
    <row r="507" spans="1:6" hidden="1" x14ac:dyDescent="0.3">
      <c r="A507">
        <v>506</v>
      </c>
      <c r="B507" t="s">
        <v>17</v>
      </c>
      <c r="C507">
        <v>2004</v>
      </c>
      <c r="D507" t="s">
        <v>9</v>
      </c>
      <c r="E507">
        <v>200000</v>
      </c>
      <c r="F507">
        <v>0</v>
      </c>
    </row>
    <row r="508" spans="1:6" hidden="1" x14ac:dyDescent="0.3">
      <c r="A508">
        <v>507</v>
      </c>
      <c r="B508" t="s">
        <v>16</v>
      </c>
      <c r="C508">
        <v>2005</v>
      </c>
      <c r="D508" t="s">
        <v>11</v>
      </c>
      <c r="E508">
        <v>7550</v>
      </c>
      <c r="F508">
        <v>0</v>
      </c>
    </row>
    <row r="509" spans="1:6" hidden="1" x14ac:dyDescent="0.3">
      <c r="A509">
        <v>508</v>
      </c>
      <c r="B509" t="s">
        <v>44</v>
      </c>
      <c r="C509">
        <v>2005</v>
      </c>
      <c r="D509" t="s">
        <v>9</v>
      </c>
      <c r="E509">
        <v>2143</v>
      </c>
      <c r="F509">
        <v>25000000</v>
      </c>
    </row>
    <row r="510" spans="1:6" hidden="1" x14ac:dyDescent="0.3">
      <c r="A510">
        <v>509</v>
      </c>
      <c r="B510" t="s">
        <v>20</v>
      </c>
      <c r="C510">
        <v>2005</v>
      </c>
      <c r="D510" t="s">
        <v>9</v>
      </c>
      <c r="E510">
        <v>768</v>
      </c>
      <c r="F510">
        <v>0</v>
      </c>
    </row>
    <row r="511" spans="1:6" hidden="1" x14ac:dyDescent="0.3">
      <c r="A511">
        <v>510</v>
      </c>
      <c r="B511" t="s">
        <v>18</v>
      </c>
      <c r="C511">
        <v>2005</v>
      </c>
      <c r="D511" t="s">
        <v>9</v>
      </c>
      <c r="E511">
        <v>3000</v>
      </c>
      <c r="F511">
        <v>0</v>
      </c>
    </row>
    <row r="512" spans="1:6" hidden="1" x14ac:dyDescent="0.3">
      <c r="A512">
        <v>511</v>
      </c>
      <c r="B512" t="s">
        <v>20</v>
      </c>
      <c r="C512">
        <v>2005</v>
      </c>
      <c r="D512" t="s">
        <v>14</v>
      </c>
      <c r="E512">
        <v>105313</v>
      </c>
      <c r="F512">
        <v>0</v>
      </c>
    </row>
    <row r="513" spans="1:6" hidden="1" x14ac:dyDescent="0.3">
      <c r="A513">
        <v>512</v>
      </c>
      <c r="B513" t="s">
        <v>8</v>
      </c>
      <c r="C513">
        <v>2005</v>
      </c>
      <c r="D513" t="s">
        <v>9</v>
      </c>
      <c r="E513">
        <v>50000</v>
      </c>
      <c r="F513">
        <v>0</v>
      </c>
    </row>
    <row r="514" spans="1:6" hidden="1" x14ac:dyDescent="0.3">
      <c r="A514">
        <v>513</v>
      </c>
      <c r="B514" t="s">
        <v>26</v>
      </c>
      <c r="C514">
        <v>2005</v>
      </c>
      <c r="D514" t="s">
        <v>9</v>
      </c>
      <c r="E514">
        <v>235418</v>
      </c>
      <c r="F514">
        <v>5000000</v>
      </c>
    </row>
    <row r="515" spans="1:6" hidden="1" x14ac:dyDescent="0.3">
      <c r="A515">
        <v>514</v>
      </c>
      <c r="B515" t="s">
        <v>15</v>
      </c>
      <c r="C515">
        <v>2005</v>
      </c>
      <c r="D515" t="s">
        <v>9</v>
      </c>
      <c r="E515">
        <v>0</v>
      </c>
      <c r="F515">
        <v>10000000</v>
      </c>
    </row>
    <row r="516" spans="1:6" hidden="1" x14ac:dyDescent="0.3">
      <c r="A516">
        <v>515</v>
      </c>
      <c r="B516" t="s">
        <v>15</v>
      </c>
      <c r="C516">
        <v>2005</v>
      </c>
      <c r="D516" t="s">
        <v>11</v>
      </c>
      <c r="E516">
        <v>0</v>
      </c>
      <c r="F516">
        <v>0</v>
      </c>
    </row>
    <row r="517" spans="1:6" hidden="1" x14ac:dyDescent="0.3">
      <c r="A517">
        <v>516</v>
      </c>
      <c r="B517" t="s">
        <v>10</v>
      </c>
      <c r="C517">
        <v>2005</v>
      </c>
      <c r="D517" t="s">
        <v>11</v>
      </c>
      <c r="E517">
        <v>0</v>
      </c>
      <c r="F517">
        <v>0</v>
      </c>
    </row>
    <row r="518" spans="1:6" hidden="1" x14ac:dyDescent="0.3">
      <c r="A518">
        <v>517</v>
      </c>
      <c r="B518" t="s">
        <v>8</v>
      </c>
      <c r="C518">
        <v>2005</v>
      </c>
      <c r="D518" t="s">
        <v>11</v>
      </c>
      <c r="E518">
        <v>10500</v>
      </c>
      <c r="F518">
        <v>0</v>
      </c>
    </row>
    <row r="519" spans="1:6" hidden="1" x14ac:dyDescent="0.3">
      <c r="A519">
        <v>518</v>
      </c>
      <c r="B519" t="s">
        <v>8</v>
      </c>
      <c r="C519">
        <v>2005</v>
      </c>
      <c r="D519" t="s">
        <v>11</v>
      </c>
      <c r="E519">
        <v>6</v>
      </c>
      <c r="F519">
        <v>0</v>
      </c>
    </row>
    <row r="520" spans="1:6" hidden="1" x14ac:dyDescent="0.3">
      <c r="A520">
        <v>519</v>
      </c>
      <c r="B520" t="s">
        <v>25</v>
      </c>
      <c r="C520">
        <v>2005</v>
      </c>
      <c r="D520" t="s">
        <v>9</v>
      </c>
      <c r="E520">
        <v>70</v>
      </c>
      <c r="F520">
        <v>0</v>
      </c>
    </row>
    <row r="521" spans="1:6" hidden="1" x14ac:dyDescent="0.3">
      <c r="A521">
        <v>520</v>
      </c>
      <c r="B521" t="s">
        <v>25</v>
      </c>
      <c r="C521">
        <v>2005</v>
      </c>
      <c r="D521" t="s">
        <v>11</v>
      </c>
      <c r="E521">
        <v>5</v>
      </c>
      <c r="F521">
        <v>0</v>
      </c>
    </row>
    <row r="522" spans="1:6" hidden="1" x14ac:dyDescent="0.3">
      <c r="A522">
        <v>521</v>
      </c>
      <c r="B522" t="s">
        <v>26</v>
      </c>
      <c r="C522">
        <v>2005</v>
      </c>
      <c r="D522" t="s">
        <v>9</v>
      </c>
      <c r="E522">
        <v>0</v>
      </c>
      <c r="F522">
        <v>1200000</v>
      </c>
    </row>
    <row r="523" spans="1:6" hidden="1" x14ac:dyDescent="0.3">
      <c r="A523">
        <v>522</v>
      </c>
      <c r="B523" t="s">
        <v>20</v>
      </c>
      <c r="C523">
        <v>2005</v>
      </c>
      <c r="D523" t="s">
        <v>14</v>
      </c>
      <c r="E523">
        <v>684</v>
      </c>
      <c r="F523">
        <v>0</v>
      </c>
    </row>
    <row r="524" spans="1:6" hidden="1" x14ac:dyDescent="0.3">
      <c r="A524">
        <v>523</v>
      </c>
      <c r="B524" t="s">
        <v>18</v>
      </c>
      <c r="C524">
        <v>2005</v>
      </c>
      <c r="D524" t="s">
        <v>14</v>
      </c>
      <c r="E524">
        <v>110</v>
      </c>
      <c r="F524">
        <v>0</v>
      </c>
    </row>
    <row r="525" spans="1:6" hidden="1" x14ac:dyDescent="0.3">
      <c r="A525">
        <v>524</v>
      </c>
      <c r="B525" t="s">
        <v>18</v>
      </c>
      <c r="C525">
        <v>2005</v>
      </c>
      <c r="D525" t="s">
        <v>14</v>
      </c>
      <c r="E525">
        <v>94766</v>
      </c>
      <c r="F525">
        <v>80000000</v>
      </c>
    </row>
    <row r="526" spans="1:6" hidden="1" x14ac:dyDescent="0.3">
      <c r="A526">
        <v>525</v>
      </c>
      <c r="B526" t="s">
        <v>18</v>
      </c>
      <c r="C526">
        <v>2005</v>
      </c>
      <c r="D526" t="s">
        <v>11</v>
      </c>
      <c r="E526">
        <v>8000</v>
      </c>
      <c r="F526">
        <v>0</v>
      </c>
    </row>
    <row r="527" spans="1:6" hidden="1" x14ac:dyDescent="0.3">
      <c r="A527">
        <v>526</v>
      </c>
      <c r="B527" t="s">
        <v>34</v>
      </c>
      <c r="C527">
        <v>2005</v>
      </c>
      <c r="D527" t="s">
        <v>9</v>
      </c>
      <c r="E527">
        <v>25000</v>
      </c>
      <c r="F527">
        <v>500000</v>
      </c>
    </row>
    <row r="528" spans="1:6" hidden="1" x14ac:dyDescent="0.3">
      <c r="A528">
        <v>527</v>
      </c>
      <c r="B528" t="s">
        <v>34</v>
      </c>
      <c r="C528">
        <v>2005</v>
      </c>
      <c r="D528" t="s">
        <v>9</v>
      </c>
      <c r="E528">
        <v>10000</v>
      </c>
      <c r="F528">
        <v>0</v>
      </c>
    </row>
    <row r="529" spans="1:6" hidden="1" x14ac:dyDescent="0.3">
      <c r="A529">
        <v>528</v>
      </c>
      <c r="B529" t="s">
        <v>36</v>
      </c>
      <c r="C529">
        <v>2003</v>
      </c>
      <c r="D529" t="s">
        <v>9</v>
      </c>
      <c r="E529">
        <v>5450</v>
      </c>
      <c r="F529">
        <v>0</v>
      </c>
    </row>
    <row r="530" spans="1:6" hidden="1" x14ac:dyDescent="0.3">
      <c r="A530">
        <v>529</v>
      </c>
      <c r="B530" t="s">
        <v>21</v>
      </c>
      <c r="C530">
        <v>2003</v>
      </c>
      <c r="D530" t="s">
        <v>9</v>
      </c>
      <c r="E530">
        <v>3050</v>
      </c>
      <c r="F530">
        <v>0</v>
      </c>
    </row>
    <row r="531" spans="1:6" hidden="1" x14ac:dyDescent="0.3">
      <c r="A531">
        <v>530</v>
      </c>
      <c r="B531" t="s">
        <v>37</v>
      </c>
      <c r="C531">
        <v>2003</v>
      </c>
      <c r="D531" t="s">
        <v>11</v>
      </c>
      <c r="E531">
        <v>13909</v>
      </c>
      <c r="F531">
        <v>4000000</v>
      </c>
    </row>
    <row r="532" spans="1:6" hidden="1" x14ac:dyDescent="0.3">
      <c r="A532">
        <v>531</v>
      </c>
      <c r="B532" t="s">
        <v>37</v>
      </c>
      <c r="C532">
        <v>2003</v>
      </c>
      <c r="D532" t="s">
        <v>11</v>
      </c>
      <c r="E532">
        <v>127130</v>
      </c>
      <c r="F532">
        <v>2455000</v>
      </c>
    </row>
    <row r="533" spans="1:6" hidden="1" x14ac:dyDescent="0.3">
      <c r="A533">
        <v>532</v>
      </c>
      <c r="B533" t="s">
        <v>21</v>
      </c>
      <c r="C533">
        <v>2003</v>
      </c>
      <c r="D533" t="s">
        <v>11</v>
      </c>
      <c r="E533">
        <v>6000</v>
      </c>
      <c r="F533">
        <v>100000000</v>
      </c>
    </row>
    <row r="534" spans="1:6" hidden="1" x14ac:dyDescent="0.3">
      <c r="A534">
        <v>533</v>
      </c>
      <c r="B534" t="s">
        <v>29</v>
      </c>
      <c r="C534">
        <v>2003</v>
      </c>
      <c r="D534" t="s">
        <v>9</v>
      </c>
      <c r="E534">
        <v>10000</v>
      </c>
      <c r="F534">
        <v>0</v>
      </c>
    </row>
    <row r="535" spans="1:6" hidden="1" x14ac:dyDescent="0.3">
      <c r="A535">
        <v>534</v>
      </c>
      <c r="B535" t="s">
        <v>33</v>
      </c>
      <c r="C535">
        <v>2003</v>
      </c>
      <c r="D535" t="s">
        <v>9</v>
      </c>
      <c r="E535">
        <v>59254</v>
      </c>
      <c r="F535">
        <v>0</v>
      </c>
    </row>
    <row r="536" spans="1:6" hidden="1" x14ac:dyDescent="0.3">
      <c r="A536">
        <v>535</v>
      </c>
      <c r="B536" t="s">
        <v>37</v>
      </c>
      <c r="C536">
        <v>2003</v>
      </c>
      <c r="D536" t="s">
        <v>9</v>
      </c>
      <c r="E536">
        <v>3500</v>
      </c>
      <c r="F536">
        <v>0</v>
      </c>
    </row>
    <row r="537" spans="1:6" x14ac:dyDescent="0.3">
      <c r="A537">
        <v>536</v>
      </c>
      <c r="B537" t="s">
        <v>42</v>
      </c>
      <c r="C537">
        <v>2003</v>
      </c>
      <c r="D537" t="s">
        <v>9</v>
      </c>
      <c r="E537">
        <v>1755</v>
      </c>
      <c r="F537">
        <v>20000000</v>
      </c>
    </row>
    <row r="538" spans="1:6" hidden="1" x14ac:dyDescent="0.3">
      <c r="A538">
        <v>537</v>
      </c>
      <c r="B538" t="s">
        <v>43</v>
      </c>
      <c r="C538">
        <v>2003</v>
      </c>
      <c r="D538" t="s">
        <v>9</v>
      </c>
      <c r="E538">
        <v>194049</v>
      </c>
      <c r="F538">
        <v>35000000</v>
      </c>
    </row>
    <row r="539" spans="1:6" hidden="1" x14ac:dyDescent="0.3">
      <c r="A539">
        <v>538</v>
      </c>
      <c r="B539" t="s">
        <v>35</v>
      </c>
      <c r="C539">
        <v>2003</v>
      </c>
      <c r="D539" t="s">
        <v>9</v>
      </c>
      <c r="E539">
        <v>1266223</v>
      </c>
      <c r="F539">
        <v>0</v>
      </c>
    </row>
    <row r="540" spans="1:6" hidden="1" x14ac:dyDescent="0.3">
      <c r="A540">
        <v>539</v>
      </c>
      <c r="B540" t="s">
        <v>22</v>
      </c>
      <c r="C540">
        <v>2003</v>
      </c>
      <c r="D540" t="s">
        <v>11</v>
      </c>
      <c r="E540">
        <v>162086</v>
      </c>
      <c r="F540">
        <v>0</v>
      </c>
    </row>
    <row r="541" spans="1:6" hidden="1" x14ac:dyDescent="0.3">
      <c r="A541">
        <v>540</v>
      </c>
      <c r="B541" t="s">
        <v>21</v>
      </c>
      <c r="C541">
        <v>2003</v>
      </c>
      <c r="D541" t="s">
        <v>11</v>
      </c>
      <c r="E541">
        <v>3000</v>
      </c>
      <c r="F541">
        <v>0</v>
      </c>
    </row>
    <row r="542" spans="1:6" hidden="1" x14ac:dyDescent="0.3">
      <c r="A542">
        <v>541</v>
      </c>
      <c r="B542" t="s">
        <v>43</v>
      </c>
      <c r="C542">
        <v>2003</v>
      </c>
      <c r="D542" t="s">
        <v>11</v>
      </c>
      <c r="E542">
        <v>5018</v>
      </c>
      <c r="F542">
        <v>0</v>
      </c>
    </row>
    <row r="543" spans="1:6" hidden="1" x14ac:dyDescent="0.3">
      <c r="A543">
        <v>542</v>
      </c>
      <c r="B543" t="s">
        <v>38</v>
      </c>
      <c r="C543">
        <v>2003</v>
      </c>
      <c r="D543" t="s">
        <v>11</v>
      </c>
      <c r="E543">
        <v>600</v>
      </c>
      <c r="F543">
        <v>0</v>
      </c>
    </row>
    <row r="544" spans="1:6" hidden="1" x14ac:dyDescent="0.3">
      <c r="A544">
        <v>543</v>
      </c>
      <c r="B544" t="s">
        <v>37</v>
      </c>
      <c r="C544">
        <v>2003</v>
      </c>
      <c r="D544" t="s">
        <v>11</v>
      </c>
      <c r="E544">
        <v>14280</v>
      </c>
      <c r="F544">
        <v>26468000</v>
      </c>
    </row>
    <row r="545" spans="1:6" hidden="1" x14ac:dyDescent="0.3">
      <c r="A545">
        <v>544</v>
      </c>
      <c r="B545" t="s">
        <v>22</v>
      </c>
      <c r="C545">
        <v>2003</v>
      </c>
      <c r="D545" t="s">
        <v>11</v>
      </c>
      <c r="E545">
        <v>164</v>
      </c>
      <c r="F545">
        <v>0</v>
      </c>
    </row>
    <row r="546" spans="1:6" hidden="1" x14ac:dyDescent="0.3">
      <c r="A546">
        <v>545</v>
      </c>
      <c r="B546" t="s">
        <v>21</v>
      </c>
      <c r="C546">
        <v>2003</v>
      </c>
      <c r="D546" t="s">
        <v>9</v>
      </c>
      <c r="E546">
        <v>50000</v>
      </c>
      <c r="F546">
        <v>0</v>
      </c>
    </row>
    <row r="547" spans="1:6" hidden="1" x14ac:dyDescent="0.3">
      <c r="A547">
        <v>546</v>
      </c>
      <c r="B547" t="s">
        <v>21</v>
      </c>
      <c r="C547">
        <v>2003</v>
      </c>
      <c r="D547" t="s">
        <v>9</v>
      </c>
      <c r="E547">
        <v>800</v>
      </c>
      <c r="F547">
        <v>0</v>
      </c>
    </row>
    <row r="548" spans="1:6" hidden="1" x14ac:dyDescent="0.3">
      <c r="A548">
        <v>547</v>
      </c>
      <c r="B548" t="s">
        <v>30</v>
      </c>
      <c r="C548">
        <v>2003</v>
      </c>
      <c r="D548" t="s">
        <v>9</v>
      </c>
      <c r="E548">
        <v>15000</v>
      </c>
      <c r="F548">
        <v>0</v>
      </c>
    </row>
    <row r="549" spans="1:6" hidden="1" x14ac:dyDescent="0.3">
      <c r="A549">
        <v>548</v>
      </c>
      <c r="B549" t="s">
        <v>30</v>
      </c>
      <c r="C549">
        <v>2003</v>
      </c>
      <c r="D549" t="s">
        <v>7</v>
      </c>
      <c r="E549">
        <v>119500</v>
      </c>
      <c r="F549">
        <v>0</v>
      </c>
    </row>
    <row r="550" spans="1:6" hidden="1" x14ac:dyDescent="0.3">
      <c r="A550">
        <v>549</v>
      </c>
      <c r="B550" t="s">
        <v>31</v>
      </c>
      <c r="C550">
        <v>2003</v>
      </c>
      <c r="D550" t="s">
        <v>9</v>
      </c>
      <c r="E550">
        <v>12000</v>
      </c>
      <c r="F550">
        <v>0</v>
      </c>
    </row>
    <row r="551" spans="1:6" hidden="1" x14ac:dyDescent="0.3">
      <c r="A551">
        <v>550</v>
      </c>
      <c r="B551" t="s">
        <v>32</v>
      </c>
      <c r="C551">
        <v>2003</v>
      </c>
      <c r="D551" t="s">
        <v>9</v>
      </c>
      <c r="E551">
        <v>30000</v>
      </c>
      <c r="F551">
        <v>0</v>
      </c>
    </row>
    <row r="552" spans="1:6" hidden="1" x14ac:dyDescent="0.3">
      <c r="A552">
        <v>551</v>
      </c>
      <c r="B552" t="s">
        <v>35</v>
      </c>
      <c r="C552">
        <v>2003</v>
      </c>
      <c r="D552" t="s">
        <v>9</v>
      </c>
      <c r="E552">
        <v>20</v>
      </c>
      <c r="F552">
        <v>0</v>
      </c>
    </row>
    <row r="553" spans="1:6" hidden="1" x14ac:dyDescent="0.3">
      <c r="A553">
        <v>552</v>
      </c>
      <c r="B553" t="s">
        <v>35</v>
      </c>
      <c r="C553">
        <v>2003</v>
      </c>
      <c r="D553" t="s">
        <v>9</v>
      </c>
      <c r="E553">
        <v>0</v>
      </c>
      <c r="F553">
        <v>0</v>
      </c>
    </row>
    <row r="554" spans="1:6" hidden="1" x14ac:dyDescent="0.3">
      <c r="A554">
        <v>553</v>
      </c>
      <c r="B554" t="s">
        <v>37</v>
      </c>
      <c r="C554">
        <v>2003</v>
      </c>
      <c r="D554" t="s">
        <v>11</v>
      </c>
      <c r="E554">
        <v>116602</v>
      </c>
      <c r="F554">
        <v>1499000</v>
      </c>
    </row>
    <row r="555" spans="1:6" hidden="1" x14ac:dyDescent="0.3">
      <c r="A555">
        <v>554</v>
      </c>
      <c r="B555" t="s">
        <v>37</v>
      </c>
      <c r="C555">
        <v>2003</v>
      </c>
      <c r="D555" t="s">
        <v>11</v>
      </c>
      <c r="E555">
        <v>3748</v>
      </c>
      <c r="F555">
        <v>146000</v>
      </c>
    </row>
    <row r="556" spans="1:6" hidden="1" x14ac:dyDescent="0.3">
      <c r="A556">
        <v>555</v>
      </c>
      <c r="B556" t="s">
        <v>37</v>
      </c>
      <c r="C556">
        <v>2003</v>
      </c>
      <c r="D556" t="s">
        <v>11</v>
      </c>
      <c r="E556">
        <v>155147</v>
      </c>
      <c r="F556">
        <v>661000</v>
      </c>
    </row>
    <row r="557" spans="1:6" hidden="1" x14ac:dyDescent="0.3">
      <c r="A557">
        <v>556</v>
      </c>
      <c r="B557" t="s">
        <v>37</v>
      </c>
      <c r="C557">
        <v>2003</v>
      </c>
      <c r="D557" t="s">
        <v>11</v>
      </c>
      <c r="E557">
        <v>1156</v>
      </c>
      <c r="F557">
        <v>73000</v>
      </c>
    </row>
    <row r="558" spans="1:6" hidden="1" x14ac:dyDescent="0.3">
      <c r="A558">
        <v>557</v>
      </c>
      <c r="B558" t="s">
        <v>37</v>
      </c>
      <c r="C558">
        <v>2003</v>
      </c>
      <c r="D558" t="s">
        <v>11</v>
      </c>
      <c r="E558">
        <v>34289</v>
      </c>
      <c r="F558">
        <v>0</v>
      </c>
    </row>
    <row r="559" spans="1:6" hidden="1" x14ac:dyDescent="0.3">
      <c r="A559">
        <v>558</v>
      </c>
      <c r="B559" t="s">
        <v>41</v>
      </c>
      <c r="C559">
        <v>2003</v>
      </c>
      <c r="D559" t="s">
        <v>9</v>
      </c>
      <c r="E559">
        <v>0</v>
      </c>
      <c r="F559">
        <v>0</v>
      </c>
    </row>
    <row r="560" spans="1:6" hidden="1" x14ac:dyDescent="0.3">
      <c r="A560">
        <v>559</v>
      </c>
      <c r="B560" t="s">
        <v>41</v>
      </c>
      <c r="C560">
        <v>2003</v>
      </c>
      <c r="D560" t="s">
        <v>9</v>
      </c>
      <c r="E560">
        <v>300</v>
      </c>
      <c r="F560">
        <v>0</v>
      </c>
    </row>
    <row r="561" spans="1:6" hidden="1" x14ac:dyDescent="0.3">
      <c r="A561">
        <v>560</v>
      </c>
      <c r="B561" t="s">
        <v>43</v>
      </c>
      <c r="C561">
        <v>2003</v>
      </c>
      <c r="D561" t="s">
        <v>9</v>
      </c>
      <c r="E561">
        <v>221774</v>
      </c>
      <c r="F561">
        <v>32000000</v>
      </c>
    </row>
    <row r="562" spans="1:6" hidden="1" x14ac:dyDescent="0.3">
      <c r="A562">
        <v>561</v>
      </c>
      <c r="B562" t="s">
        <v>43</v>
      </c>
      <c r="C562">
        <v>2003</v>
      </c>
      <c r="D562" t="s">
        <v>9</v>
      </c>
      <c r="E562">
        <v>1000</v>
      </c>
      <c r="F562">
        <v>38000000</v>
      </c>
    </row>
    <row r="563" spans="1:6" hidden="1" x14ac:dyDescent="0.3">
      <c r="A563">
        <v>562</v>
      </c>
      <c r="B563" t="s">
        <v>46</v>
      </c>
      <c r="C563">
        <v>2003</v>
      </c>
      <c r="D563" t="s">
        <v>9</v>
      </c>
      <c r="E563">
        <v>0</v>
      </c>
      <c r="F563">
        <v>0</v>
      </c>
    </row>
    <row r="564" spans="1:6" hidden="1" x14ac:dyDescent="0.3">
      <c r="A564">
        <v>563</v>
      </c>
      <c r="B564" t="s">
        <v>37</v>
      </c>
      <c r="C564">
        <v>2004</v>
      </c>
      <c r="D564" t="s">
        <v>11</v>
      </c>
      <c r="E564">
        <v>714</v>
      </c>
      <c r="F564">
        <v>1000000</v>
      </c>
    </row>
    <row r="565" spans="1:6" hidden="1" x14ac:dyDescent="0.3">
      <c r="A565">
        <v>564</v>
      </c>
      <c r="B565" t="s">
        <v>37</v>
      </c>
      <c r="C565">
        <v>2004</v>
      </c>
      <c r="D565" t="s">
        <v>11</v>
      </c>
      <c r="E565">
        <v>1058849</v>
      </c>
      <c r="F565">
        <v>0</v>
      </c>
    </row>
    <row r="566" spans="1:6" hidden="1" x14ac:dyDescent="0.3">
      <c r="A566">
        <v>565</v>
      </c>
      <c r="B566" t="s">
        <v>37</v>
      </c>
      <c r="C566">
        <v>2004</v>
      </c>
      <c r="D566" t="s">
        <v>11</v>
      </c>
      <c r="E566">
        <v>2014</v>
      </c>
      <c r="F566">
        <v>0</v>
      </c>
    </row>
    <row r="567" spans="1:6" hidden="1" x14ac:dyDescent="0.3">
      <c r="A567">
        <v>566</v>
      </c>
      <c r="B567" t="s">
        <v>37</v>
      </c>
      <c r="C567">
        <v>2004</v>
      </c>
      <c r="D567" t="s">
        <v>11</v>
      </c>
      <c r="E567">
        <v>881023</v>
      </c>
      <c r="F567">
        <v>78200000</v>
      </c>
    </row>
    <row r="568" spans="1:6" hidden="1" x14ac:dyDescent="0.3">
      <c r="A568">
        <v>567</v>
      </c>
      <c r="B568" t="s">
        <v>43</v>
      </c>
      <c r="C568">
        <v>2004</v>
      </c>
      <c r="D568" t="s">
        <v>11</v>
      </c>
      <c r="E568">
        <v>500000</v>
      </c>
      <c r="F568">
        <v>23000000</v>
      </c>
    </row>
    <row r="569" spans="1:6" x14ac:dyDescent="0.3">
      <c r="A569">
        <v>568</v>
      </c>
      <c r="B569" t="s">
        <v>42</v>
      </c>
      <c r="C569">
        <v>2004</v>
      </c>
      <c r="D569" t="s">
        <v>9</v>
      </c>
      <c r="E569">
        <v>400000</v>
      </c>
      <c r="F569">
        <v>12000000</v>
      </c>
    </row>
    <row r="570" spans="1:6" hidden="1" x14ac:dyDescent="0.3">
      <c r="A570">
        <v>569</v>
      </c>
      <c r="B570" t="s">
        <v>39</v>
      </c>
      <c r="C570">
        <v>2004</v>
      </c>
      <c r="D570" t="s">
        <v>11</v>
      </c>
      <c r="E570">
        <v>600</v>
      </c>
      <c r="F570">
        <v>0</v>
      </c>
    </row>
    <row r="571" spans="1:6" hidden="1" x14ac:dyDescent="0.3">
      <c r="A571">
        <v>570</v>
      </c>
      <c r="B571" t="s">
        <v>45</v>
      </c>
      <c r="C571">
        <v>2004</v>
      </c>
      <c r="D571" t="s">
        <v>11</v>
      </c>
      <c r="E571">
        <v>25000</v>
      </c>
      <c r="F571">
        <v>688000</v>
      </c>
    </row>
    <row r="572" spans="1:6" hidden="1" x14ac:dyDescent="0.3">
      <c r="A572">
        <v>571</v>
      </c>
      <c r="B572" t="s">
        <v>22</v>
      </c>
      <c r="C572">
        <v>2004</v>
      </c>
      <c r="D572" t="s">
        <v>11</v>
      </c>
      <c r="E572">
        <v>988139</v>
      </c>
      <c r="F572">
        <v>250000000</v>
      </c>
    </row>
    <row r="573" spans="1:6" hidden="1" x14ac:dyDescent="0.3">
      <c r="A573">
        <v>572</v>
      </c>
      <c r="B573" t="s">
        <v>33</v>
      </c>
      <c r="C573">
        <v>2004</v>
      </c>
      <c r="D573" t="s">
        <v>9</v>
      </c>
      <c r="E573">
        <v>800015</v>
      </c>
      <c r="F573">
        <v>0</v>
      </c>
    </row>
    <row r="574" spans="1:6" hidden="1" x14ac:dyDescent="0.3">
      <c r="A574">
        <v>573</v>
      </c>
      <c r="B574" t="s">
        <v>35</v>
      </c>
      <c r="C574">
        <v>2004</v>
      </c>
      <c r="D574" t="s">
        <v>14</v>
      </c>
      <c r="E574">
        <v>13148</v>
      </c>
      <c r="F574">
        <v>0</v>
      </c>
    </row>
    <row r="575" spans="1:6" hidden="1" x14ac:dyDescent="0.3">
      <c r="A575">
        <v>574</v>
      </c>
      <c r="B575" t="s">
        <v>36</v>
      </c>
      <c r="C575">
        <v>2004</v>
      </c>
      <c r="D575" t="s">
        <v>9</v>
      </c>
      <c r="E575">
        <v>7500</v>
      </c>
      <c r="F575">
        <v>0</v>
      </c>
    </row>
    <row r="576" spans="1:6" hidden="1" x14ac:dyDescent="0.3">
      <c r="A576">
        <v>575</v>
      </c>
      <c r="B576" t="s">
        <v>37</v>
      </c>
      <c r="C576">
        <v>2004</v>
      </c>
      <c r="D576" t="s">
        <v>9</v>
      </c>
      <c r="E576">
        <v>20000</v>
      </c>
      <c r="F576">
        <v>0</v>
      </c>
    </row>
    <row r="577" spans="1:6" hidden="1" x14ac:dyDescent="0.3">
      <c r="A577">
        <v>576</v>
      </c>
      <c r="B577" t="s">
        <v>37</v>
      </c>
      <c r="C577">
        <v>2004</v>
      </c>
      <c r="D577" t="s">
        <v>11</v>
      </c>
      <c r="E577">
        <v>838674</v>
      </c>
      <c r="F577">
        <v>6000000</v>
      </c>
    </row>
    <row r="578" spans="1:6" hidden="1" x14ac:dyDescent="0.3">
      <c r="A578">
        <v>577</v>
      </c>
      <c r="B578" t="s">
        <v>39</v>
      </c>
      <c r="C578">
        <v>2004</v>
      </c>
      <c r="D578" t="s">
        <v>11</v>
      </c>
      <c r="E578">
        <v>1200</v>
      </c>
      <c r="F578">
        <v>0</v>
      </c>
    </row>
    <row r="579" spans="1:6" hidden="1" x14ac:dyDescent="0.3">
      <c r="A579">
        <v>578</v>
      </c>
      <c r="B579" t="s">
        <v>39</v>
      </c>
      <c r="C579">
        <v>2004</v>
      </c>
      <c r="D579" t="s">
        <v>9</v>
      </c>
      <c r="E579">
        <v>14128</v>
      </c>
      <c r="F579">
        <v>0</v>
      </c>
    </row>
    <row r="580" spans="1:6" x14ac:dyDescent="0.3">
      <c r="A580">
        <v>579</v>
      </c>
      <c r="B580" t="s">
        <v>42</v>
      </c>
      <c r="C580">
        <v>2004</v>
      </c>
      <c r="D580" t="s">
        <v>14</v>
      </c>
      <c r="E580">
        <v>180</v>
      </c>
      <c r="F580">
        <v>0</v>
      </c>
    </row>
    <row r="581" spans="1:6" hidden="1" x14ac:dyDescent="0.3">
      <c r="A581">
        <v>580</v>
      </c>
      <c r="B581" t="s">
        <v>43</v>
      </c>
      <c r="C581">
        <v>2004</v>
      </c>
      <c r="D581" t="s">
        <v>9</v>
      </c>
      <c r="E581">
        <v>18</v>
      </c>
      <c r="F581">
        <v>8000000</v>
      </c>
    </row>
    <row r="582" spans="1:6" hidden="1" x14ac:dyDescent="0.3">
      <c r="A582">
        <v>581</v>
      </c>
      <c r="B582" t="s">
        <v>21</v>
      </c>
      <c r="C582">
        <v>2004</v>
      </c>
      <c r="D582" t="s">
        <v>9</v>
      </c>
      <c r="E582">
        <v>3740</v>
      </c>
      <c r="F582">
        <v>0</v>
      </c>
    </row>
    <row r="583" spans="1:6" hidden="1" x14ac:dyDescent="0.3">
      <c r="A583">
        <v>582</v>
      </c>
      <c r="B583" t="s">
        <v>39</v>
      </c>
      <c r="C583">
        <v>2004</v>
      </c>
      <c r="D583" t="s">
        <v>9</v>
      </c>
      <c r="E583">
        <v>14000</v>
      </c>
      <c r="F583">
        <v>0</v>
      </c>
    </row>
    <row r="584" spans="1:6" hidden="1" x14ac:dyDescent="0.3">
      <c r="A584">
        <v>583</v>
      </c>
      <c r="B584" t="s">
        <v>43</v>
      </c>
      <c r="C584">
        <v>2004</v>
      </c>
      <c r="D584" t="s">
        <v>9</v>
      </c>
      <c r="E584">
        <v>30000</v>
      </c>
      <c r="F584">
        <v>0</v>
      </c>
    </row>
    <row r="585" spans="1:6" hidden="1" x14ac:dyDescent="0.3">
      <c r="A585">
        <v>584</v>
      </c>
      <c r="B585" t="s">
        <v>36</v>
      </c>
      <c r="C585">
        <v>2004</v>
      </c>
      <c r="D585" t="s">
        <v>7</v>
      </c>
      <c r="E585">
        <v>0</v>
      </c>
      <c r="F585">
        <v>0</v>
      </c>
    </row>
    <row r="586" spans="1:6" hidden="1" x14ac:dyDescent="0.3">
      <c r="A586">
        <v>585</v>
      </c>
      <c r="B586" t="s">
        <v>22</v>
      </c>
      <c r="C586">
        <v>2004</v>
      </c>
      <c r="D586" t="s">
        <v>11</v>
      </c>
      <c r="E586">
        <v>44290</v>
      </c>
      <c r="F586">
        <v>0</v>
      </c>
    </row>
    <row r="587" spans="1:6" hidden="1" x14ac:dyDescent="0.3">
      <c r="A587">
        <v>586</v>
      </c>
      <c r="B587" t="s">
        <v>24</v>
      </c>
      <c r="C587">
        <v>2004</v>
      </c>
      <c r="D587" t="s">
        <v>11</v>
      </c>
      <c r="E587">
        <v>200</v>
      </c>
      <c r="F587">
        <v>0</v>
      </c>
    </row>
    <row r="588" spans="1:6" hidden="1" x14ac:dyDescent="0.3">
      <c r="A588">
        <v>587</v>
      </c>
      <c r="B588" t="s">
        <v>37</v>
      </c>
      <c r="C588">
        <v>2004</v>
      </c>
      <c r="D588" t="s">
        <v>11</v>
      </c>
      <c r="E588">
        <v>385012</v>
      </c>
      <c r="F588">
        <v>19667000</v>
      </c>
    </row>
    <row r="589" spans="1:6" hidden="1" x14ac:dyDescent="0.3">
      <c r="A589">
        <v>588</v>
      </c>
      <c r="B589" t="s">
        <v>41</v>
      </c>
      <c r="C589">
        <v>2004</v>
      </c>
      <c r="D589" t="s">
        <v>7</v>
      </c>
      <c r="E589">
        <v>200000</v>
      </c>
      <c r="F589">
        <v>0</v>
      </c>
    </row>
    <row r="590" spans="1:6" hidden="1" x14ac:dyDescent="0.3">
      <c r="A590">
        <v>589</v>
      </c>
      <c r="B590" t="s">
        <v>29</v>
      </c>
      <c r="C590">
        <v>2004</v>
      </c>
      <c r="D590" t="s">
        <v>14</v>
      </c>
      <c r="E590">
        <v>13465</v>
      </c>
      <c r="F590">
        <v>400000000</v>
      </c>
    </row>
    <row r="591" spans="1:6" hidden="1" x14ac:dyDescent="0.3">
      <c r="A591">
        <v>590</v>
      </c>
      <c r="B591" t="s">
        <v>21</v>
      </c>
      <c r="C591">
        <v>2004</v>
      </c>
      <c r="D591" t="s">
        <v>9</v>
      </c>
      <c r="E591">
        <v>350</v>
      </c>
      <c r="F591">
        <v>3600000</v>
      </c>
    </row>
    <row r="592" spans="1:6" hidden="1" x14ac:dyDescent="0.3">
      <c r="A592">
        <v>591</v>
      </c>
      <c r="B592" t="s">
        <v>45</v>
      </c>
      <c r="C592">
        <v>2004</v>
      </c>
      <c r="D592" t="s">
        <v>14</v>
      </c>
      <c r="E592">
        <v>15700</v>
      </c>
      <c r="F592">
        <v>500000000</v>
      </c>
    </row>
    <row r="593" spans="1:6" hidden="1" x14ac:dyDescent="0.3">
      <c r="A593">
        <v>592</v>
      </c>
      <c r="B593" t="s">
        <v>31</v>
      </c>
      <c r="C593">
        <v>2004</v>
      </c>
      <c r="D593" t="s">
        <v>9</v>
      </c>
      <c r="E593">
        <v>5000</v>
      </c>
      <c r="F593">
        <v>0</v>
      </c>
    </row>
    <row r="594" spans="1:6" hidden="1" x14ac:dyDescent="0.3">
      <c r="A594">
        <v>593</v>
      </c>
      <c r="B594" t="s">
        <v>31</v>
      </c>
      <c r="C594">
        <v>2004</v>
      </c>
      <c r="D594" t="s">
        <v>9</v>
      </c>
      <c r="E594">
        <v>20000</v>
      </c>
      <c r="F594">
        <v>0</v>
      </c>
    </row>
    <row r="595" spans="1:6" hidden="1" x14ac:dyDescent="0.3">
      <c r="A595">
        <v>594</v>
      </c>
      <c r="B595" t="s">
        <v>35</v>
      </c>
      <c r="C595">
        <v>2004</v>
      </c>
      <c r="D595" t="s">
        <v>9</v>
      </c>
      <c r="E595">
        <v>0</v>
      </c>
      <c r="F595">
        <v>0</v>
      </c>
    </row>
    <row r="596" spans="1:6" hidden="1" x14ac:dyDescent="0.3">
      <c r="A596">
        <v>595</v>
      </c>
      <c r="B596" t="s">
        <v>35</v>
      </c>
      <c r="C596">
        <v>2004</v>
      </c>
      <c r="D596" t="s">
        <v>9</v>
      </c>
      <c r="E596">
        <v>0</v>
      </c>
      <c r="F596">
        <v>0</v>
      </c>
    </row>
    <row r="597" spans="1:6" hidden="1" x14ac:dyDescent="0.3">
      <c r="A597">
        <v>596</v>
      </c>
      <c r="B597" t="s">
        <v>37</v>
      </c>
      <c r="C597">
        <v>2004</v>
      </c>
      <c r="D597" t="s">
        <v>11</v>
      </c>
      <c r="E597">
        <v>4504</v>
      </c>
      <c r="F597">
        <v>0</v>
      </c>
    </row>
    <row r="598" spans="1:6" hidden="1" x14ac:dyDescent="0.3">
      <c r="A598">
        <v>597</v>
      </c>
      <c r="B598" t="s">
        <v>37</v>
      </c>
      <c r="C598">
        <v>2004</v>
      </c>
      <c r="D598" t="s">
        <v>9</v>
      </c>
      <c r="E598">
        <v>1500</v>
      </c>
      <c r="F598">
        <v>0</v>
      </c>
    </row>
    <row r="599" spans="1:6" hidden="1" x14ac:dyDescent="0.3">
      <c r="A599">
        <v>598</v>
      </c>
      <c r="B599" t="s">
        <v>37</v>
      </c>
      <c r="C599">
        <v>2004</v>
      </c>
      <c r="D599" t="s">
        <v>9</v>
      </c>
      <c r="E599">
        <v>194</v>
      </c>
      <c r="F599">
        <v>0</v>
      </c>
    </row>
    <row r="600" spans="1:6" hidden="1" x14ac:dyDescent="0.3">
      <c r="A600">
        <v>599</v>
      </c>
      <c r="B600" t="s">
        <v>37</v>
      </c>
      <c r="C600">
        <v>2004</v>
      </c>
      <c r="D600" t="s">
        <v>11</v>
      </c>
      <c r="E600">
        <v>70488</v>
      </c>
      <c r="F600">
        <v>34000000</v>
      </c>
    </row>
    <row r="601" spans="1:6" hidden="1" x14ac:dyDescent="0.3">
      <c r="A601">
        <v>600</v>
      </c>
      <c r="B601" t="s">
        <v>39</v>
      </c>
      <c r="C601">
        <v>2004</v>
      </c>
      <c r="D601" t="s">
        <v>11</v>
      </c>
      <c r="E601">
        <v>600</v>
      </c>
      <c r="F601">
        <v>0</v>
      </c>
    </row>
    <row r="602" spans="1:6" hidden="1" x14ac:dyDescent="0.3">
      <c r="A602">
        <v>601</v>
      </c>
      <c r="B602" t="s">
        <v>41</v>
      </c>
      <c r="C602">
        <v>2004</v>
      </c>
      <c r="D602" t="s">
        <v>14</v>
      </c>
      <c r="E602">
        <v>105083</v>
      </c>
      <c r="F602">
        <v>100000000</v>
      </c>
    </row>
    <row r="603" spans="1:6" hidden="1" x14ac:dyDescent="0.3">
      <c r="A603">
        <v>602</v>
      </c>
      <c r="B603" t="s">
        <v>41</v>
      </c>
      <c r="C603">
        <v>2004</v>
      </c>
      <c r="D603" t="s">
        <v>9</v>
      </c>
      <c r="E603">
        <v>1500</v>
      </c>
      <c r="F603">
        <v>0</v>
      </c>
    </row>
    <row r="604" spans="1:6" hidden="1" x14ac:dyDescent="0.3">
      <c r="A604">
        <v>603</v>
      </c>
      <c r="B604" t="s">
        <v>43</v>
      </c>
      <c r="C604">
        <v>2004</v>
      </c>
      <c r="D604" t="s">
        <v>9</v>
      </c>
      <c r="E604">
        <v>5000</v>
      </c>
      <c r="F604">
        <v>0</v>
      </c>
    </row>
    <row r="605" spans="1:6" hidden="1" x14ac:dyDescent="0.3">
      <c r="A605">
        <v>604</v>
      </c>
      <c r="B605" t="s">
        <v>43</v>
      </c>
      <c r="C605">
        <v>2004</v>
      </c>
      <c r="D605" t="s">
        <v>11</v>
      </c>
      <c r="E605">
        <v>905</v>
      </c>
      <c r="F605">
        <v>7000000</v>
      </c>
    </row>
    <row r="606" spans="1:6" hidden="1" x14ac:dyDescent="0.3">
      <c r="A606">
        <v>605</v>
      </c>
      <c r="B606" t="s">
        <v>38</v>
      </c>
      <c r="C606">
        <v>2004</v>
      </c>
      <c r="D606" t="s">
        <v>9</v>
      </c>
      <c r="E606">
        <v>15000</v>
      </c>
      <c r="F606">
        <v>0</v>
      </c>
    </row>
    <row r="607" spans="1:6" hidden="1" x14ac:dyDescent="0.3">
      <c r="A607">
        <v>606</v>
      </c>
      <c r="B607" t="s">
        <v>38</v>
      </c>
      <c r="C607">
        <v>2004</v>
      </c>
      <c r="D607" t="s">
        <v>7</v>
      </c>
      <c r="E607">
        <v>15000000</v>
      </c>
      <c r="F607">
        <v>0</v>
      </c>
    </row>
    <row r="608" spans="1:6" hidden="1" x14ac:dyDescent="0.3">
      <c r="A608">
        <v>607</v>
      </c>
      <c r="B608" t="s">
        <v>39</v>
      </c>
      <c r="C608">
        <v>2005</v>
      </c>
      <c r="D608" t="s">
        <v>9</v>
      </c>
      <c r="E608">
        <v>3400</v>
      </c>
      <c r="F608">
        <v>200000000</v>
      </c>
    </row>
    <row r="609" spans="1:6" hidden="1" x14ac:dyDescent="0.3">
      <c r="A609">
        <v>608</v>
      </c>
      <c r="B609" t="s">
        <v>35</v>
      </c>
      <c r="C609">
        <v>2005</v>
      </c>
      <c r="D609" t="s">
        <v>9</v>
      </c>
      <c r="E609">
        <v>7000450</v>
      </c>
      <c r="F609">
        <v>30000000</v>
      </c>
    </row>
    <row r="610" spans="1:6" hidden="1" x14ac:dyDescent="0.3">
      <c r="A610">
        <v>609</v>
      </c>
      <c r="B610" t="s">
        <v>39</v>
      </c>
      <c r="C610">
        <v>2005</v>
      </c>
      <c r="D610" t="s">
        <v>9</v>
      </c>
      <c r="E610">
        <v>600</v>
      </c>
      <c r="F610">
        <v>0</v>
      </c>
    </row>
    <row r="611" spans="1:6" hidden="1" x14ac:dyDescent="0.3">
      <c r="A611">
        <v>610</v>
      </c>
      <c r="B611" t="s">
        <v>40</v>
      </c>
      <c r="C611">
        <v>2005</v>
      </c>
      <c r="D611" t="s">
        <v>14</v>
      </c>
      <c r="E611">
        <v>751</v>
      </c>
      <c r="F611">
        <v>0</v>
      </c>
    </row>
    <row r="612" spans="1:6" hidden="1" x14ac:dyDescent="0.3">
      <c r="A612">
        <v>611</v>
      </c>
      <c r="B612" t="s">
        <v>35</v>
      </c>
      <c r="C612">
        <v>2005</v>
      </c>
      <c r="D612" t="s">
        <v>9</v>
      </c>
      <c r="E612">
        <v>5000</v>
      </c>
      <c r="F612">
        <v>0</v>
      </c>
    </row>
    <row r="613" spans="1:6" hidden="1" x14ac:dyDescent="0.3">
      <c r="A613">
        <v>612</v>
      </c>
      <c r="B613" t="s">
        <v>35</v>
      </c>
      <c r="C613">
        <v>2005</v>
      </c>
      <c r="D613" t="s">
        <v>11</v>
      </c>
      <c r="E613">
        <v>0</v>
      </c>
      <c r="F613">
        <v>0</v>
      </c>
    </row>
    <row r="614" spans="1:6" hidden="1" x14ac:dyDescent="0.3">
      <c r="A614">
        <v>613</v>
      </c>
      <c r="B614" t="s">
        <v>39</v>
      </c>
      <c r="C614">
        <v>2005</v>
      </c>
      <c r="D614" t="s">
        <v>11</v>
      </c>
      <c r="E614">
        <v>0</v>
      </c>
      <c r="F614">
        <v>0</v>
      </c>
    </row>
    <row r="615" spans="1:6" hidden="1" x14ac:dyDescent="0.3">
      <c r="A615">
        <v>614</v>
      </c>
      <c r="B615" t="s">
        <v>22</v>
      </c>
      <c r="C615">
        <v>2005</v>
      </c>
      <c r="D615" t="s">
        <v>9</v>
      </c>
      <c r="E615">
        <v>58717</v>
      </c>
      <c r="F615">
        <v>0</v>
      </c>
    </row>
    <row r="616" spans="1:6" hidden="1" x14ac:dyDescent="0.3">
      <c r="A616">
        <v>615</v>
      </c>
      <c r="B616" t="s">
        <v>22</v>
      </c>
      <c r="C616">
        <v>2005</v>
      </c>
      <c r="D616" t="s">
        <v>9</v>
      </c>
      <c r="E616">
        <v>900</v>
      </c>
      <c r="F616">
        <v>0</v>
      </c>
    </row>
    <row r="617" spans="1:6" hidden="1" x14ac:dyDescent="0.3">
      <c r="A617">
        <v>616</v>
      </c>
      <c r="B617" t="s">
        <v>22</v>
      </c>
      <c r="C617">
        <v>2005</v>
      </c>
      <c r="D617" t="s">
        <v>11</v>
      </c>
      <c r="E617">
        <v>7985</v>
      </c>
      <c r="F617">
        <v>0</v>
      </c>
    </row>
    <row r="618" spans="1:6" hidden="1" x14ac:dyDescent="0.3">
      <c r="A618">
        <v>617</v>
      </c>
      <c r="B618" t="s">
        <v>30</v>
      </c>
      <c r="C618">
        <v>2005</v>
      </c>
      <c r="D618" t="s">
        <v>9</v>
      </c>
      <c r="E618">
        <v>18825</v>
      </c>
      <c r="F618">
        <v>0</v>
      </c>
    </row>
    <row r="619" spans="1:6" hidden="1" x14ac:dyDescent="0.3">
      <c r="A619">
        <v>618</v>
      </c>
      <c r="B619" t="s">
        <v>35</v>
      </c>
      <c r="C619">
        <v>2005</v>
      </c>
      <c r="D619" t="s">
        <v>9</v>
      </c>
      <c r="E619">
        <v>3500</v>
      </c>
      <c r="F619">
        <v>0</v>
      </c>
    </row>
    <row r="620" spans="1:6" hidden="1" x14ac:dyDescent="0.3">
      <c r="A620">
        <v>619</v>
      </c>
      <c r="B620" t="s">
        <v>37</v>
      </c>
      <c r="C620">
        <v>2005</v>
      </c>
      <c r="D620" t="s">
        <v>11</v>
      </c>
      <c r="E620">
        <v>11</v>
      </c>
      <c r="F620">
        <v>0</v>
      </c>
    </row>
    <row r="621" spans="1:6" hidden="1" x14ac:dyDescent="0.3">
      <c r="A621">
        <v>620</v>
      </c>
      <c r="B621" t="s">
        <v>41</v>
      </c>
      <c r="C621">
        <v>2005</v>
      </c>
      <c r="D621" t="s">
        <v>9</v>
      </c>
      <c r="E621">
        <v>5020</v>
      </c>
      <c r="F621">
        <v>20000</v>
      </c>
    </row>
    <row r="622" spans="1:6" hidden="1" x14ac:dyDescent="0.3">
      <c r="A622">
        <v>621</v>
      </c>
      <c r="B622" t="s">
        <v>46</v>
      </c>
      <c r="C622">
        <v>2005</v>
      </c>
      <c r="D622" t="s">
        <v>9</v>
      </c>
      <c r="E622">
        <v>715</v>
      </c>
      <c r="F622">
        <v>0</v>
      </c>
    </row>
    <row r="623" spans="1:6" hidden="1" x14ac:dyDescent="0.3">
      <c r="A623">
        <v>622</v>
      </c>
      <c r="B623" t="s">
        <v>38</v>
      </c>
      <c r="C623">
        <v>2005</v>
      </c>
      <c r="D623" t="s">
        <v>14</v>
      </c>
      <c r="E623">
        <v>58</v>
      </c>
      <c r="F623">
        <v>20000000</v>
      </c>
    </row>
    <row r="624" spans="1:6" hidden="1" x14ac:dyDescent="0.3">
      <c r="A624">
        <v>623</v>
      </c>
      <c r="B624" t="s">
        <v>6</v>
      </c>
      <c r="C624">
        <v>2005</v>
      </c>
      <c r="D624" t="s">
        <v>14</v>
      </c>
      <c r="E624">
        <v>0</v>
      </c>
      <c r="F624">
        <v>50000</v>
      </c>
    </row>
    <row r="625" spans="1:6" hidden="1" x14ac:dyDescent="0.3">
      <c r="A625">
        <v>624</v>
      </c>
      <c r="B625" t="s">
        <v>6</v>
      </c>
      <c r="C625">
        <v>2005</v>
      </c>
      <c r="D625" t="s">
        <v>14</v>
      </c>
      <c r="E625">
        <v>501</v>
      </c>
      <c r="F625">
        <v>0</v>
      </c>
    </row>
    <row r="626" spans="1:6" hidden="1" x14ac:dyDescent="0.3">
      <c r="A626">
        <v>625</v>
      </c>
      <c r="B626" t="s">
        <v>6</v>
      </c>
      <c r="C626">
        <v>2005</v>
      </c>
      <c r="D626" t="s">
        <v>9</v>
      </c>
      <c r="E626">
        <v>500</v>
      </c>
      <c r="F626">
        <v>0</v>
      </c>
    </row>
    <row r="627" spans="1:6" hidden="1" x14ac:dyDescent="0.3">
      <c r="A627">
        <v>626</v>
      </c>
      <c r="B627" t="s">
        <v>6</v>
      </c>
      <c r="C627">
        <v>2005</v>
      </c>
      <c r="D627" t="s">
        <v>9</v>
      </c>
      <c r="E627">
        <v>5040</v>
      </c>
      <c r="F627">
        <v>0</v>
      </c>
    </row>
    <row r="628" spans="1:6" hidden="1" x14ac:dyDescent="0.3">
      <c r="A628">
        <v>627</v>
      </c>
      <c r="B628" t="s">
        <v>6</v>
      </c>
      <c r="C628">
        <v>2005</v>
      </c>
      <c r="D628" t="s">
        <v>9</v>
      </c>
      <c r="E628">
        <v>0</v>
      </c>
      <c r="F628">
        <v>0</v>
      </c>
    </row>
    <row r="629" spans="1:6" hidden="1" x14ac:dyDescent="0.3">
      <c r="A629">
        <v>628</v>
      </c>
      <c r="B629" t="s">
        <v>6</v>
      </c>
      <c r="C629">
        <v>2005</v>
      </c>
      <c r="D629" t="s">
        <v>9</v>
      </c>
      <c r="E629">
        <v>0</v>
      </c>
      <c r="F629">
        <v>0</v>
      </c>
    </row>
    <row r="630" spans="1:6" hidden="1" x14ac:dyDescent="0.3">
      <c r="A630">
        <v>629</v>
      </c>
      <c r="B630" t="s">
        <v>6</v>
      </c>
      <c r="C630">
        <v>2005</v>
      </c>
      <c r="D630" t="s">
        <v>9</v>
      </c>
      <c r="E630">
        <v>150</v>
      </c>
      <c r="F630">
        <v>0</v>
      </c>
    </row>
    <row r="631" spans="1:6" hidden="1" x14ac:dyDescent="0.3">
      <c r="A631">
        <v>630</v>
      </c>
      <c r="B631" t="s">
        <v>6</v>
      </c>
      <c r="C631">
        <v>2005</v>
      </c>
      <c r="D631" t="s">
        <v>9</v>
      </c>
      <c r="E631">
        <v>125</v>
      </c>
      <c r="F631">
        <v>0</v>
      </c>
    </row>
    <row r="632" spans="1:6" hidden="1" x14ac:dyDescent="0.3">
      <c r="A632">
        <v>631</v>
      </c>
      <c r="B632" t="s">
        <v>6</v>
      </c>
      <c r="C632">
        <v>2006</v>
      </c>
      <c r="D632" t="s">
        <v>11</v>
      </c>
      <c r="E632">
        <v>0</v>
      </c>
      <c r="F632">
        <v>0</v>
      </c>
    </row>
    <row r="633" spans="1:6" hidden="1" x14ac:dyDescent="0.3">
      <c r="A633">
        <v>632</v>
      </c>
      <c r="B633" t="s">
        <v>6</v>
      </c>
      <c r="C633">
        <v>2006</v>
      </c>
      <c r="D633" t="s">
        <v>14</v>
      </c>
      <c r="E633">
        <v>935</v>
      </c>
      <c r="F633">
        <v>0</v>
      </c>
    </row>
    <row r="634" spans="1:6" hidden="1" x14ac:dyDescent="0.3">
      <c r="A634">
        <v>633</v>
      </c>
      <c r="B634" t="s">
        <v>6</v>
      </c>
      <c r="C634">
        <v>2006</v>
      </c>
      <c r="D634" t="s">
        <v>9</v>
      </c>
      <c r="E634">
        <v>5025</v>
      </c>
      <c r="F634">
        <v>0</v>
      </c>
    </row>
    <row r="635" spans="1:6" hidden="1" x14ac:dyDescent="0.3">
      <c r="A635">
        <v>634</v>
      </c>
      <c r="B635" t="s">
        <v>6</v>
      </c>
      <c r="C635">
        <v>2006</v>
      </c>
      <c r="D635" t="s">
        <v>9</v>
      </c>
      <c r="E635">
        <v>20</v>
      </c>
      <c r="F635">
        <v>0</v>
      </c>
    </row>
    <row r="636" spans="1:6" hidden="1" x14ac:dyDescent="0.3">
      <c r="A636">
        <v>635</v>
      </c>
      <c r="B636" t="s">
        <v>6</v>
      </c>
      <c r="C636">
        <v>2006</v>
      </c>
      <c r="D636" t="s">
        <v>9</v>
      </c>
      <c r="E636">
        <v>17580</v>
      </c>
      <c r="F636">
        <v>0</v>
      </c>
    </row>
    <row r="637" spans="1:6" hidden="1" x14ac:dyDescent="0.3">
      <c r="A637">
        <v>636</v>
      </c>
      <c r="B637" t="s">
        <v>6</v>
      </c>
      <c r="C637">
        <v>2006</v>
      </c>
      <c r="D637" t="s">
        <v>9</v>
      </c>
      <c r="E637">
        <v>615</v>
      </c>
      <c r="F637">
        <v>0</v>
      </c>
    </row>
    <row r="638" spans="1:6" hidden="1" x14ac:dyDescent="0.3">
      <c r="A638">
        <v>637</v>
      </c>
      <c r="B638" t="s">
        <v>6</v>
      </c>
      <c r="C638">
        <v>2006</v>
      </c>
      <c r="D638" t="s">
        <v>9</v>
      </c>
      <c r="E638">
        <v>1735</v>
      </c>
      <c r="F638">
        <v>0</v>
      </c>
    </row>
    <row r="639" spans="1:6" hidden="1" x14ac:dyDescent="0.3">
      <c r="A639">
        <v>638</v>
      </c>
      <c r="B639" t="s">
        <v>6</v>
      </c>
      <c r="C639">
        <v>2006</v>
      </c>
      <c r="D639" t="s">
        <v>9</v>
      </c>
      <c r="E639">
        <v>0</v>
      </c>
      <c r="F639">
        <v>0</v>
      </c>
    </row>
    <row r="640" spans="1:6" hidden="1" x14ac:dyDescent="0.3">
      <c r="A640">
        <v>639</v>
      </c>
      <c r="B640" t="s">
        <v>6</v>
      </c>
      <c r="C640">
        <v>2006</v>
      </c>
      <c r="D640" t="s">
        <v>9</v>
      </c>
      <c r="E640">
        <v>8000</v>
      </c>
      <c r="F640">
        <v>0</v>
      </c>
    </row>
    <row r="641" spans="1:6" hidden="1" x14ac:dyDescent="0.3">
      <c r="A641">
        <v>640</v>
      </c>
      <c r="B641" t="s">
        <v>6</v>
      </c>
      <c r="C641">
        <v>2007</v>
      </c>
      <c r="D641" t="s">
        <v>9</v>
      </c>
      <c r="E641">
        <v>20000</v>
      </c>
      <c r="F641">
        <v>0</v>
      </c>
    </row>
    <row r="642" spans="1:6" hidden="1" x14ac:dyDescent="0.3">
      <c r="A642">
        <v>641</v>
      </c>
      <c r="B642" t="s">
        <v>23</v>
      </c>
      <c r="C642">
        <v>2005</v>
      </c>
      <c r="D642" t="s">
        <v>11</v>
      </c>
      <c r="E642">
        <v>90000</v>
      </c>
      <c r="F642">
        <v>15500000</v>
      </c>
    </row>
    <row r="643" spans="1:6" hidden="1" x14ac:dyDescent="0.3">
      <c r="A643">
        <v>642</v>
      </c>
      <c r="B643" t="s">
        <v>27</v>
      </c>
      <c r="C643">
        <v>2005</v>
      </c>
      <c r="D643" t="s">
        <v>11</v>
      </c>
      <c r="E643">
        <v>2192</v>
      </c>
      <c r="F643">
        <v>0</v>
      </c>
    </row>
    <row r="644" spans="1:6" hidden="1" x14ac:dyDescent="0.3">
      <c r="A644">
        <v>643</v>
      </c>
      <c r="B644" t="s">
        <v>15</v>
      </c>
      <c r="C644">
        <v>2005</v>
      </c>
      <c r="D644" t="s">
        <v>9</v>
      </c>
      <c r="E644">
        <v>200</v>
      </c>
      <c r="F644">
        <v>247000000</v>
      </c>
    </row>
    <row r="645" spans="1:6" hidden="1" x14ac:dyDescent="0.3">
      <c r="A645">
        <v>644</v>
      </c>
      <c r="B645" t="s">
        <v>16</v>
      </c>
      <c r="C645">
        <v>2005</v>
      </c>
      <c r="D645" t="s">
        <v>9</v>
      </c>
      <c r="E645">
        <v>20000055</v>
      </c>
      <c r="F645">
        <v>3330000000</v>
      </c>
    </row>
    <row r="646" spans="1:6" hidden="1" x14ac:dyDescent="0.3">
      <c r="A646">
        <v>645</v>
      </c>
      <c r="B646" t="s">
        <v>19</v>
      </c>
      <c r="C646">
        <v>2005</v>
      </c>
      <c r="D646" t="s">
        <v>11</v>
      </c>
      <c r="E646">
        <v>475314</v>
      </c>
      <c r="F646">
        <v>988300000</v>
      </c>
    </row>
    <row r="647" spans="1:6" hidden="1" x14ac:dyDescent="0.3">
      <c r="A647">
        <v>646</v>
      </c>
      <c r="B647" t="s">
        <v>27</v>
      </c>
      <c r="C647">
        <v>2005</v>
      </c>
      <c r="D647" t="s">
        <v>11</v>
      </c>
      <c r="E647">
        <v>15036</v>
      </c>
      <c r="F647">
        <v>50000000</v>
      </c>
    </row>
    <row r="648" spans="1:6" hidden="1" x14ac:dyDescent="0.3">
      <c r="A648">
        <v>647</v>
      </c>
      <c r="B648" t="s">
        <v>16</v>
      </c>
      <c r="C648">
        <v>2005</v>
      </c>
      <c r="D648" t="s">
        <v>14</v>
      </c>
      <c r="E648">
        <v>156622</v>
      </c>
      <c r="F648">
        <v>1000000000</v>
      </c>
    </row>
    <row r="649" spans="1:6" hidden="1" x14ac:dyDescent="0.3">
      <c r="A649">
        <v>648</v>
      </c>
      <c r="B649" t="s">
        <v>15</v>
      </c>
      <c r="C649">
        <v>2005</v>
      </c>
      <c r="D649" t="s">
        <v>9</v>
      </c>
      <c r="E649">
        <v>12000</v>
      </c>
      <c r="F649">
        <v>0</v>
      </c>
    </row>
    <row r="650" spans="1:6" hidden="1" x14ac:dyDescent="0.3">
      <c r="A650">
        <v>649</v>
      </c>
      <c r="B650" t="s">
        <v>44</v>
      </c>
      <c r="C650">
        <v>2005</v>
      </c>
      <c r="D650" t="s">
        <v>9</v>
      </c>
      <c r="E650">
        <v>855</v>
      </c>
      <c r="F650">
        <v>0</v>
      </c>
    </row>
    <row r="651" spans="1:6" hidden="1" x14ac:dyDescent="0.3">
      <c r="A651">
        <v>650</v>
      </c>
      <c r="B651" t="s">
        <v>23</v>
      </c>
      <c r="C651">
        <v>2005</v>
      </c>
      <c r="D651" t="s">
        <v>9</v>
      </c>
      <c r="E651">
        <v>800</v>
      </c>
      <c r="F651">
        <v>0</v>
      </c>
    </row>
    <row r="652" spans="1:6" hidden="1" x14ac:dyDescent="0.3">
      <c r="A652">
        <v>651</v>
      </c>
      <c r="B652" t="s">
        <v>23</v>
      </c>
      <c r="C652">
        <v>2005</v>
      </c>
      <c r="D652" t="s">
        <v>11</v>
      </c>
      <c r="E652">
        <v>2869</v>
      </c>
      <c r="F652">
        <v>100000000</v>
      </c>
    </row>
    <row r="653" spans="1:6" hidden="1" x14ac:dyDescent="0.3">
      <c r="A653">
        <v>652</v>
      </c>
      <c r="B653" t="s">
        <v>27</v>
      </c>
      <c r="C653">
        <v>2005</v>
      </c>
      <c r="D653" t="s">
        <v>9</v>
      </c>
      <c r="E653">
        <v>11500</v>
      </c>
      <c r="F653">
        <v>0</v>
      </c>
    </row>
    <row r="654" spans="1:6" hidden="1" x14ac:dyDescent="0.3">
      <c r="A654">
        <v>653</v>
      </c>
      <c r="B654" t="s">
        <v>27</v>
      </c>
      <c r="C654">
        <v>2005</v>
      </c>
      <c r="D654" t="s">
        <v>9</v>
      </c>
      <c r="E654">
        <v>83</v>
      </c>
      <c r="F654">
        <v>0</v>
      </c>
    </row>
    <row r="655" spans="1:6" hidden="1" x14ac:dyDescent="0.3">
      <c r="A655">
        <v>654</v>
      </c>
      <c r="B655" t="s">
        <v>20</v>
      </c>
      <c r="C655">
        <v>2005</v>
      </c>
      <c r="D655" t="s">
        <v>9</v>
      </c>
      <c r="E655">
        <v>12211</v>
      </c>
      <c r="F655">
        <v>0</v>
      </c>
    </row>
    <row r="656" spans="1:6" hidden="1" x14ac:dyDescent="0.3">
      <c r="A656">
        <v>655</v>
      </c>
      <c r="B656" t="s">
        <v>20</v>
      </c>
      <c r="C656">
        <v>2005</v>
      </c>
      <c r="D656" t="s">
        <v>9</v>
      </c>
      <c r="E656">
        <v>7811</v>
      </c>
      <c r="F656">
        <v>0</v>
      </c>
    </row>
    <row r="657" spans="1:6" hidden="1" x14ac:dyDescent="0.3">
      <c r="A657">
        <v>656</v>
      </c>
      <c r="B657" t="s">
        <v>16</v>
      </c>
      <c r="C657">
        <v>2005</v>
      </c>
      <c r="D657" t="s">
        <v>9</v>
      </c>
      <c r="E657">
        <v>800000</v>
      </c>
      <c r="F657">
        <v>0</v>
      </c>
    </row>
    <row r="658" spans="1:6" hidden="1" x14ac:dyDescent="0.3">
      <c r="A658">
        <v>657</v>
      </c>
      <c r="B658" t="s">
        <v>16</v>
      </c>
      <c r="C658">
        <v>2005</v>
      </c>
      <c r="D658" t="s">
        <v>9</v>
      </c>
      <c r="E658">
        <v>12</v>
      </c>
      <c r="F658">
        <v>0</v>
      </c>
    </row>
    <row r="659" spans="1:6" hidden="1" x14ac:dyDescent="0.3">
      <c r="A659">
        <v>658</v>
      </c>
      <c r="B659" t="s">
        <v>16</v>
      </c>
      <c r="C659">
        <v>2005</v>
      </c>
      <c r="D659" t="s">
        <v>9</v>
      </c>
      <c r="E659">
        <v>1908000</v>
      </c>
      <c r="F659">
        <v>0</v>
      </c>
    </row>
    <row r="660" spans="1:6" hidden="1" x14ac:dyDescent="0.3">
      <c r="A660">
        <v>659</v>
      </c>
      <c r="B660" t="s">
        <v>16</v>
      </c>
      <c r="C660">
        <v>2005</v>
      </c>
      <c r="D660" t="s">
        <v>9</v>
      </c>
      <c r="E660">
        <v>2504</v>
      </c>
      <c r="F660">
        <v>0</v>
      </c>
    </row>
    <row r="661" spans="1:6" hidden="1" x14ac:dyDescent="0.3">
      <c r="A661">
        <v>660</v>
      </c>
      <c r="B661" t="s">
        <v>16</v>
      </c>
      <c r="C661">
        <v>2005</v>
      </c>
      <c r="D661" t="s">
        <v>9</v>
      </c>
      <c r="E661">
        <v>0</v>
      </c>
      <c r="F661">
        <v>0</v>
      </c>
    </row>
    <row r="662" spans="1:6" hidden="1" x14ac:dyDescent="0.3">
      <c r="A662">
        <v>661</v>
      </c>
      <c r="B662" t="s">
        <v>16</v>
      </c>
      <c r="C662">
        <v>2005</v>
      </c>
      <c r="D662" t="s">
        <v>9</v>
      </c>
      <c r="E662">
        <v>5000</v>
      </c>
      <c r="F662">
        <v>23000000</v>
      </c>
    </row>
    <row r="663" spans="1:6" hidden="1" x14ac:dyDescent="0.3">
      <c r="A663">
        <v>662</v>
      </c>
      <c r="B663" t="s">
        <v>16</v>
      </c>
      <c r="C663">
        <v>2005</v>
      </c>
      <c r="D663" t="s">
        <v>9</v>
      </c>
      <c r="E663">
        <v>100000</v>
      </c>
      <c r="F663">
        <v>0</v>
      </c>
    </row>
    <row r="664" spans="1:6" hidden="1" x14ac:dyDescent="0.3">
      <c r="A664">
        <v>663</v>
      </c>
      <c r="B664" t="s">
        <v>16</v>
      </c>
      <c r="C664">
        <v>2005</v>
      </c>
      <c r="D664" t="s">
        <v>9</v>
      </c>
      <c r="E664">
        <v>550000</v>
      </c>
      <c r="F664">
        <v>420000000</v>
      </c>
    </row>
    <row r="665" spans="1:6" hidden="1" x14ac:dyDescent="0.3">
      <c r="A665">
        <v>664</v>
      </c>
      <c r="B665" t="s">
        <v>16</v>
      </c>
      <c r="C665">
        <v>2005</v>
      </c>
      <c r="D665" t="s">
        <v>9</v>
      </c>
      <c r="E665">
        <v>0</v>
      </c>
      <c r="F665">
        <v>0</v>
      </c>
    </row>
    <row r="666" spans="1:6" hidden="1" x14ac:dyDescent="0.3">
      <c r="A666">
        <v>665</v>
      </c>
      <c r="B666" t="s">
        <v>10</v>
      </c>
      <c r="C666">
        <v>2005</v>
      </c>
      <c r="D666" t="s">
        <v>9</v>
      </c>
      <c r="E666">
        <v>3100</v>
      </c>
      <c r="F666">
        <v>0</v>
      </c>
    </row>
    <row r="667" spans="1:6" hidden="1" x14ac:dyDescent="0.3">
      <c r="A667">
        <v>666</v>
      </c>
      <c r="B667" t="s">
        <v>26</v>
      </c>
      <c r="C667">
        <v>2005</v>
      </c>
      <c r="D667" t="s">
        <v>9</v>
      </c>
      <c r="E667">
        <v>0</v>
      </c>
      <c r="F667">
        <v>0</v>
      </c>
    </row>
    <row r="668" spans="1:6" hidden="1" x14ac:dyDescent="0.3">
      <c r="A668">
        <v>667</v>
      </c>
      <c r="B668" t="s">
        <v>23</v>
      </c>
      <c r="C668">
        <v>2005</v>
      </c>
      <c r="D668" t="s">
        <v>11</v>
      </c>
      <c r="E668">
        <v>11000</v>
      </c>
      <c r="F668">
        <v>0</v>
      </c>
    </row>
    <row r="669" spans="1:6" hidden="1" x14ac:dyDescent="0.3">
      <c r="A669">
        <v>668</v>
      </c>
      <c r="B669" t="s">
        <v>27</v>
      </c>
      <c r="C669">
        <v>2005</v>
      </c>
      <c r="D669" t="s">
        <v>11</v>
      </c>
      <c r="E669">
        <v>750</v>
      </c>
      <c r="F669">
        <v>0</v>
      </c>
    </row>
    <row r="670" spans="1:6" hidden="1" x14ac:dyDescent="0.3">
      <c r="A670">
        <v>669</v>
      </c>
      <c r="B670" t="s">
        <v>27</v>
      </c>
      <c r="C670">
        <v>2005</v>
      </c>
      <c r="D670" t="s">
        <v>11</v>
      </c>
      <c r="E670">
        <v>10000</v>
      </c>
      <c r="F670">
        <v>0</v>
      </c>
    </row>
    <row r="671" spans="1:6" hidden="1" x14ac:dyDescent="0.3">
      <c r="A671">
        <v>670</v>
      </c>
      <c r="B671" t="s">
        <v>27</v>
      </c>
      <c r="C671">
        <v>2005</v>
      </c>
      <c r="D671" t="s">
        <v>11</v>
      </c>
      <c r="E671">
        <v>0</v>
      </c>
      <c r="F671">
        <v>500000</v>
      </c>
    </row>
    <row r="672" spans="1:6" hidden="1" x14ac:dyDescent="0.3">
      <c r="A672">
        <v>671</v>
      </c>
      <c r="B672" t="s">
        <v>26</v>
      </c>
      <c r="C672">
        <v>2005</v>
      </c>
      <c r="D672" t="s">
        <v>7</v>
      </c>
      <c r="E672">
        <v>2600000</v>
      </c>
      <c r="F672">
        <v>0</v>
      </c>
    </row>
    <row r="673" spans="1:6" hidden="1" x14ac:dyDescent="0.3">
      <c r="A673">
        <v>672</v>
      </c>
      <c r="B673" t="s">
        <v>47</v>
      </c>
      <c r="C673">
        <v>2005</v>
      </c>
      <c r="D673" t="s">
        <v>7</v>
      </c>
      <c r="E673">
        <v>150000</v>
      </c>
      <c r="F673">
        <v>0</v>
      </c>
    </row>
    <row r="674" spans="1:6" hidden="1" x14ac:dyDescent="0.3">
      <c r="A674">
        <v>673</v>
      </c>
      <c r="B674" t="s">
        <v>8</v>
      </c>
      <c r="C674">
        <v>2005</v>
      </c>
      <c r="D674" t="s">
        <v>9</v>
      </c>
      <c r="E674">
        <v>100000</v>
      </c>
      <c r="F674">
        <v>0</v>
      </c>
    </row>
    <row r="675" spans="1:6" hidden="1" x14ac:dyDescent="0.3">
      <c r="A675">
        <v>674</v>
      </c>
      <c r="B675" t="s">
        <v>8</v>
      </c>
      <c r="C675">
        <v>2005</v>
      </c>
      <c r="D675" t="s">
        <v>9</v>
      </c>
      <c r="E675">
        <v>1000000</v>
      </c>
      <c r="F675">
        <v>0</v>
      </c>
    </row>
    <row r="676" spans="1:6" hidden="1" x14ac:dyDescent="0.3">
      <c r="A676">
        <v>675</v>
      </c>
      <c r="B676" t="s">
        <v>8</v>
      </c>
      <c r="C676">
        <v>2005</v>
      </c>
      <c r="D676" t="s">
        <v>11</v>
      </c>
      <c r="E676">
        <v>100</v>
      </c>
      <c r="F676">
        <v>0</v>
      </c>
    </row>
    <row r="677" spans="1:6" hidden="1" x14ac:dyDescent="0.3">
      <c r="A677">
        <v>676</v>
      </c>
      <c r="B677" t="s">
        <v>8</v>
      </c>
      <c r="C677">
        <v>2005</v>
      </c>
      <c r="D677" t="s">
        <v>11</v>
      </c>
      <c r="E677">
        <v>1500</v>
      </c>
      <c r="F677">
        <v>0</v>
      </c>
    </row>
    <row r="678" spans="1:6" hidden="1" x14ac:dyDescent="0.3">
      <c r="A678">
        <v>677</v>
      </c>
      <c r="B678" t="s">
        <v>8</v>
      </c>
      <c r="C678">
        <v>2005</v>
      </c>
      <c r="D678" t="s">
        <v>11</v>
      </c>
      <c r="E678">
        <v>0</v>
      </c>
      <c r="F678">
        <v>0</v>
      </c>
    </row>
    <row r="679" spans="1:6" hidden="1" x14ac:dyDescent="0.3">
      <c r="A679">
        <v>678</v>
      </c>
      <c r="B679" t="s">
        <v>8</v>
      </c>
      <c r="C679">
        <v>2005</v>
      </c>
      <c r="D679" t="s">
        <v>11</v>
      </c>
      <c r="E679">
        <v>12000</v>
      </c>
      <c r="F679">
        <v>0</v>
      </c>
    </row>
    <row r="680" spans="1:6" hidden="1" x14ac:dyDescent="0.3">
      <c r="A680">
        <v>679</v>
      </c>
      <c r="B680" t="s">
        <v>15</v>
      </c>
      <c r="C680">
        <v>2005</v>
      </c>
      <c r="D680" t="s">
        <v>9</v>
      </c>
      <c r="E680">
        <v>0</v>
      </c>
      <c r="F680">
        <v>200000000</v>
      </c>
    </row>
    <row r="681" spans="1:6" hidden="1" x14ac:dyDescent="0.3">
      <c r="A681">
        <v>680</v>
      </c>
      <c r="B681" t="s">
        <v>15</v>
      </c>
      <c r="C681">
        <v>2005</v>
      </c>
      <c r="D681" t="s">
        <v>9</v>
      </c>
      <c r="E681">
        <v>0</v>
      </c>
      <c r="F681">
        <v>0</v>
      </c>
    </row>
    <row r="682" spans="1:6" hidden="1" x14ac:dyDescent="0.3">
      <c r="A682">
        <v>681</v>
      </c>
      <c r="B682" t="s">
        <v>44</v>
      </c>
      <c r="C682">
        <v>2005</v>
      </c>
      <c r="D682" t="s">
        <v>11</v>
      </c>
      <c r="E682">
        <v>1074</v>
      </c>
      <c r="F682">
        <v>20000000</v>
      </c>
    </row>
    <row r="683" spans="1:6" hidden="1" x14ac:dyDescent="0.3">
      <c r="A683">
        <v>682</v>
      </c>
      <c r="B683" t="s">
        <v>25</v>
      </c>
      <c r="C683">
        <v>2005</v>
      </c>
      <c r="D683" t="s">
        <v>9</v>
      </c>
      <c r="E683">
        <v>1750</v>
      </c>
      <c r="F683">
        <v>7256000</v>
      </c>
    </row>
    <row r="684" spans="1:6" hidden="1" x14ac:dyDescent="0.3">
      <c r="A684">
        <v>683</v>
      </c>
      <c r="B684" t="s">
        <v>26</v>
      </c>
      <c r="C684">
        <v>2005</v>
      </c>
      <c r="D684" t="s">
        <v>9</v>
      </c>
      <c r="E684">
        <v>7000</v>
      </c>
      <c r="F684">
        <v>0</v>
      </c>
    </row>
    <row r="685" spans="1:6" hidden="1" x14ac:dyDescent="0.3">
      <c r="A685">
        <v>684</v>
      </c>
      <c r="B685" t="s">
        <v>19</v>
      </c>
      <c r="C685">
        <v>2005</v>
      </c>
      <c r="D685" t="s">
        <v>9</v>
      </c>
      <c r="E685">
        <v>0</v>
      </c>
      <c r="F685">
        <v>0</v>
      </c>
    </row>
    <row r="686" spans="1:6" hidden="1" x14ac:dyDescent="0.3">
      <c r="A686">
        <v>685</v>
      </c>
      <c r="B686" t="s">
        <v>23</v>
      </c>
      <c r="C686">
        <v>2005</v>
      </c>
      <c r="D686" t="s">
        <v>11</v>
      </c>
      <c r="E686">
        <v>0</v>
      </c>
      <c r="F686">
        <v>0</v>
      </c>
    </row>
    <row r="687" spans="1:6" hidden="1" x14ac:dyDescent="0.3">
      <c r="A687">
        <v>686</v>
      </c>
      <c r="B687" t="s">
        <v>27</v>
      </c>
      <c r="C687">
        <v>2005</v>
      </c>
      <c r="D687" t="s">
        <v>9</v>
      </c>
      <c r="E687">
        <v>2500</v>
      </c>
      <c r="F687">
        <v>0</v>
      </c>
    </row>
    <row r="688" spans="1:6" hidden="1" x14ac:dyDescent="0.3">
      <c r="A688">
        <v>687</v>
      </c>
      <c r="B688" t="s">
        <v>16</v>
      </c>
      <c r="C688">
        <v>2005</v>
      </c>
      <c r="D688" t="s">
        <v>9</v>
      </c>
      <c r="E688">
        <v>405000</v>
      </c>
      <c r="F688">
        <v>2300000000</v>
      </c>
    </row>
    <row r="689" spans="1:6" hidden="1" x14ac:dyDescent="0.3">
      <c r="A689">
        <v>688</v>
      </c>
      <c r="B689" t="s">
        <v>16</v>
      </c>
      <c r="C689">
        <v>2005</v>
      </c>
      <c r="D689" t="s">
        <v>9</v>
      </c>
      <c r="E689">
        <v>49000</v>
      </c>
      <c r="F689">
        <v>0</v>
      </c>
    </row>
    <row r="690" spans="1:6" hidden="1" x14ac:dyDescent="0.3">
      <c r="A690">
        <v>689</v>
      </c>
      <c r="B690" t="s">
        <v>16</v>
      </c>
      <c r="C690">
        <v>2005</v>
      </c>
      <c r="D690" t="s">
        <v>9</v>
      </c>
      <c r="E690">
        <v>10000</v>
      </c>
      <c r="F690">
        <v>0</v>
      </c>
    </row>
    <row r="691" spans="1:6" hidden="1" x14ac:dyDescent="0.3">
      <c r="A691">
        <v>690</v>
      </c>
      <c r="B691" t="s">
        <v>16</v>
      </c>
      <c r="C691">
        <v>2005</v>
      </c>
      <c r="D691" t="s">
        <v>9</v>
      </c>
      <c r="E691">
        <v>2250000</v>
      </c>
      <c r="F691">
        <v>117000000</v>
      </c>
    </row>
    <row r="692" spans="1:6" hidden="1" x14ac:dyDescent="0.3">
      <c r="A692">
        <v>691</v>
      </c>
      <c r="B692" t="s">
        <v>16</v>
      </c>
      <c r="C692">
        <v>2005</v>
      </c>
      <c r="D692" t="s">
        <v>9</v>
      </c>
      <c r="E692">
        <v>2000000</v>
      </c>
      <c r="F692">
        <v>0</v>
      </c>
    </row>
    <row r="693" spans="1:6" hidden="1" x14ac:dyDescent="0.3">
      <c r="A693">
        <v>692</v>
      </c>
      <c r="B693" t="s">
        <v>16</v>
      </c>
      <c r="C693">
        <v>2005</v>
      </c>
      <c r="D693" t="s">
        <v>9</v>
      </c>
      <c r="E693">
        <v>200000</v>
      </c>
      <c r="F693">
        <v>0</v>
      </c>
    </row>
    <row r="694" spans="1:6" hidden="1" x14ac:dyDescent="0.3">
      <c r="A694">
        <v>693</v>
      </c>
      <c r="B694" t="s">
        <v>16</v>
      </c>
      <c r="C694">
        <v>2005</v>
      </c>
      <c r="D694" t="s">
        <v>9</v>
      </c>
      <c r="E694">
        <v>2000</v>
      </c>
      <c r="F694">
        <v>0</v>
      </c>
    </row>
    <row r="695" spans="1:6" hidden="1" x14ac:dyDescent="0.3">
      <c r="A695">
        <v>694</v>
      </c>
      <c r="B695" t="s">
        <v>16</v>
      </c>
      <c r="C695">
        <v>2005</v>
      </c>
      <c r="D695" t="s">
        <v>11</v>
      </c>
      <c r="E695">
        <v>20</v>
      </c>
      <c r="F695">
        <v>0</v>
      </c>
    </row>
    <row r="696" spans="1:6" hidden="1" x14ac:dyDescent="0.3">
      <c r="A696">
        <v>695</v>
      </c>
      <c r="B696" t="s">
        <v>16</v>
      </c>
      <c r="C696">
        <v>2005</v>
      </c>
      <c r="D696" t="s">
        <v>11</v>
      </c>
      <c r="E696">
        <v>20</v>
      </c>
      <c r="F696">
        <v>0</v>
      </c>
    </row>
    <row r="697" spans="1:6" hidden="1" x14ac:dyDescent="0.3">
      <c r="A697">
        <v>696</v>
      </c>
      <c r="B697" t="s">
        <v>16</v>
      </c>
      <c r="C697">
        <v>2005</v>
      </c>
      <c r="D697" t="s">
        <v>11</v>
      </c>
      <c r="E697">
        <v>61000</v>
      </c>
      <c r="F697">
        <v>0</v>
      </c>
    </row>
    <row r="698" spans="1:6" hidden="1" x14ac:dyDescent="0.3">
      <c r="A698">
        <v>697</v>
      </c>
      <c r="B698" t="s">
        <v>18</v>
      </c>
      <c r="C698">
        <v>2005</v>
      </c>
      <c r="D698" t="s">
        <v>14</v>
      </c>
      <c r="E698">
        <v>100</v>
      </c>
      <c r="F698">
        <v>0</v>
      </c>
    </row>
    <row r="699" spans="1:6" hidden="1" x14ac:dyDescent="0.3">
      <c r="A699">
        <v>698</v>
      </c>
      <c r="B699" t="s">
        <v>18</v>
      </c>
      <c r="C699">
        <v>2005</v>
      </c>
      <c r="D699" t="s">
        <v>14</v>
      </c>
      <c r="E699">
        <v>21912</v>
      </c>
      <c r="F699">
        <v>0</v>
      </c>
    </row>
    <row r="700" spans="1:6" hidden="1" x14ac:dyDescent="0.3">
      <c r="A700">
        <v>699</v>
      </c>
      <c r="B700" t="s">
        <v>18</v>
      </c>
      <c r="C700">
        <v>2005</v>
      </c>
      <c r="D700" t="s">
        <v>9</v>
      </c>
      <c r="E700">
        <v>0</v>
      </c>
      <c r="F700">
        <v>0</v>
      </c>
    </row>
    <row r="701" spans="1:6" hidden="1" x14ac:dyDescent="0.3">
      <c r="A701">
        <v>700</v>
      </c>
      <c r="B701" t="s">
        <v>18</v>
      </c>
      <c r="C701">
        <v>2005</v>
      </c>
      <c r="D701" t="s">
        <v>9</v>
      </c>
      <c r="E701">
        <v>1750</v>
      </c>
      <c r="F701">
        <v>0</v>
      </c>
    </row>
    <row r="702" spans="1:6" hidden="1" x14ac:dyDescent="0.3">
      <c r="A702">
        <v>701</v>
      </c>
      <c r="B702" t="s">
        <v>18</v>
      </c>
      <c r="C702">
        <v>2005</v>
      </c>
      <c r="D702" t="s">
        <v>9</v>
      </c>
      <c r="E702">
        <v>0</v>
      </c>
      <c r="F702">
        <v>0</v>
      </c>
    </row>
    <row r="703" spans="1:6" hidden="1" x14ac:dyDescent="0.3">
      <c r="A703">
        <v>702</v>
      </c>
      <c r="B703" t="s">
        <v>20</v>
      </c>
      <c r="C703">
        <v>2006</v>
      </c>
      <c r="D703" t="s">
        <v>9</v>
      </c>
      <c r="E703">
        <v>618486</v>
      </c>
      <c r="F703">
        <v>0</v>
      </c>
    </row>
    <row r="704" spans="1:6" hidden="1" x14ac:dyDescent="0.3">
      <c r="A704">
        <v>703</v>
      </c>
      <c r="B704" t="s">
        <v>6</v>
      </c>
      <c r="C704">
        <v>2006</v>
      </c>
      <c r="D704" t="s">
        <v>11</v>
      </c>
      <c r="E704">
        <v>0</v>
      </c>
      <c r="F704">
        <v>0</v>
      </c>
    </row>
    <row r="705" spans="1:6" hidden="1" x14ac:dyDescent="0.3">
      <c r="A705">
        <v>704</v>
      </c>
      <c r="B705" t="s">
        <v>20</v>
      </c>
      <c r="C705">
        <v>2006</v>
      </c>
      <c r="D705" t="s">
        <v>14</v>
      </c>
      <c r="E705">
        <v>1200</v>
      </c>
      <c r="F705">
        <v>0</v>
      </c>
    </row>
    <row r="706" spans="1:6" hidden="1" x14ac:dyDescent="0.3">
      <c r="A706">
        <v>705</v>
      </c>
      <c r="B706" t="s">
        <v>20</v>
      </c>
      <c r="C706">
        <v>2006</v>
      </c>
      <c r="D706" t="s">
        <v>9</v>
      </c>
      <c r="E706">
        <v>17539</v>
      </c>
      <c r="F706">
        <v>25000000</v>
      </c>
    </row>
    <row r="707" spans="1:6" hidden="1" x14ac:dyDescent="0.3">
      <c r="A707">
        <v>706</v>
      </c>
      <c r="B707" t="s">
        <v>20</v>
      </c>
      <c r="C707">
        <v>2006</v>
      </c>
      <c r="D707" t="s">
        <v>9</v>
      </c>
      <c r="E707">
        <v>29231</v>
      </c>
      <c r="F707">
        <v>55200000</v>
      </c>
    </row>
    <row r="708" spans="1:6" hidden="1" x14ac:dyDescent="0.3">
      <c r="A708">
        <v>707</v>
      </c>
      <c r="B708" t="s">
        <v>20</v>
      </c>
      <c r="C708">
        <v>2006</v>
      </c>
      <c r="D708" t="s">
        <v>9</v>
      </c>
      <c r="E708">
        <v>18250</v>
      </c>
      <c r="F708">
        <v>0</v>
      </c>
    </row>
    <row r="709" spans="1:6" hidden="1" x14ac:dyDescent="0.3">
      <c r="A709">
        <v>708</v>
      </c>
      <c r="B709" t="s">
        <v>20</v>
      </c>
      <c r="C709">
        <v>2006</v>
      </c>
      <c r="D709" t="s">
        <v>9</v>
      </c>
      <c r="E709">
        <v>10000</v>
      </c>
      <c r="F709">
        <v>27100000</v>
      </c>
    </row>
    <row r="710" spans="1:6" hidden="1" x14ac:dyDescent="0.3">
      <c r="A710">
        <v>709</v>
      </c>
      <c r="B710" t="s">
        <v>20</v>
      </c>
      <c r="C710">
        <v>2006</v>
      </c>
      <c r="D710" t="s">
        <v>9</v>
      </c>
      <c r="E710">
        <v>402</v>
      </c>
      <c r="F710">
        <v>0</v>
      </c>
    </row>
    <row r="711" spans="1:6" hidden="1" x14ac:dyDescent="0.3">
      <c r="A711">
        <v>710</v>
      </c>
      <c r="B711" t="s">
        <v>20</v>
      </c>
      <c r="C711">
        <v>2006</v>
      </c>
      <c r="D711" t="s">
        <v>9</v>
      </c>
      <c r="E711">
        <v>0</v>
      </c>
      <c r="F711">
        <v>0</v>
      </c>
    </row>
    <row r="712" spans="1:6" hidden="1" x14ac:dyDescent="0.3">
      <c r="A712">
        <v>711</v>
      </c>
      <c r="B712" t="s">
        <v>16</v>
      </c>
      <c r="C712">
        <v>2006</v>
      </c>
      <c r="D712" t="s">
        <v>9</v>
      </c>
      <c r="E712">
        <v>15000</v>
      </c>
      <c r="F712">
        <v>0</v>
      </c>
    </row>
    <row r="713" spans="1:6" hidden="1" x14ac:dyDescent="0.3">
      <c r="A713">
        <v>712</v>
      </c>
      <c r="B713" t="s">
        <v>16</v>
      </c>
      <c r="C713">
        <v>2006</v>
      </c>
      <c r="D713" t="s">
        <v>9</v>
      </c>
      <c r="E713">
        <v>0</v>
      </c>
      <c r="F713">
        <v>0</v>
      </c>
    </row>
    <row r="714" spans="1:6" hidden="1" x14ac:dyDescent="0.3">
      <c r="A714">
        <v>713</v>
      </c>
      <c r="B714" t="s">
        <v>16</v>
      </c>
      <c r="C714">
        <v>2006</v>
      </c>
      <c r="D714" t="s">
        <v>9</v>
      </c>
      <c r="E714">
        <v>4000065</v>
      </c>
      <c r="F714">
        <v>3390000000</v>
      </c>
    </row>
    <row r="715" spans="1:6" hidden="1" x14ac:dyDescent="0.3">
      <c r="A715">
        <v>714</v>
      </c>
      <c r="B715" t="s">
        <v>20</v>
      </c>
      <c r="C715">
        <v>2006</v>
      </c>
      <c r="D715" t="s">
        <v>14</v>
      </c>
      <c r="E715">
        <v>1202</v>
      </c>
      <c r="F715">
        <v>0</v>
      </c>
    </row>
    <row r="716" spans="1:6" hidden="1" x14ac:dyDescent="0.3">
      <c r="A716">
        <v>715</v>
      </c>
      <c r="B716" t="s">
        <v>8</v>
      </c>
      <c r="C716">
        <v>2006</v>
      </c>
      <c r="D716" t="s">
        <v>11</v>
      </c>
      <c r="E716">
        <v>150</v>
      </c>
      <c r="F716">
        <v>0</v>
      </c>
    </row>
    <row r="717" spans="1:6" hidden="1" x14ac:dyDescent="0.3">
      <c r="A717">
        <v>716</v>
      </c>
      <c r="B717" t="s">
        <v>16</v>
      </c>
      <c r="C717">
        <v>2006</v>
      </c>
      <c r="D717" t="s">
        <v>11</v>
      </c>
      <c r="E717">
        <v>0</v>
      </c>
      <c r="F717">
        <v>0</v>
      </c>
    </row>
    <row r="718" spans="1:6" hidden="1" x14ac:dyDescent="0.3">
      <c r="A718">
        <v>717</v>
      </c>
      <c r="B718" t="s">
        <v>8</v>
      </c>
      <c r="C718">
        <v>2006</v>
      </c>
      <c r="D718" t="s">
        <v>11</v>
      </c>
      <c r="E718">
        <v>9135</v>
      </c>
      <c r="F718">
        <v>0</v>
      </c>
    </row>
    <row r="719" spans="1:6" hidden="1" x14ac:dyDescent="0.3">
      <c r="A719">
        <v>718</v>
      </c>
      <c r="B719" t="s">
        <v>8</v>
      </c>
      <c r="C719">
        <v>2006</v>
      </c>
      <c r="D719" t="s">
        <v>11</v>
      </c>
      <c r="E719">
        <v>1500</v>
      </c>
      <c r="F719">
        <v>0</v>
      </c>
    </row>
    <row r="720" spans="1:6" hidden="1" x14ac:dyDescent="0.3">
      <c r="A720">
        <v>719</v>
      </c>
      <c r="B720" t="s">
        <v>27</v>
      </c>
      <c r="C720">
        <v>2006</v>
      </c>
      <c r="D720" t="s">
        <v>11</v>
      </c>
      <c r="E720">
        <v>15000</v>
      </c>
      <c r="F720">
        <v>0</v>
      </c>
    </row>
    <row r="721" spans="1:6" hidden="1" x14ac:dyDescent="0.3">
      <c r="A721">
        <v>720</v>
      </c>
      <c r="B721" t="s">
        <v>16</v>
      </c>
      <c r="C721">
        <v>2006</v>
      </c>
      <c r="D721" t="s">
        <v>11</v>
      </c>
      <c r="E721">
        <v>150300</v>
      </c>
      <c r="F721">
        <v>0</v>
      </c>
    </row>
    <row r="722" spans="1:6" hidden="1" x14ac:dyDescent="0.3">
      <c r="A722">
        <v>721</v>
      </c>
      <c r="B722" t="s">
        <v>6</v>
      </c>
      <c r="C722">
        <v>2006</v>
      </c>
      <c r="D722" t="s">
        <v>7</v>
      </c>
      <c r="E722">
        <v>1900000</v>
      </c>
      <c r="F722">
        <v>0</v>
      </c>
    </row>
    <row r="723" spans="1:6" hidden="1" x14ac:dyDescent="0.3">
      <c r="A723">
        <v>722</v>
      </c>
      <c r="B723" t="s">
        <v>12</v>
      </c>
      <c r="C723">
        <v>2006</v>
      </c>
      <c r="D723" t="s">
        <v>9</v>
      </c>
      <c r="E723">
        <v>225</v>
      </c>
      <c r="F723">
        <v>0</v>
      </c>
    </row>
    <row r="724" spans="1:6" hidden="1" x14ac:dyDescent="0.3">
      <c r="A724">
        <v>723</v>
      </c>
      <c r="B724" t="s">
        <v>8</v>
      </c>
      <c r="C724">
        <v>2006</v>
      </c>
      <c r="D724" t="s">
        <v>11</v>
      </c>
      <c r="E724">
        <v>5899</v>
      </c>
      <c r="F724">
        <v>0</v>
      </c>
    </row>
    <row r="725" spans="1:6" hidden="1" x14ac:dyDescent="0.3">
      <c r="A725">
        <v>724</v>
      </c>
      <c r="B725" t="s">
        <v>8</v>
      </c>
      <c r="C725">
        <v>2006</v>
      </c>
      <c r="D725" t="s">
        <v>9</v>
      </c>
      <c r="E725">
        <v>76000</v>
      </c>
      <c r="F725">
        <v>0</v>
      </c>
    </row>
    <row r="726" spans="1:6" hidden="1" x14ac:dyDescent="0.3">
      <c r="A726">
        <v>725</v>
      </c>
      <c r="B726" t="s">
        <v>8</v>
      </c>
      <c r="C726">
        <v>2006</v>
      </c>
      <c r="D726" t="s">
        <v>9</v>
      </c>
      <c r="E726">
        <v>135775</v>
      </c>
      <c r="F726">
        <v>0</v>
      </c>
    </row>
    <row r="727" spans="1:6" hidden="1" x14ac:dyDescent="0.3">
      <c r="A727">
        <v>726</v>
      </c>
      <c r="B727" t="s">
        <v>8</v>
      </c>
      <c r="C727">
        <v>2006</v>
      </c>
      <c r="D727" t="s">
        <v>11</v>
      </c>
      <c r="E727">
        <v>1465</v>
      </c>
      <c r="F727">
        <v>0</v>
      </c>
    </row>
    <row r="728" spans="1:6" hidden="1" x14ac:dyDescent="0.3">
      <c r="A728">
        <v>727</v>
      </c>
      <c r="B728" t="s">
        <v>15</v>
      </c>
      <c r="C728">
        <v>2006</v>
      </c>
      <c r="D728" t="s">
        <v>14</v>
      </c>
      <c r="E728">
        <v>527</v>
      </c>
      <c r="F728">
        <v>0</v>
      </c>
    </row>
    <row r="729" spans="1:6" hidden="1" x14ac:dyDescent="0.3">
      <c r="A729">
        <v>728</v>
      </c>
      <c r="B729" t="s">
        <v>15</v>
      </c>
      <c r="C729">
        <v>2006</v>
      </c>
      <c r="D729" t="s">
        <v>9</v>
      </c>
      <c r="E729">
        <v>0</v>
      </c>
      <c r="F729">
        <v>0</v>
      </c>
    </row>
    <row r="730" spans="1:6" hidden="1" x14ac:dyDescent="0.3">
      <c r="A730">
        <v>729</v>
      </c>
      <c r="B730" t="s">
        <v>15</v>
      </c>
      <c r="C730">
        <v>2006</v>
      </c>
      <c r="D730" t="s">
        <v>9</v>
      </c>
      <c r="E730">
        <v>0</v>
      </c>
      <c r="F730">
        <v>0</v>
      </c>
    </row>
    <row r="731" spans="1:6" hidden="1" x14ac:dyDescent="0.3">
      <c r="A731">
        <v>730</v>
      </c>
      <c r="B731" t="s">
        <v>25</v>
      </c>
      <c r="C731">
        <v>2006</v>
      </c>
      <c r="D731" t="s">
        <v>14</v>
      </c>
      <c r="E731">
        <v>319</v>
      </c>
      <c r="F731">
        <v>0</v>
      </c>
    </row>
    <row r="732" spans="1:6" hidden="1" x14ac:dyDescent="0.3">
      <c r="A732">
        <v>731</v>
      </c>
      <c r="B732" t="s">
        <v>25</v>
      </c>
      <c r="C732">
        <v>2006</v>
      </c>
      <c r="D732" t="s">
        <v>9</v>
      </c>
      <c r="E732">
        <v>60000</v>
      </c>
      <c r="F732">
        <v>1200000</v>
      </c>
    </row>
    <row r="733" spans="1:6" hidden="1" x14ac:dyDescent="0.3">
      <c r="A733">
        <v>732</v>
      </c>
      <c r="B733" t="s">
        <v>26</v>
      </c>
      <c r="C733">
        <v>2006</v>
      </c>
      <c r="D733" t="s">
        <v>9</v>
      </c>
      <c r="E733">
        <v>10096</v>
      </c>
      <c r="F733">
        <v>3200000</v>
      </c>
    </row>
    <row r="734" spans="1:6" hidden="1" x14ac:dyDescent="0.3">
      <c r="A734">
        <v>733</v>
      </c>
      <c r="B734" t="s">
        <v>26</v>
      </c>
      <c r="C734">
        <v>2006</v>
      </c>
      <c r="D734" t="s">
        <v>9</v>
      </c>
      <c r="E734">
        <v>10000</v>
      </c>
      <c r="F734">
        <v>0</v>
      </c>
    </row>
    <row r="735" spans="1:6" hidden="1" x14ac:dyDescent="0.3">
      <c r="A735">
        <v>734</v>
      </c>
      <c r="B735" t="s">
        <v>26</v>
      </c>
      <c r="C735">
        <v>2006</v>
      </c>
      <c r="D735" t="s">
        <v>9</v>
      </c>
      <c r="E735">
        <v>450</v>
      </c>
      <c r="F735">
        <v>0</v>
      </c>
    </row>
    <row r="736" spans="1:6" hidden="1" x14ac:dyDescent="0.3">
      <c r="A736">
        <v>735</v>
      </c>
      <c r="B736" t="s">
        <v>26</v>
      </c>
      <c r="C736">
        <v>2006</v>
      </c>
      <c r="D736" t="s">
        <v>9</v>
      </c>
      <c r="E736">
        <v>8000</v>
      </c>
      <c r="F736">
        <v>0</v>
      </c>
    </row>
    <row r="737" spans="1:6" hidden="1" x14ac:dyDescent="0.3">
      <c r="A737">
        <v>736</v>
      </c>
      <c r="B737" t="s">
        <v>26</v>
      </c>
      <c r="C737">
        <v>2006</v>
      </c>
      <c r="D737" t="s">
        <v>9</v>
      </c>
      <c r="E737">
        <v>38000</v>
      </c>
      <c r="F737">
        <v>0</v>
      </c>
    </row>
    <row r="738" spans="1:6" hidden="1" x14ac:dyDescent="0.3">
      <c r="A738">
        <v>737</v>
      </c>
      <c r="B738" t="s">
        <v>26</v>
      </c>
      <c r="C738">
        <v>2006</v>
      </c>
      <c r="D738" t="s">
        <v>9</v>
      </c>
      <c r="E738">
        <v>6000</v>
      </c>
      <c r="F738">
        <v>0</v>
      </c>
    </row>
    <row r="739" spans="1:6" hidden="1" x14ac:dyDescent="0.3">
      <c r="A739">
        <v>738</v>
      </c>
      <c r="B739" t="s">
        <v>26</v>
      </c>
      <c r="C739">
        <v>2006</v>
      </c>
      <c r="D739" t="s">
        <v>9</v>
      </c>
      <c r="E739">
        <v>361600</v>
      </c>
      <c r="F739">
        <v>0</v>
      </c>
    </row>
    <row r="740" spans="1:6" hidden="1" x14ac:dyDescent="0.3">
      <c r="A740">
        <v>739</v>
      </c>
      <c r="B740" t="s">
        <v>23</v>
      </c>
      <c r="C740">
        <v>2006</v>
      </c>
      <c r="D740" t="s">
        <v>9</v>
      </c>
      <c r="E740">
        <v>1500</v>
      </c>
      <c r="F740">
        <v>8000000</v>
      </c>
    </row>
    <row r="741" spans="1:6" hidden="1" x14ac:dyDescent="0.3">
      <c r="A741">
        <v>740</v>
      </c>
      <c r="B741" t="s">
        <v>27</v>
      </c>
      <c r="C741">
        <v>2006</v>
      </c>
      <c r="D741" t="s">
        <v>9</v>
      </c>
      <c r="E741">
        <v>4690</v>
      </c>
      <c r="F741">
        <v>0</v>
      </c>
    </row>
    <row r="742" spans="1:6" hidden="1" x14ac:dyDescent="0.3">
      <c r="A742">
        <v>741</v>
      </c>
      <c r="B742" t="s">
        <v>27</v>
      </c>
      <c r="C742">
        <v>2006</v>
      </c>
      <c r="D742" t="s">
        <v>9</v>
      </c>
      <c r="E742">
        <v>20010</v>
      </c>
      <c r="F742">
        <v>0</v>
      </c>
    </row>
    <row r="743" spans="1:6" hidden="1" x14ac:dyDescent="0.3">
      <c r="A743">
        <v>742</v>
      </c>
      <c r="B743" t="s">
        <v>20</v>
      </c>
      <c r="C743">
        <v>2006</v>
      </c>
      <c r="D743" t="s">
        <v>14</v>
      </c>
      <c r="E743">
        <v>3177923</v>
      </c>
      <c r="F743">
        <v>3100000000</v>
      </c>
    </row>
    <row r="744" spans="1:6" hidden="1" x14ac:dyDescent="0.3">
      <c r="A744">
        <v>743</v>
      </c>
      <c r="B744" t="s">
        <v>20</v>
      </c>
      <c r="C744">
        <v>2006</v>
      </c>
      <c r="D744" t="s">
        <v>14</v>
      </c>
      <c r="E744">
        <v>114</v>
      </c>
      <c r="F744">
        <v>0</v>
      </c>
    </row>
    <row r="745" spans="1:6" hidden="1" x14ac:dyDescent="0.3">
      <c r="A745">
        <v>744</v>
      </c>
      <c r="B745" t="s">
        <v>20</v>
      </c>
      <c r="C745">
        <v>2006</v>
      </c>
      <c r="D745" t="s">
        <v>14</v>
      </c>
      <c r="E745">
        <v>35543</v>
      </c>
      <c r="F745">
        <v>55000000</v>
      </c>
    </row>
    <row r="746" spans="1:6" hidden="1" x14ac:dyDescent="0.3">
      <c r="A746">
        <v>745</v>
      </c>
      <c r="B746" t="s">
        <v>20</v>
      </c>
      <c r="C746">
        <v>2006</v>
      </c>
      <c r="D746" t="s">
        <v>9</v>
      </c>
      <c r="E746">
        <v>5000</v>
      </c>
      <c r="F746">
        <v>0</v>
      </c>
    </row>
    <row r="747" spans="1:6" hidden="1" x14ac:dyDescent="0.3">
      <c r="A747">
        <v>746</v>
      </c>
      <c r="B747" t="s">
        <v>16</v>
      </c>
      <c r="C747">
        <v>2006</v>
      </c>
      <c r="D747" t="s">
        <v>9</v>
      </c>
      <c r="E747">
        <v>0</v>
      </c>
      <c r="F747">
        <v>0</v>
      </c>
    </row>
    <row r="748" spans="1:6" hidden="1" x14ac:dyDescent="0.3">
      <c r="A748">
        <v>747</v>
      </c>
      <c r="B748" t="s">
        <v>16</v>
      </c>
      <c r="C748">
        <v>2006</v>
      </c>
      <c r="D748" t="s">
        <v>9</v>
      </c>
      <c r="E748">
        <v>0</v>
      </c>
      <c r="F748">
        <v>0</v>
      </c>
    </row>
    <row r="749" spans="1:6" hidden="1" x14ac:dyDescent="0.3">
      <c r="A749">
        <v>748</v>
      </c>
      <c r="B749" t="s">
        <v>16</v>
      </c>
      <c r="C749">
        <v>2006</v>
      </c>
      <c r="D749" t="s">
        <v>9</v>
      </c>
      <c r="E749">
        <v>504000</v>
      </c>
      <c r="F749">
        <v>0</v>
      </c>
    </row>
    <row r="750" spans="1:6" hidden="1" x14ac:dyDescent="0.3">
      <c r="A750">
        <v>749</v>
      </c>
      <c r="B750" t="s">
        <v>16</v>
      </c>
      <c r="C750">
        <v>2006</v>
      </c>
      <c r="D750" t="s">
        <v>9</v>
      </c>
      <c r="E750">
        <v>10800</v>
      </c>
      <c r="F750">
        <v>0</v>
      </c>
    </row>
    <row r="751" spans="1:6" hidden="1" x14ac:dyDescent="0.3">
      <c r="A751">
        <v>750</v>
      </c>
      <c r="B751" t="s">
        <v>16</v>
      </c>
      <c r="C751">
        <v>2006</v>
      </c>
      <c r="D751" t="s">
        <v>9</v>
      </c>
      <c r="E751">
        <v>0</v>
      </c>
      <c r="F751">
        <v>0</v>
      </c>
    </row>
    <row r="752" spans="1:6" hidden="1" x14ac:dyDescent="0.3">
      <c r="A752">
        <v>751</v>
      </c>
      <c r="B752" t="s">
        <v>16</v>
      </c>
      <c r="C752">
        <v>2006</v>
      </c>
      <c r="D752" t="s">
        <v>9</v>
      </c>
      <c r="E752">
        <v>300000</v>
      </c>
      <c r="F752">
        <v>0</v>
      </c>
    </row>
    <row r="753" spans="1:6" hidden="1" x14ac:dyDescent="0.3">
      <c r="A753">
        <v>752</v>
      </c>
      <c r="B753" t="s">
        <v>16</v>
      </c>
      <c r="C753">
        <v>2006</v>
      </c>
      <c r="D753" t="s">
        <v>9</v>
      </c>
      <c r="E753">
        <v>8400</v>
      </c>
      <c r="F753">
        <v>0</v>
      </c>
    </row>
    <row r="754" spans="1:6" hidden="1" x14ac:dyDescent="0.3">
      <c r="A754">
        <v>753</v>
      </c>
      <c r="B754" t="s">
        <v>16</v>
      </c>
      <c r="C754">
        <v>2006</v>
      </c>
      <c r="D754" t="s">
        <v>9</v>
      </c>
      <c r="E754">
        <v>800</v>
      </c>
      <c r="F754">
        <v>0</v>
      </c>
    </row>
    <row r="755" spans="1:6" hidden="1" x14ac:dyDescent="0.3">
      <c r="A755">
        <v>754</v>
      </c>
      <c r="B755" t="s">
        <v>16</v>
      </c>
      <c r="C755">
        <v>2006</v>
      </c>
      <c r="D755" t="s">
        <v>9</v>
      </c>
      <c r="E755">
        <v>50000</v>
      </c>
      <c r="F755">
        <v>0</v>
      </c>
    </row>
    <row r="756" spans="1:6" hidden="1" x14ac:dyDescent="0.3">
      <c r="A756">
        <v>755</v>
      </c>
      <c r="B756" t="s">
        <v>16</v>
      </c>
      <c r="C756">
        <v>2006</v>
      </c>
      <c r="D756" t="s">
        <v>9</v>
      </c>
      <c r="E756">
        <v>20000</v>
      </c>
      <c r="F756">
        <v>0</v>
      </c>
    </row>
    <row r="757" spans="1:6" hidden="1" x14ac:dyDescent="0.3">
      <c r="A757">
        <v>756</v>
      </c>
      <c r="B757" t="s">
        <v>16</v>
      </c>
      <c r="C757">
        <v>2006</v>
      </c>
      <c r="D757" t="s">
        <v>9</v>
      </c>
      <c r="E757">
        <v>100000</v>
      </c>
      <c r="F757">
        <v>0</v>
      </c>
    </row>
    <row r="758" spans="1:6" hidden="1" x14ac:dyDescent="0.3">
      <c r="A758">
        <v>757</v>
      </c>
      <c r="B758" t="s">
        <v>16</v>
      </c>
      <c r="C758">
        <v>2006</v>
      </c>
      <c r="D758" t="s">
        <v>9</v>
      </c>
      <c r="E758">
        <v>225000</v>
      </c>
      <c r="F758">
        <v>0</v>
      </c>
    </row>
    <row r="759" spans="1:6" hidden="1" x14ac:dyDescent="0.3">
      <c r="A759">
        <v>758</v>
      </c>
      <c r="B759" t="s">
        <v>16</v>
      </c>
      <c r="C759">
        <v>2006</v>
      </c>
      <c r="D759" t="s">
        <v>9</v>
      </c>
      <c r="E759">
        <v>2000000</v>
      </c>
      <c r="F759">
        <v>0</v>
      </c>
    </row>
    <row r="760" spans="1:6" hidden="1" x14ac:dyDescent="0.3">
      <c r="A760">
        <v>759</v>
      </c>
      <c r="B760" t="s">
        <v>16</v>
      </c>
      <c r="C760">
        <v>2006</v>
      </c>
      <c r="D760" t="s">
        <v>9</v>
      </c>
      <c r="E760">
        <v>113</v>
      </c>
      <c r="F760">
        <v>0</v>
      </c>
    </row>
    <row r="761" spans="1:6" hidden="1" x14ac:dyDescent="0.3">
      <c r="A761">
        <v>760</v>
      </c>
      <c r="B761" t="s">
        <v>18</v>
      </c>
      <c r="C761">
        <v>2006</v>
      </c>
      <c r="D761" t="s">
        <v>14</v>
      </c>
      <c r="E761">
        <v>7006</v>
      </c>
      <c r="F761">
        <v>0</v>
      </c>
    </row>
    <row r="762" spans="1:6" hidden="1" x14ac:dyDescent="0.3">
      <c r="A762">
        <v>761</v>
      </c>
      <c r="B762" t="s">
        <v>18</v>
      </c>
      <c r="C762">
        <v>2006</v>
      </c>
      <c r="D762" t="s">
        <v>14</v>
      </c>
      <c r="E762">
        <v>161418</v>
      </c>
      <c r="F762">
        <v>42262000</v>
      </c>
    </row>
    <row r="763" spans="1:6" hidden="1" x14ac:dyDescent="0.3">
      <c r="A763">
        <v>762</v>
      </c>
      <c r="B763" t="s">
        <v>18</v>
      </c>
      <c r="C763">
        <v>2006</v>
      </c>
      <c r="D763" t="s">
        <v>14</v>
      </c>
      <c r="E763">
        <v>70</v>
      </c>
      <c r="F763">
        <v>0</v>
      </c>
    </row>
    <row r="764" spans="1:6" hidden="1" x14ac:dyDescent="0.3">
      <c r="A764">
        <v>763</v>
      </c>
      <c r="B764" t="s">
        <v>18</v>
      </c>
      <c r="C764">
        <v>2006</v>
      </c>
      <c r="D764" t="s">
        <v>9</v>
      </c>
      <c r="E764">
        <v>2800</v>
      </c>
      <c r="F764">
        <v>16000000</v>
      </c>
    </row>
    <row r="765" spans="1:6" hidden="1" x14ac:dyDescent="0.3">
      <c r="A765">
        <v>764</v>
      </c>
      <c r="B765" t="s">
        <v>27</v>
      </c>
      <c r="C765">
        <v>2007</v>
      </c>
      <c r="D765" t="s">
        <v>9</v>
      </c>
      <c r="E765">
        <v>15014</v>
      </c>
      <c r="F765">
        <v>0</v>
      </c>
    </row>
    <row r="766" spans="1:6" hidden="1" x14ac:dyDescent="0.3">
      <c r="A766">
        <v>765</v>
      </c>
      <c r="B766" t="s">
        <v>8</v>
      </c>
      <c r="C766">
        <v>2007</v>
      </c>
      <c r="D766" t="s">
        <v>9</v>
      </c>
      <c r="E766">
        <v>80060</v>
      </c>
      <c r="F766">
        <v>14000000</v>
      </c>
    </row>
    <row r="767" spans="1:6" hidden="1" x14ac:dyDescent="0.3">
      <c r="A767">
        <v>766</v>
      </c>
      <c r="B767" t="s">
        <v>20</v>
      </c>
      <c r="C767">
        <v>2007</v>
      </c>
      <c r="D767" t="s">
        <v>9</v>
      </c>
      <c r="E767">
        <v>11556</v>
      </c>
      <c r="F767">
        <v>0</v>
      </c>
    </row>
    <row r="768" spans="1:6" hidden="1" x14ac:dyDescent="0.3">
      <c r="A768">
        <v>767</v>
      </c>
      <c r="B768" t="s">
        <v>25</v>
      </c>
      <c r="C768">
        <v>2007</v>
      </c>
      <c r="D768" t="s">
        <v>9</v>
      </c>
      <c r="E768">
        <v>0</v>
      </c>
      <c r="F768">
        <v>0</v>
      </c>
    </row>
    <row r="769" spans="1:6" hidden="1" x14ac:dyDescent="0.3">
      <c r="A769">
        <v>768</v>
      </c>
      <c r="B769" t="s">
        <v>18</v>
      </c>
      <c r="C769">
        <v>2007</v>
      </c>
      <c r="D769" t="s">
        <v>11</v>
      </c>
      <c r="E769">
        <v>185009</v>
      </c>
      <c r="F769">
        <v>0</v>
      </c>
    </row>
    <row r="770" spans="1:6" hidden="1" x14ac:dyDescent="0.3">
      <c r="A770">
        <v>769</v>
      </c>
      <c r="B770" t="s">
        <v>12</v>
      </c>
      <c r="C770">
        <v>2007</v>
      </c>
      <c r="D770" t="s">
        <v>9</v>
      </c>
      <c r="E770">
        <v>6000</v>
      </c>
      <c r="F770">
        <v>0</v>
      </c>
    </row>
    <row r="771" spans="1:6" hidden="1" x14ac:dyDescent="0.3">
      <c r="A771">
        <v>770</v>
      </c>
      <c r="B771" t="s">
        <v>12</v>
      </c>
      <c r="C771">
        <v>2007</v>
      </c>
      <c r="D771" t="s">
        <v>9</v>
      </c>
      <c r="E771">
        <v>40000</v>
      </c>
      <c r="F771">
        <v>0</v>
      </c>
    </row>
    <row r="772" spans="1:6" hidden="1" x14ac:dyDescent="0.3">
      <c r="A772">
        <v>771</v>
      </c>
      <c r="B772" t="s">
        <v>25</v>
      </c>
      <c r="C772">
        <v>2007</v>
      </c>
      <c r="D772" t="s">
        <v>9</v>
      </c>
      <c r="E772">
        <v>0</v>
      </c>
      <c r="F772">
        <v>13561000</v>
      </c>
    </row>
    <row r="773" spans="1:6" hidden="1" x14ac:dyDescent="0.3">
      <c r="A773">
        <v>772</v>
      </c>
      <c r="B773" t="s">
        <v>20</v>
      </c>
      <c r="C773">
        <v>2007</v>
      </c>
      <c r="D773" t="s">
        <v>14</v>
      </c>
      <c r="E773">
        <v>137660</v>
      </c>
      <c r="F773">
        <v>200000000</v>
      </c>
    </row>
    <row r="774" spans="1:6" hidden="1" x14ac:dyDescent="0.3">
      <c r="A774">
        <v>773</v>
      </c>
      <c r="B774" t="s">
        <v>20</v>
      </c>
      <c r="C774">
        <v>2007</v>
      </c>
      <c r="D774" t="s">
        <v>9</v>
      </c>
      <c r="E774">
        <v>217087</v>
      </c>
      <c r="F774">
        <v>971000000</v>
      </c>
    </row>
    <row r="775" spans="1:6" hidden="1" x14ac:dyDescent="0.3">
      <c r="A775">
        <v>774</v>
      </c>
      <c r="B775" t="s">
        <v>33</v>
      </c>
      <c r="C775">
        <v>2005</v>
      </c>
      <c r="D775" t="s">
        <v>9</v>
      </c>
      <c r="E775">
        <v>1600</v>
      </c>
      <c r="F775">
        <v>0</v>
      </c>
    </row>
    <row r="776" spans="1:6" hidden="1" x14ac:dyDescent="0.3">
      <c r="A776">
        <v>775</v>
      </c>
      <c r="B776" t="s">
        <v>28</v>
      </c>
      <c r="C776">
        <v>2005</v>
      </c>
      <c r="D776" t="s">
        <v>11</v>
      </c>
      <c r="E776">
        <v>100</v>
      </c>
      <c r="F776">
        <v>3500000</v>
      </c>
    </row>
    <row r="777" spans="1:6" hidden="1" x14ac:dyDescent="0.3">
      <c r="A777">
        <v>776</v>
      </c>
      <c r="B777" t="s">
        <v>43</v>
      </c>
      <c r="C777">
        <v>2005</v>
      </c>
      <c r="D777" t="s">
        <v>11</v>
      </c>
      <c r="E777">
        <v>337660</v>
      </c>
      <c r="F777">
        <v>219250000</v>
      </c>
    </row>
    <row r="778" spans="1:6" hidden="1" x14ac:dyDescent="0.3">
      <c r="A778">
        <v>777</v>
      </c>
      <c r="B778" t="s">
        <v>37</v>
      </c>
      <c r="C778">
        <v>2005</v>
      </c>
      <c r="D778" t="s">
        <v>9</v>
      </c>
      <c r="E778">
        <v>192946</v>
      </c>
      <c r="F778">
        <v>515000</v>
      </c>
    </row>
    <row r="779" spans="1:6" hidden="1" x14ac:dyDescent="0.3">
      <c r="A779">
        <v>778</v>
      </c>
      <c r="B779" t="s">
        <v>39</v>
      </c>
      <c r="C779">
        <v>2005</v>
      </c>
      <c r="D779" t="s">
        <v>9</v>
      </c>
      <c r="E779">
        <v>5102</v>
      </c>
      <c r="F779">
        <v>0</v>
      </c>
    </row>
    <row r="780" spans="1:6" hidden="1" x14ac:dyDescent="0.3">
      <c r="A780">
        <v>779</v>
      </c>
      <c r="B780" t="s">
        <v>28</v>
      </c>
      <c r="C780">
        <v>2005</v>
      </c>
      <c r="D780" t="s">
        <v>11</v>
      </c>
      <c r="E780">
        <v>8000</v>
      </c>
      <c r="F780">
        <v>30000000</v>
      </c>
    </row>
    <row r="781" spans="1:6" hidden="1" x14ac:dyDescent="0.3">
      <c r="A781">
        <v>780</v>
      </c>
      <c r="B781" t="s">
        <v>37</v>
      </c>
      <c r="C781">
        <v>2005</v>
      </c>
      <c r="D781" t="s">
        <v>11</v>
      </c>
      <c r="E781">
        <v>20000</v>
      </c>
      <c r="F781">
        <v>2000000</v>
      </c>
    </row>
    <row r="782" spans="1:6" hidden="1" x14ac:dyDescent="0.3">
      <c r="A782">
        <v>781</v>
      </c>
      <c r="B782" t="s">
        <v>22</v>
      </c>
      <c r="C782">
        <v>2005</v>
      </c>
      <c r="D782" t="s">
        <v>7</v>
      </c>
      <c r="E782">
        <v>14000</v>
      </c>
      <c r="F782">
        <v>0</v>
      </c>
    </row>
    <row r="783" spans="1:6" hidden="1" x14ac:dyDescent="0.3">
      <c r="A783">
        <v>782</v>
      </c>
      <c r="B783" t="s">
        <v>32</v>
      </c>
      <c r="C783">
        <v>2005</v>
      </c>
      <c r="D783" t="s">
        <v>7</v>
      </c>
      <c r="E783">
        <v>3000000</v>
      </c>
      <c r="F783">
        <v>0</v>
      </c>
    </row>
    <row r="784" spans="1:6" hidden="1" x14ac:dyDescent="0.3">
      <c r="A784">
        <v>783</v>
      </c>
      <c r="B784" t="s">
        <v>30</v>
      </c>
      <c r="C784">
        <v>2005</v>
      </c>
      <c r="D784" t="s">
        <v>7</v>
      </c>
      <c r="E784">
        <v>1400000</v>
      </c>
      <c r="F784">
        <v>0</v>
      </c>
    </row>
    <row r="785" spans="1:6" hidden="1" x14ac:dyDescent="0.3">
      <c r="A785">
        <v>784</v>
      </c>
      <c r="B785" t="s">
        <v>48</v>
      </c>
      <c r="C785">
        <v>2005</v>
      </c>
      <c r="D785" t="s">
        <v>9</v>
      </c>
      <c r="E785">
        <v>2050</v>
      </c>
      <c r="F785">
        <v>2660000</v>
      </c>
    </row>
    <row r="786" spans="1:6" hidden="1" x14ac:dyDescent="0.3">
      <c r="A786">
        <v>785</v>
      </c>
      <c r="B786" t="s">
        <v>17</v>
      </c>
      <c r="C786">
        <v>2005</v>
      </c>
      <c r="D786" t="s">
        <v>9</v>
      </c>
      <c r="E786">
        <v>145000</v>
      </c>
      <c r="F786">
        <v>0</v>
      </c>
    </row>
    <row r="787" spans="1:6" hidden="1" x14ac:dyDescent="0.3">
      <c r="A787">
        <v>786</v>
      </c>
      <c r="B787" t="s">
        <v>21</v>
      </c>
      <c r="C787">
        <v>2005</v>
      </c>
      <c r="D787" t="s">
        <v>9</v>
      </c>
      <c r="E787">
        <v>10000</v>
      </c>
      <c r="F787">
        <v>0</v>
      </c>
    </row>
    <row r="788" spans="1:6" hidden="1" x14ac:dyDescent="0.3">
      <c r="A788">
        <v>787</v>
      </c>
      <c r="B788" t="s">
        <v>40</v>
      </c>
      <c r="C788">
        <v>2005</v>
      </c>
      <c r="D788" t="s">
        <v>9</v>
      </c>
      <c r="E788">
        <v>2332</v>
      </c>
      <c r="F788">
        <v>0</v>
      </c>
    </row>
    <row r="789" spans="1:6" hidden="1" x14ac:dyDescent="0.3">
      <c r="A789">
        <v>788</v>
      </c>
      <c r="B789" t="s">
        <v>40</v>
      </c>
      <c r="C789">
        <v>2005</v>
      </c>
      <c r="D789" t="s">
        <v>9</v>
      </c>
      <c r="E789">
        <v>0</v>
      </c>
      <c r="F789">
        <v>0</v>
      </c>
    </row>
    <row r="790" spans="1:6" hidden="1" x14ac:dyDescent="0.3">
      <c r="A790">
        <v>789</v>
      </c>
      <c r="B790" t="s">
        <v>40</v>
      </c>
      <c r="C790">
        <v>2005</v>
      </c>
      <c r="D790" t="s">
        <v>11</v>
      </c>
      <c r="E790">
        <v>72141</v>
      </c>
      <c r="F790">
        <v>355700000</v>
      </c>
    </row>
    <row r="791" spans="1:6" x14ac:dyDescent="0.3">
      <c r="A791">
        <v>790</v>
      </c>
      <c r="B791" t="s">
        <v>42</v>
      </c>
      <c r="C791">
        <v>2005</v>
      </c>
      <c r="D791" t="s">
        <v>9</v>
      </c>
      <c r="E791">
        <v>1890</v>
      </c>
      <c r="F791">
        <v>50000000</v>
      </c>
    </row>
    <row r="792" spans="1:6" x14ac:dyDescent="0.3">
      <c r="A792">
        <v>791</v>
      </c>
      <c r="B792" t="s">
        <v>42</v>
      </c>
      <c r="C792">
        <v>2005</v>
      </c>
      <c r="D792" t="s">
        <v>9</v>
      </c>
      <c r="E792">
        <v>3222</v>
      </c>
      <c r="F792">
        <v>0</v>
      </c>
    </row>
    <row r="793" spans="1:6" hidden="1" x14ac:dyDescent="0.3">
      <c r="A793">
        <v>792</v>
      </c>
      <c r="B793" t="s">
        <v>43</v>
      </c>
      <c r="C793">
        <v>2005</v>
      </c>
      <c r="D793" t="s">
        <v>9</v>
      </c>
      <c r="E793">
        <v>18000</v>
      </c>
      <c r="F793">
        <v>27000000</v>
      </c>
    </row>
    <row r="794" spans="1:6" hidden="1" x14ac:dyDescent="0.3">
      <c r="A794">
        <v>793</v>
      </c>
      <c r="B794" t="s">
        <v>35</v>
      </c>
      <c r="C794">
        <v>2005</v>
      </c>
      <c r="D794" t="s">
        <v>9</v>
      </c>
      <c r="E794">
        <v>58020</v>
      </c>
      <c r="F794">
        <v>0</v>
      </c>
    </row>
    <row r="795" spans="1:6" hidden="1" x14ac:dyDescent="0.3">
      <c r="A795">
        <v>794</v>
      </c>
      <c r="B795" t="s">
        <v>21</v>
      </c>
      <c r="C795">
        <v>2005</v>
      </c>
      <c r="D795" t="s">
        <v>11</v>
      </c>
      <c r="E795">
        <v>1954571</v>
      </c>
      <c r="F795">
        <v>2500000000</v>
      </c>
    </row>
    <row r="796" spans="1:6" hidden="1" x14ac:dyDescent="0.3">
      <c r="A796">
        <v>795</v>
      </c>
      <c r="B796" t="s">
        <v>21</v>
      </c>
      <c r="C796">
        <v>2005</v>
      </c>
      <c r="D796" t="s">
        <v>11</v>
      </c>
      <c r="E796">
        <v>1000000</v>
      </c>
      <c r="F796">
        <v>5000000000</v>
      </c>
    </row>
    <row r="797" spans="1:6" hidden="1" x14ac:dyDescent="0.3">
      <c r="A797">
        <v>796</v>
      </c>
      <c r="B797" t="s">
        <v>21</v>
      </c>
      <c r="C797">
        <v>2005</v>
      </c>
      <c r="D797" t="s">
        <v>9</v>
      </c>
      <c r="E797">
        <v>1000</v>
      </c>
      <c r="F797">
        <v>0</v>
      </c>
    </row>
    <row r="798" spans="1:6" hidden="1" x14ac:dyDescent="0.3">
      <c r="A798">
        <v>797</v>
      </c>
      <c r="B798" t="s">
        <v>30</v>
      </c>
      <c r="C798">
        <v>2005</v>
      </c>
      <c r="D798" t="s">
        <v>9</v>
      </c>
      <c r="E798">
        <v>29012</v>
      </c>
      <c r="F798">
        <v>0</v>
      </c>
    </row>
    <row r="799" spans="1:6" hidden="1" x14ac:dyDescent="0.3">
      <c r="A799">
        <v>798</v>
      </c>
      <c r="B799" t="s">
        <v>24</v>
      </c>
      <c r="C799">
        <v>2005</v>
      </c>
      <c r="D799" t="s">
        <v>11</v>
      </c>
      <c r="E799">
        <v>5763</v>
      </c>
      <c r="F799">
        <v>0</v>
      </c>
    </row>
    <row r="800" spans="1:6" hidden="1" x14ac:dyDescent="0.3">
      <c r="A800">
        <v>799</v>
      </c>
      <c r="B800" t="s">
        <v>43</v>
      </c>
      <c r="C800">
        <v>2005</v>
      </c>
      <c r="D800" t="s">
        <v>9</v>
      </c>
      <c r="E800">
        <v>593</v>
      </c>
      <c r="F800">
        <v>0</v>
      </c>
    </row>
    <row r="801" spans="1:6" hidden="1" x14ac:dyDescent="0.3">
      <c r="A801">
        <v>800</v>
      </c>
      <c r="B801" t="s">
        <v>43</v>
      </c>
      <c r="C801">
        <v>2005</v>
      </c>
      <c r="D801" t="s">
        <v>11</v>
      </c>
      <c r="E801">
        <v>8500</v>
      </c>
      <c r="F801">
        <v>20000000</v>
      </c>
    </row>
    <row r="802" spans="1:6" hidden="1" x14ac:dyDescent="0.3">
      <c r="A802">
        <v>801</v>
      </c>
      <c r="B802" t="s">
        <v>21</v>
      </c>
      <c r="C802">
        <v>2005</v>
      </c>
      <c r="D802" t="s">
        <v>11</v>
      </c>
      <c r="E802">
        <v>15000</v>
      </c>
      <c r="F802">
        <v>10000000</v>
      </c>
    </row>
    <row r="803" spans="1:6" hidden="1" x14ac:dyDescent="0.3">
      <c r="A803">
        <v>802</v>
      </c>
      <c r="B803" t="s">
        <v>24</v>
      </c>
      <c r="C803">
        <v>2005</v>
      </c>
      <c r="D803" t="s">
        <v>11</v>
      </c>
      <c r="E803">
        <v>7880</v>
      </c>
      <c r="F803">
        <v>0</v>
      </c>
    </row>
    <row r="804" spans="1:6" hidden="1" x14ac:dyDescent="0.3">
      <c r="A804">
        <v>803</v>
      </c>
      <c r="B804" t="s">
        <v>43</v>
      </c>
      <c r="C804">
        <v>2005</v>
      </c>
      <c r="D804" t="s">
        <v>11</v>
      </c>
      <c r="E804">
        <v>6500</v>
      </c>
      <c r="F804">
        <v>0</v>
      </c>
    </row>
    <row r="805" spans="1:6" hidden="1" x14ac:dyDescent="0.3">
      <c r="A805">
        <v>804</v>
      </c>
      <c r="B805" t="s">
        <v>41</v>
      </c>
      <c r="C805">
        <v>2005</v>
      </c>
      <c r="D805" t="s">
        <v>7</v>
      </c>
      <c r="E805">
        <v>0</v>
      </c>
      <c r="F805">
        <v>0</v>
      </c>
    </row>
    <row r="806" spans="1:6" hidden="1" x14ac:dyDescent="0.3">
      <c r="A806">
        <v>805</v>
      </c>
      <c r="B806" t="s">
        <v>34</v>
      </c>
      <c r="C806">
        <v>2005</v>
      </c>
      <c r="D806" t="s">
        <v>7</v>
      </c>
      <c r="E806">
        <v>3500000</v>
      </c>
      <c r="F806">
        <v>0</v>
      </c>
    </row>
    <row r="807" spans="1:6" hidden="1" x14ac:dyDescent="0.3">
      <c r="A807">
        <v>806</v>
      </c>
      <c r="B807" t="s">
        <v>28</v>
      </c>
      <c r="C807">
        <v>2005</v>
      </c>
      <c r="D807" t="s">
        <v>11</v>
      </c>
      <c r="E807">
        <v>2296</v>
      </c>
      <c r="F807">
        <v>1000000</v>
      </c>
    </row>
    <row r="808" spans="1:6" hidden="1" x14ac:dyDescent="0.3">
      <c r="A808">
        <v>807</v>
      </c>
      <c r="B808" t="s">
        <v>34</v>
      </c>
      <c r="C808">
        <v>2005</v>
      </c>
      <c r="D808" t="s">
        <v>9</v>
      </c>
      <c r="E808">
        <v>1200</v>
      </c>
      <c r="F808">
        <v>0</v>
      </c>
    </row>
    <row r="809" spans="1:6" hidden="1" x14ac:dyDescent="0.3">
      <c r="A809">
        <v>808</v>
      </c>
      <c r="B809" t="s">
        <v>29</v>
      </c>
      <c r="C809">
        <v>2005</v>
      </c>
      <c r="D809" t="s">
        <v>11</v>
      </c>
      <c r="E809">
        <v>0</v>
      </c>
      <c r="F809">
        <v>50000</v>
      </c>
    </row>
    <row r="810" spans="1:6" hidden="1" x14ac:dyDescent="0.3">
      <c r="A810">
        <v>809</v>
      </c>
      <c r="B810" t="s">
        <v>21</v>
      </c>
      <c r="C810">
        <v>2005</v>
      </c>
      <c r="D810" t="s">
        <v>9</v>
      </c>
      <c r="E810">
        <v>3000</v>
      </c>
      <c r="F810">
        <v>0</v>
      </c>
    </row>
    <row r="811" spans="1:6" hidden="1" x14ac:dyDescent="0.3">
      <c r="A811">
        <v>810</v>
      </c>
      <c r="B811" t="s">
        <v>21</v>
      </c>
      <c r="C811">
        <v>2005</v>
      </c>
      <c r="D811" t="s">
        <v>11</v>
      </c>
      <c r="E811">
        <v>0</v>
      </c>
      <c r="F811">
        <v>400000000</v>
      </c>
    </row>
    <row r="812" spans="1:6" hidden="1" x14ac:dyDescent="0.3">
      <c r="A812">
        <v>811</v>
      </c>
      <c r="B812" t="s">
        <v>33</v>
      </c>
      <c r="C812">
        <v>2005</v>
      </c>
      <c r="D812" t="s">
        <v>9</v>
      </c>
      <c r="E812">
        <v>30000</v>
      </c>
      <c r="F812">
        <v>0</v>
      </c>
    </row>
    <row r="813" spans="1:6" hidden="1" x14ac:dyDescent="0.3">
      <c r="A813">
        <v>812</v>
      </c>
      <c r="B813" t="s">
        <v>35</v>
      </c>
      <c r="C813">
        <v>2005</v>
      </c>
      <c r="D813" t="s">
        <v>14</v>
      </c>
      <c r="E813">
        <v>5128309</v>
      </c>
      <c r="F813">
        <v>5200000000</v>
      </c>
    </row>
    <row r="814" spans="1:6" hidden="1" x14ac:dyDescent="0.3">
      <c r="A814">
        <v>813</v>
      </c>
      <c r="B814" t="s">
        <v>35</v>
      </c>
      <c r="C814">
        <v>2005</v>
      </c>
      <c r="D814" t="s">
        <v>9</v>
      </c>
      <c r="E814">
        <v>460073</v>
      </c>
      <c r="F814">
        <v>0</v>
      </c>
    </row>
    <row r="815" spans="1:6" hidden="1" x14ac:dyDescent="0.3">
      <c r="A815">
        <v>814</v>
      </c>
      <c r="B815" t="s">
        <v>36</v>
      </c>
      <c r="C815">
        <v>2005</v>
      </c>
      <c r="D815" t="s">
        <v>14</v>
      </c>
      <c r="E815">
        <v>0</v>
      </c>
      <c r="F815">
        <v>50000</v>
      </c>
    </row>
    <row r="816" spans="1:6" hidden="1" x14ac:dyDescent="0.3">
      <c r="A816">
        <v>815</v>
      </c>
      <c r="B816" t="s">
        <v>36</v>
      </c>
      <c r="C816">
        <v>2005</v>
      </c>
      <c r="D816" t="s">
        <v>14</v>
      </c>
      <c r="E816">
        <v>2505</v>
      </c>
      <c r="F816">
        <v>0</v>
      </c>
    </row>
    <row r="817" spans="1:6" hidden="1" x14ac:dyDescent="0.3">
      <c r="A817">
        <v>816</v>
      </c>
      <c r="B817" t="s">
        <v>37</v>
      </c>
      <c r="C817">
        <v>2005</v>
      </c>
      <c r="D817" t="s">
        <v>9</v>
      </c>
      <c r="E817">
        <v>100</v>
      </c>
      <c r="F817">
        <v>0</v>
      </c>
    </row>
    <row r="818" spans="1:6" hidden="1" x14ac:dyDescent="0.3">
      <c r="A818">
        <v>817</v>
      </c>
      <c r="B818" t="s">
        <v>39</v>
      </c>
      <c r="C818">
        <v>2005</v>
      </c>
      <c r="D818" t="s">
        <v>9</v>
      </c>
      <c r="E818">
        <v>14669</v>
      </c>
      <c r="F818">
        <v>800000000</v>
      </c>
    </row>
    <row r="819" spans="1:6" hidden="1" x14ac:dyDescent="0.3">
      <c r="A819">
        <v>818</v>
      </c>
      <c r="B819" t="s">
        <v>39</v>
      </c>
      <c r="C819">
        <v>2005</v>
      </c>
      <c r="D819" t="s">
        <v>9</v>
      </c>
      <c r="E819">
        <v>2000</v>
      </c>
      <c r="F819">
        <v>313000000</v>
      </c>
    </row>
    <row r="820" spans="1:6" hidden="1" x14ac:dyDescent="0.3">
      <c r="A820">
        <v>819</v>
      </c>
      <c r="B820" t="s">
        <v>39</v>
      </c>
      <c r="C820">
        <v>2005</v>
      </c>
      <c r="D820" t="s">
        <v>9</v>
      </c>
      <c r="E820">
        <v>30800</v>
      </c>
      <c r="F820">
        <v>0</v>
      </c>
    </row>
    <row r="821" spans="1:6" hidden="1" x14ac:dyDescent="0.3">
      <c r="A821">
        <v>820</v>
      </c>
      <c r="B821" t="s">
        <v>40</v>
      </c>
      <c r="C821">
        <v>2005</v>
      </c>
      <c r="D821" t="s">
        <v>11</v>
      </c>
      <c r="E821">
        <v>0</v>
      </c>
      <c r="F821">
        <v>0</v>
      </c>
    </row>
    <row r="822" spans="1:6" hidden="1" x14ac:dyDescent="0.3">
      <c r="A822">
        <v>821</v>
      </c>
      <c r="B822" t="s">
        <v>41</v>
      </c>
      <c r="C822">
        <v>2005</v>
      </c>
      <c r="D822" t="s">
        <v>9</v>
      </c>
      <c r="E822">
        <v>2500</v>
      </c>
      <c r="F822">
        <v>0</v>
      </c>
    </row>
    <row r="823" spans="1:6" hidden="1" x14ac:dyDescent="0.3">
      <c r="A823">
        <v>822</v>
      </c>
      <c r="B823" t="s">
        <v>43</v>
      </c>
      <c r="C823">
        <v>2005</v>
      </c>
      <c r="D823" t="s">
        <v>9</v>
      </c>
      <c r="E823">
        <v>33800</v>
      </c>
      <c r="F823">
        <v>12000000</v>
      </c>
    </row>
    <row r="824" spans="1:6" hidden="1" x14ac:dyDescent="0.3">
      <c r="A824">
        <v>823</v>
      </c>
      <c r="B824" t="s">
        <v>43</v>
      </c>
      <c r="C824">
        <v>2005</v>
      </c>
      <c r="D824" t="s">
        <v>9</v>
      </c>
      <c r="E824">
        <v>30000</v>
      </c>
      <c r="F824">
        <v>0</v>
      </c>
    </row>
    <row r="825" spans="1:6" hidden="1" x14ac:dyDescent="0.3">
      <c r="A825">
        <v>824</v>
      </c>
      <c r="B825" t="s">
        <v>43</v>
      </c>
      <c r="C825">
        <v>2005</v>
      </c>
      <c r="D825" t="s">
        <v>9</v>
      </c>
      <c r="E825">
        <v>10000</v>
      </c>
      <c r="F825">
        <v>15000000</v>
      </c>
    </row>
    <row r="826" spans="1:6" hidden="1" x14ac:dyDescent="0.3">
      <c r="A826">
        <v>825</v>
      </c>
      <c r="B826" t="s">
        <v>43</v>
      </c>
      <c r="C826">
        <v>2005</v>
      </c>
      <c r="D826" t="s">
        <v>11</v>
      </c>
      <c r="E826">
        <v>15000</v>
      </c>
      <c r="F826">
        <v>11000000</v>
      </c>
    </row>
    <row r="827" spans="1:6" hidden="1" x14ac:dyDescent="0.3">
      <c r="A827">
        <v>826</v>
      </c>
      <c r="B827" t="s">
        <v>43</v>
      </c>
      <c r="C827">
        <v>2005</v>
      </c>
      <c r="D827" t="s">
        <v>7</v>
      </c>
      <c r="E827">
        <v>410000</v>
      </c>
      <c r="F827">
        <v>42120000</v>
      </c>
    </row>
    <row r="828" spans="1:6" hidden="1" x14ac:dyDescent="0.3">
      <c r="A828">
        <v>827</v>
      </c>
      <c r="B828" t="s">
        <v>46</v>
      </c>
      <c r="C828">
        <v>2005</v>
      </c>
      <c r="D828" t="s">
        <v>9</v>
      </c>
      <c r="E828">
        <v>6</v>
      </c>
      <c r="F828">
        <v>0</v>
      </c>
    </row>
    <row r="829" spans="1:6" hidden="1" x14ac:dyDescent="0.3">
      <c r="A829">
        <v>828</v>
      </c>
      <c r="B829" t="s">
        <v>21</v>
      </c>
      <c r="C829">
        <v>2006</v>
      </c>
      <c r="D829" t="s">
        <v>11</v>
      </c>
      <c r="E829">
        <v>10000</v>
      </c>
      <c r="F829">
        <v>0</v>
      </c>
    </row>
    <row r="830" spans="1:6" hidden="1" x14ac:dyDescent="0.3">
      <c r="A830">
        <v>829</v>
      </c>
      <c r="B830" t="s">
        <v>21</v>
      </c>
      <c r="C830">
        <v>2006</v>
      </c>
      <c r="D830" t="s">
        <v>11</v>
      </c>
      <c r="E830">
        <v>240700</v>
      </c>
      <c r="F830">
        <v>2700000</v>
      </c>
    </row>
    <row r="831" spans="1:6" hidden="1" x14ac:dyDescent="0.3">
      <c r="A831">
        <v>830</v>
      </c>
      <c r="B831" t="s">
        <v>37</v>
      </c>
      <c r="C831">
        <v>2006</v>
      </c>
      <c r="D831" t="s">
        <v>11</v>
      </c>
      <c r="E831">
        <v>42000</v>
      </c>
      <c r="F831">
        <v>3328000</v>
      </c>
    </row>
    <row r="832" spans="1:6" hidden="1" x14ac:dyDescent="0.3">
      <c r="A832">
        <v>831</v>
      </c>
      <c r="B832" t="s">
        <v>37</v>
      </c>
      <c r="C832">
        <v>2006</v>
      </c>
      <c r="D832" t="s">
        <v>11</v>
      </c>
      <c r="E832">
        <v>51680</v>
      </c>
      <c r="F832">
        <v>3000000</v>
      </c>
    </row>
    <row r="833" spans="1:6" hidden="1" x14ac:dyDescent="0.3">
      <c r="A833">
        <v>832</v>
      </c>
      <c r="B833" t="s">
        <v>37</v>
      </c>
      <c r="C833">
        <v>2006</v>
      </c>
      <c r="D833" t="s">
        <v>11</v>
      </c>
      <c r="E833">
        <v>3842406</v>
      </c>
      <c r="F833">
        <v>113000000</v>
      </c>
    </row>
    <row r="834" spans="1:6" hidden="1" x14ac:dyDescent="0.3">
      <c r="A834">
        <v>833</v>
      </c>
      <c r="B834" t="s">
        <v>37</v>
      </c>
      <c r="C834">
        <v>2006</v>
      </c>
      <c r="D834" t="s">
        <v>11</v>
      </c>
      <c r="E834">
        <v>283021</v>
      </c>
      <c r="F834">
        <v>9077000</v>
      </c>
    </row>
    <row r="835" spans="1:6" hidden="1" x14ac:dyDescent="0.3">
      <c r="A835">
        <v>834</v>
      </c>
      <c r="B835" t="s">
        <v>43</v>
      </c>
      <c r="C835">
        <v>2006</v>
      </c>
      <c r="D835" t="s">
        <v>11</v>
      </c>
      <c r="E835">
        <v>2000</v>
      </c>
      <c r="F835">
        <v>0</v>
      </c>
    </row>
    <row r="836" spans="1:6" hidden="1" x14ac:dyDescent="0.3">
      <c r="A836">
        <v>835</v>
      </c>
      <c r="B836" t="s">
        <v>35</v>
      </c>
      <c r="C836">
        <v>2006</v>
      </c>
      <c r="D836" t="s">
        <v>9</v>
      </c>
      <c r="E836">
        <v>0</v>
      </c>
      <c r="F836">
        <v>0</v>
      </c>
    </row>
    <row r="837" spans="1:6" hidden="1" x14ac:dyDescent="0.3">
      <c r="A837">
        <v>836</v>
      </c>
      <c r="B837" t="s">
        <v>37</v>
      </c>
      <c r="C837">
        <v>2006</v>
      </c>
      <c r="D837" t="s">
        <v>11</v>
      </c>
      <c r="E837">
        <v>2562517</v>
      </c>
      <c r="F837">
        <v>66400000</v>
      </c>
    </row>
    <row r="838" spans="1:6" hidden="1" x14ac:dyDescent="0.3">
      <c r="A838">
        <v>837</v>
      </c>
      <c r="B838" t="s">
        <v>28</v>
      </c>
      <c r="C838">
        <v>2006</v>
      </c>
      <c r="D838" t="s">
        <v>9</v>
      </c>
      <c r="E838">
        <v>5000</v>
      </c>
      <c r="F838">
        <v>0</v>
      </c>
    </row>
    <row r="839" spans="1:6" hidden="1" x14ac:dyDescent="0.3">
      <c r="A839">
        <v>838</v>
      </c>
      <c r="B839" t="s">
        <v>17</v>
      </c>
      <c r="C839">
        <v>2006</v>
      </c>
      <c r="D839" t="s">
        <v>9</v>
      </c>
      <c r="E839">
        <v>333002</v>
      </c>
      <c r="F839">
        <v>3000000</v>
      </c>
    </row>
    <row r="840" spans="1:6" hidden="1" x14ac:dyDescent="0.3">
      <c r="A840">
        <v>839</v>
      </c>
      <c r="B840" t="s">
        <v>35</v>
      </c>
      <c r="C840">
        <v>2006</v>
      </c>
      <c r="D840" t="s">
        <v>9</v>
      </c>
      <c r="E840">
        <v>2000</v>
      </c>
      <c r="F840">
        <v>0</v>
      </c>
    </row>
    <row r="841" spans="1:6" hidden="1" x14ac:dyDescent="0.3">
      <c r="A841">
        <v>840</v>
      </c>
      <c r="B841" t="s">
        <v>35</v>
      </c>
      <c r="C841">
        <v>2006</v>
      </c>
      <c r="D841" t="s">
        <v>9</v>
      </c>
      <c r="E841">
        <v>775</v>
      </c>
      <c r="F841">
        <v>0</v>
      </c>
    </row>
    <row r="842" spans="1:6" hidden="1" x14ac:dyDescent="0.3">
      <c r="A842">
        <v>841</v>
      </c>
      <c r="B842" t="s">
        <v>37</v>
      </c>
      <c r="C842">
        <v>2006</v>
      </c>
      <c r="D842" t="s">
        <v>9</v>
      </c>
      <c r="E842">
        <v>415618</v>
      </c>
      <c r="F842">
        <v>3395000</v>
      </c>
    </row>
    <row r="843" spans="1:6" hidden="1" x14ac:dyDescent="0.3">
      <c r="A843">
        <v>842</v>
      </c>
      <c r="B843" t="s">
        <v>37</v>
      </c>
      <c r="C843">
        <v>2006</v>
      </c>
      <c r="D843" t="s">
        <v>11</v>
      </c>
      <c r="E843">
        <v>21260</v>
      </c>
      <c r="F843">
        <v>0</v>
      </c>
    </row>
    <row r="844" spans="1:6" hidden="1" x14ac:dyDescent="0.3">
      <c r="A844">
        <v>843</v>
      </c>
      <c r="B844" t="s">
        <v>37</v>
      </c>
      <c r="C844">
        <v>2006</v>
      </c>
      <c r="D844" t="s">
        <v>9</v>
      </c>
      <c r="E844">
        <v>15000</v>
      </c>
      <c r="F844">
        <v>0</v>
      </c>
    </row>
    <row r="845" spans="1:6" hidden="1" x14ac:dyDescent="0.3">
      <c r="A845">
        <v>844</v>
      </c>
      <c r="B845" t="s">
        <v>39</v>
      </c>
      <c r="C845">
        <v>2006</v>
      </c>
      <c r="D845" t="s">
        <v>9</v>
      </c>
      <c r="E845">
        <v>5712</v>
      </c>
      <c r="F845">
        <v>0</v>
      </c>
    </row>
    <row r="846" spans="1:6" hidden="1" x14ac:dyDescent="0.3">
      <c r="A846">
        <v>845</v>
      </c>
      <c r="B846" t="s">
        <v>43</v>
      </c>
      <c r="C846">
        <v>2006</v>
      </c>
      <c r="D846" t="s">
        <v>9</v>
      </c>
      <c r="E846">
        <v>2000</v>
      </c>
      <c r="F846">
        <v>0</v>
      </c>
    </row>
    <row r="847" spans="1:6" hidden="1" x14ac:dyDescent="0.3">
      <c r="A847">
        <v>846</v>
      </c>
      <c r="B847" t="s">
        <v>43</v>
      </c>
      <c r="C847">
        <v>2006</v>
      </c>
      <c r="D847" t="s">
        <v>9</v>
      </c>
      <c r="E847">
        <v>50020</v>
      </c>
      <c r="F847">
        <v>8000000</v>
      </c>
    </row>
    <row r="848" spans="1:6" hidden="1" x14ac:dyDescent="0.3">
      <c r="A848">
        <v>847</v>
      </c>
      <c r="B848" t="s">
        <v>31</v>
      </c>
      <c r="C848">
        <v>2006</v>
      </c>
      <c r="D848" t="s">
        <v>9</v>
      </c>
      <c r="E848">
        <v>2100</v>
      </c>
      <c r="F848">
        <v>8490000</v>
      </c>
    </row>
    <row r="849" spans="1:6" hidden="1" x14ac:dyDescent="0.3">
      <c r="A849">
        <v>848</v>
      </c>
      <c r="B849" t="s">
        <v>37</v>
      </c>
      <c r="C849">
        <v>2006</v>
      </c>
      <c r="D849" t="s">
        <v>9</v>
      </c>
      <c r="E849">
        <v>40000</v>
      </c>
      <c r="F849">
        <v>763000</v>
      </c>
    </row>
    <row r="850" spans="1:6" hidden="1" x14ac:dyDescent="0.3">
      <c r="A850">
        <v>849</v>
      </c>
      <c r="B850" t="s">
        <v>39</v>
      </c>
      <c r="C850">
        <v>2006</v>
      </c>
      <c r="D850" t="s">
        <v>9</v>
      </c>
      <c r="E850">
        <v>0</v>
      </c>
      <c r="F850">
        <v>0</v>
      </c>
    </row>
    <row r="851" spans="1:6" hidden="1" x14ac:dyDescent="0.3">
      <c r="A851">
        <v>850</v>
      </c>
      <c r="B851" t="s">
        <v>43</v>
      </c>
      <c r="C851">
        <v>2006</v>
      </c>
      <c r="D851" t="s">
        <v>11</v>
      </c>
      <c r="E851">
        <v>0</v>
      </c>
      <c r="F851">
        <v>10000000</v>
      </c>
    </row>
    <row r="852" spans="1:6" hidden="1" x14ac:dyDescent="0.3">
      <c r="A852">
        <v>851</v>
      </c>
      <c r="B852" t="s">
        <v>43</v>
      </c>
      <c r="C852">
        <v>2006</v>
      </c>
      <c r="D852" t="s">
        <v>11</v>
      </c>
      <c r="E852">
        <v>1005</v>
      </c>
      <c r="F852">
        <v>0</v>
      </c>
    </row>
    <row r="853" spans="1:6" hidden="1" x14ac:dyDescent="0.3">
      <c r="A853">
        <v>852</v>
      </c>
      <c r="B853" t="s">
        <v>22</v>
      </c>
      <c r="C853">
        <v>2006</v>
      </c>
      <c r="D853" t="s">
        <v>11</v>
      </c>
      <c r="E853">
        <v>304</v>
      </c>
      <c r="F853">
        <v>0</v>
      </c>
    </row>
    <row r="854" spans="1:6" hidden="1" x14ac:dyDescent="0.3">
      <c r="A854">
        <v>853</v>
      </c>
      <c r="B854" t="s">
        <v>36</v>
      </c>
      <c r="C854">
        <v>2006</v>
      </c>
      <c r="D854" t="s">
        <v>9</v>
      </c>
      <c r="E854">
        <v>15325</v>
      </c>
      <c r="F854">
        <v>0</v>
      </c>
    </row>
    <row r="855" spans="1:6" hidden="1" x14ac:dyDescent="0.3">
      <c r="A855">
        <v>854</v>
      </c>
      <c r="B855" t="s">
        <v>37</v>
      </c>
      <c r="C855">
        <v>2006</v>
      </c>
      <c r="D855" t="s">
        <v>11</v>
      </c>
      <c r="E855">
        <v>200355</v>
      </c>
      <c r="F855">
        <v>471000</v>
      </c>
    </row>
    <row r="856" spans="1:6" hidden="1" x14ac:dyDescent="0.3">
      <c r="A856">
        <v>855</v>
      </c>
      <c r="B856" t="s">
        <v>37</v>
      </c>
      <c r="C856">
        <v>2006</v>
      </c>
      <c r="D856" t="s">
        <v>11</v>
      </c>
      <c r="E856">
        <v>476027</v>
      </c>
      <c r="F856">
        <v>645000</v>
      </c>
    </row>
    <row r="857" spans="1:6" hidden="1" x14ac:dyDescent="0.3">
      <c r="A857">
        <v>856</v>
      </c>
      <c r="B857" t="s">
        <v>39</v>
      </c>
      <c r="C857">
        <v>2006</v>
      </c>
      <c r="D857" t="s">
        <v>9</v>
      </c>
      <c r="E857">
        <v>17071</v>
      </c>
      <c r="F857">
        <v>0</v>
      </c>
    </row>
    <row r="858" spans="1:6" hidden="1" x14ac:dyDescent="0.3">
      <c r="A858">
        <v>857</v>
      </c>
      <c r="B858" t="s">
        <v>39</v>
      </c>
      <c r="C858">
        <v>2006</v>
      </c>
      <c r="D858" t="s">
        <v>9</v>
      </c>
      <c r="E858">
        <v>600</v>
      </c>
      <c r="F858">
        <v>0</v>
      </c>
    </row>
    <row r="859" spans="1:6" hidden="1" x14ac:dyDescent="0.3">
      <c r="A859">
        <v>858</v>
      </c>
      <c r="B859" t="s">
        <v>46</v>
      </c>
      <c r="C859">
        <v>2006</v>
      </c>
      <c r="D859" t="s">
        <v>9</v>
      </c>
      <c r="E859">
        <v>320</v>
      </c>
      <c r="F859">
        <v>0</v>
      </c>
    </row>
    <row r="860" spans="1:6" hidden="1" x14ac:dyDescent="0.3">
      <c r="A860">
        <v>859</v>
      </c>
      <c r="B860" t="s">
        <v>21</v>
      </c>
      <c r="C860">
        <v>2006</v>
      </c>
      <c r="D860" t="s">
        <v>11</v>
      </c>
      <c r="E860">
        <v>20000</v>
      </c>
      <c r="F860">
        <v>0</v>
      </c>
    </row>
    <row r="861" spans="1:6" hidden="1" x14ac:dyDescent="0.3">
      <c r="A861">
        <v>860</v>
      </c>
      <c r="B861" t="s">
        <v>45</v>
      </c>
      <c r="C861">
        <v>2006</v>
      </c>
      <c r="D861" t="s">
        <v>11</v>
      </c>
      <c r="E861">
        <v>60106</v>
      </c>
      <c r="F861">
        <v>0</v>
      </c>
    </row>
    <row r="862" spans="1:6" hidden="1" x14ac:dyDescent="0.3">
      <c r="A862">
        <v>861</v>
      </c>
      <c r="B862" t="s">
        <v>43</v>
      </c>
      <c r="C862">
        <v>2006</v>
      </c>
      <c r="D862" t="s">
        <v>11</v>
      </c>
      <c r="E862">
        <v>1226360</v>
      </c>
      <c r="F862">
        <v>456000000</v>
      </c>
    </row>
    <row r="863" spans="1:6" hidden="1" x14ac:dyDescent="0.3">
      <c r="A863">
        <v>862</v>
      </c>
      <c r="B863" t="s">
        <v>48</v>
      </c>
      <c r="C863">
        <v>2006</v>
      </c>
      <c r="D863" t="s">
        <v>11</v>
      </c>
      <c r="E863">
        <v>9075</v>
      </c>
      <c r="F863">
        <v>0</v>
      </c>
    </row>
    <row r="864" spans="1:6" hidden="1" x14ac:dyDescent="0.3">
      <c r="A864">
        <v>863</v>
      </c>
      <c r="B864" t="s">
        <v>34</v>
      </c>
      <c r="C864">
        <v>2006</v>
      </c>
      <c r="D864" t="s">
        <v>9</v>
      </c>
      <c r="E864">
        <v>17300</v>
      </c>
      <c r="F864">
        <v>0</v>
      </c>
    </row>
    <row r="865" spans="1:6" hidden="1" x14ac:dyDescent="0.3">
      <c r="A865">
        <v>864</v>
      </c>
      <c r="B865" t="s">
        <v>34</v>
      </c>
      <c r="C865">
        <v>2006</v>
      </c>
      <c r="D865" t="s">
        <v>9</v>
      </c>
      <c r="E865">
        <v>13000</v>
      </c>
      <c r="F865">
        <v>0</v>
      </c>
    </row>
    <row r="866" spans="1:6" hidden="1" x14ac:dyDescent="0.3">
      <c r="A866">
        <v>865</v>
      </c>
      <c r="B866" t="s">
        <v>34</v>
      </c>
      <c r="C866">
        <v>2006</v>
      </c>
      <c r="D866" t="s">
        <v>9</v>
      </c>
      <c r="E866">
        <v>30000</v>
      </c>
      <c r="F866">
        <v>0</v>
      </c>
    </row>
    <row r="867" spans="1:6" hidden="1" x14ac:dyDescent="0.3">
      <c r="A867">
        <v>866</v>
      </c>
      <c r="B867" t="s">
        <v>34</v>
      </c>
      <c r="C867">
        <v>2006</v>
      </c>
      <c r="D867" t="s">
        <v>9</v>
      </c>
      <c r="E867">
        <v>723000</v>
      </c>
      <c r="F867">
        <v>0</v>
      </c>
    </row>
    <row r="868" spans="1:6" hidden="1" x14ac:dyDescent="0.3">
      <c r="A868">
        <v>867</v>
      </c>
      <c r="B868" t="s">
        <v>48</v>
      </c>
      <c r="C868">
        <v>2006</v>
      </c>
      <c r="D868" t="s">
        <v>14</v>
      </c>
      <c r="E868">
        <v>12050</v>
      </c>
      <c r="F868">
        <v>0</v>
      </c>
    </row>
    <row r="869" spans="1:6" hidden="1" x14ac:dyDescent="0.3">
      <c r="A869">
        <v>868</v>
      </c>
      <c r="B869" t="s">
        <v>29</v>
      </c>
      <c r="C869">
        <v>2006</v>
      </c>
      <c r="D869" t="s">
        <v>9</v>
      </c>
      <c r="E869">
        <v>1100</v>
      </c>
      <c r="F869">
        <v>0</v>
      </c>
    </row>
    <row r="870" spans="1:6" hidden="1" x14ac:dyDescent="0.3">
      <c r="A870">
        <v>869</v>
      </c>
      <c r="B870" t="s">
        <v>29</v>
      </c>
      <c r="C870">
        <v>2006</v>
      </c>
      <c r="D870" t="s">
        <v>9</v>
      </c>
      <c r="E870">
        <v>0</v>
      </c>
      <c r="F870">
        <v>0</v>
      </c>
    </row>
    <row r="871" spans="1:6" hidden="1" x14ac:dyDescent="0.3">
      <c r="A871">
        <v>870</v>
      </c>
      <c r="B871" t="s">
        <v>29</v>
      </c>
      <c r="C871">
        <v>2006</v>
      </c>
      <c r="D871" t="s">
        <v>9</v>
      </c>
      <c r="E871">
        <v>1000</v>
      </c>
      <c r="F871">
        <v>0</v>
      </c>
    </row>
    <row r="872" spans="1:6" hidden="1" x14ac:dyDescent="0.3">
      <c r="A872">
        <v>871</v>
      </c>
      <c r="B872" t="s">
        <v>22</v>
      </c>
      <c r="C872">
        <v>2006</v>
      </c>
      <c r="D872" t="s">
        <v>11</v>
      </c>
      <c r="E872">
        <v>6212</v>
      </c>
      <c r="F872">
        <v>0</v>
      </c>
    </row>
    <row r="873" spans="1:6" hidden="1" x14ac:dyDescent="0.3">
      <c r="A873">
        <v>872</v>
      </c>
      <c r="B873" t="s">
        <v>21</v>
      </c>
      <c r="C873">
        <v>2006</v>
      </c>
      <c r="D873" t="s">
        <v>9</v>
      </c>
      <c r="E873">
        <v>0</v>
      </c>
      <c r="F873">
        <v>0</v>
      </c>
    </row>
    <row r="874" spans="1:6" hidden="1" x14ac:dyDescent="0.3">
      <c r="A874">
        <v>873</v>
      </c>
      <c r="B874" t="s">
        <v>45</v>
      </c>
      <c r="C874">
        <v>2006</v>
      </c>
      <c r="D874" t="s">
        <v>9</v>
      </c>
      <c r="E874">
        <v>10000</v>
      </c>
      <c r="F874">
        <v>0</v>
      </c>
    </row>
    <row r="875" spans="1:6" hidden="1" x14ac:dyDescent="0.3">
      <c r="A875">
        <v>874</v>
      </c>
      <c r="B875" t="s">
        <v>30</v>
      </c>
      <c r="C875">
        <v>2006</v>
      </c>
      <c r="D875" t="s">
        <v>14</v>
      </c>
      <c r="E875">
        <v>1476</v>
      </c>
      <c r="F875">
        <v>0</v>
      </c>
    </row>
    <row r="876" spans="1:6" hidden="1" x14ac:dyDescent="0.3">
      <c r="A876">
        <v>875</v>
      </c>
      <c r="B876" t="s">
        <v>31</v>
      </c>
      <c r="C876">
        <v>2006</v>
      </c>
      <c r="D876" t="s">
        <v>9</v>
      </c>
      <c r="E876">
        <v>200</v>
      </c>
      <c r="F876">
        <v>0</v>
      </c>
    </row>
    <row r="877" spans="1:6" hidden="1" x14ac:dyDescent="0.3">
      <c r="A877">
        <v>876</v>
      </c>
      <c r="B877" t="s">
        <v>32</v>
      </c>
      <c r="C877">
        <v>2006</v>
      </c>
      <c r="D877" t="s">
        <v>9</v>
      </c>
      <c r="E877">
        <v>46472</v>
      </c>
      <c r="F877">
        <v>0</v>
      </c>
    </row>
    <row r="878" spans="1:6" hidden="1" x14ac:dyDescent="0.3">
      <c r="A878">
        <v>877</v>
      </c>
      <c r="B878" t="s">
        <v>33</v>
      </c>
      <c r="C878">
        <v>2006</v>
      </c>
      <c r="D878" t="s">
        <v>9</v>
      </c>
      <c r="E878">
        <v>0</v>
      </c>
      <c r="F878">
        <v>0</v>
      </c>
    </row>
    <row r="879" spans="1:6" hidden="1" x14ac:dyDescent="0.3">
      <c r="A879">
        <v>878</v>
      </c>
      <c r="B879" t="s">
        <v>33</v>
      </c>
      <c r="C879">
        <v>2006</v>
      </c>
      <c r="D879" t="s">
        <v>7</v>
      </c>
      <c r="E879">
        <v>200000</v>
      </c>
      <c r="F879">
        <v>0</v>
      </c>
    </row>
    <row r="880" spans="1:6" hidden="1" x14ac:dyDescent="0.3">
      <c r="A880">
        <v>879</v>
      </c>
      <c r="B880" t="s">
        <v>35</v>
      </c>
      <c r="C880">
        <v>2006</v>
      </c>
      <c r="D880" t="s">
        <v>9</v>
      </c>
      <c r="E880">
        <v>0</v>
      </c>
      <c r="F880">
        <v>0</v>
      </c>
    </row>
    <row r="881" spans="1:6" hidden="1" x14ac:dyDescent="0.3">
      <c r="A881">
        <v>880</v>
      </c>
      <c r="B881" t="s">
        <v>35</v>
      </c>
      <c r="C881">
        <v>2006</v>
      </c>
      <c r="D881" t="s">
        <v>9</v>
      </c>
      <c r="E881">
        <v>300</v>
      </c>
      <c r="F881">
        <v>0</v>
      </c>
    </row>
    <row r="882" spans="1:6" hidden="1" x14ac:dyDescent="0.3">
      <c r="A882">
        <v>881</v>
      </c>
      <c r="B882" t="s">
        <v>35</v>
      </c>
      <c r="C882">
        <v>2006</v>
      </c>
      <c r="D882" t="s">
        <v>9</v>
      </c>
      <c r="E882">
        <v>5050</v>
      </c>
      <c r="F882">
        <v>0</v>
      </c>
    </row>
    <row r="883" spans="1:6" hidden="1" x14ac:dyDescent="0.3">
      <c r="A883">
        <v>882</v>
      </c>
      <c r="B883" t="s">
        <v>35</v>
      </c>
      <c r="C883">
        <v>2006</v>
      </c>
      <c r="D883" t="s">
        <v>9</v>
      </c>
      <c r="E883">
        <v>0</v>
      </c>
      <c r="F883">
        <v>0</v>
      </c>
    </row>
    <row r="884" spans="1:6" hidden="1" x14ac:dyDescent="0.3">
      <c r="A884">
        <v>883</v>
      </c>
      <c r="B884" t="s">
        <v>36</v>
      </c>
      <c r="C884">
        <v>2006</v>
      </c>
      <c r="D884" t="s">
        <v>7</v>
      </c>
      <c r="E884">
        <v>0</v>
      </c>
      <c r="F884">
        <v>0</v>
      </c>
    </row>
    <row r="885" spans="1:6" hidden="1" x14ac:dyDescent="0.3">
      <c r="A885">
        <v>884</v>
      </c>
      <c r="B885" t="s">
        <v>37</v>
      </c>
      <c r="C885">
        <v>2006</v>
      </c>
      <c r="D885" t="s">
        <v>9</v>
      </c>
      <c r="E885">
        <v>256641</v>
      </c>
      <c r="F885">
        <v>9600000</v>
      </c>
    </row>
    <row r="886" spans="1:6" hidden="1" x14ac:dyDescent="0.3">
      <c r="A886">
        <v>885</v>
      </c>
      <c r="B886" t="s">
        <v>37</v>
      </c>
      <c r="C886">
        <v>2006</v>
      </c>
      <c r="D886" t="s">
        <v>9</v>
      </c>
      <c r="E886">
        <v>1000</v>
      </c>
      <c r="F886">
        <v>0</v>
      </c>
    </row>
    <row r="887" spans="1:6" hidden="1" x14ac:dyDescent="0.3">
      <c r="A887">
        <v>886</v>
      </c>
      <c r="B887" t="s">
        <v>37</v>
      </c>
      <c r="C887">
        <v>2006</v>
      </c>
      <c r="D887" t="s">
        <v>9</v>
      </c>
      <c r="E887">
        <v>4250</v>
      </c>
      <c r="F887">
        <v>399000</v>
      </c>
    </row>
    <row r="888" spans="1:6" hidden="1" x14ac:dyDescent="0.3">
      <c r="A888">
        <v>887</v>
      </c>
      <c r="B888" t="s">
        <v>37</v>
      </c>
      <c r="C888">
        <v>2006</v>
      </c>
      <c r="D888" t="s">
        <v>11</v>
      </c>
      <c r="E888">
        <v>15000</v>
      </c>
      <c r="F888">
        <v>135000000</v>
      </c>
    </row>
    <row r="889" spans="1:6" hidden="1" x14ac:dyDescent="0.3">
      <c r="A889">
        <v>888</v>
      </c>
      <c r="B889" t="s">
        <v>37</v>
      </c>
      <c r="C889">
        <v>2006</v>
      </c>
      <c r="D889" t="s">
        <v>11</v>
      </c>
      <c r="E889">
        <v>327542</v>
      </c>
      <c r="F889">
        <v>0</v>
      </c>
    </row>
    <row r="890" spans="1:6" hidden="1" x14ac:dyDescent="0.3">
      <c r="A890">
        <v>889</v>
      </c>
      <c r="B890" t="s">
        <v>39</v>
      </c>
      <c r="C890">
        <v>2006</v>
      </c>
      <c r="D890" t="s">
        <v>9</v>
      </c>
      <c r="E890">
        <v>600</v>
      </c>
      <c r="F890">
        <v>0</v>
      </c>
    </row>
    <row r="891" spans="1:6" hidden="1" x14ac:dyDescent="0.3">
      <c r="A891">
        <v>890</v>
      </c>
      <c r="B891" t="s">
        <v>39</v>
      </c>
      <c r="C891">
        <v>2006</v>
      </c>
      <c r="D891" t="s">
        <v>9</v>
      </c>
      <c r="E891">
        <v>600</v>
      </c>
      <c r="F891">
        <v>0</v>
      </c>
    </row>
    <row r="892" spans="1:6" hidden="1" x14ac:dyDescent="0.3">
      <c r="A892">
        <v>891</v>
      </c>
      <c r="B892" t="s">
        <v>40</v>
      </c>
      <c r="C892">
        <v>2006</v>
      </c>
      <c r="D892" t="s">
        <v>14</v>
      </c>
      <c r="E892">
        <v>16470</v>
      </c>
      <c r="F892">
        <v>0</v>
      </c>
    </row>
    <row r="893" spans="1:6" hidden="1" x14ac:dyDescent="0.3">
      <c r="A893">
        <v>892</v>
      </c>
      <c r="B893" t="s">
        <v>41</v>
      </c>
      <c r="C893">
        <v>2006</v>
      </c>
      <c r="D893" t="s">
        <v>9</v>
      </c>
      <c r="E893">
        <v>0</v>
      </c>
      <c r="F893">
        <v>0</v>
      </c>
    </row>
    <row r="894" spans="1:6" hidden="1" x14ac:dyDescent="0.3">
      <c r="A894">
        <v>893</v>
      </c>
      <c r="B894" t="s">
        <v>41</v>
      </c>
      <c r="C894">
        <v>2006</v>
      </c>
      <c r="D894" t="s">
        <v>9</v>
      </c>
      <c r="E894">
        <v>2000</v>
      </c>
      <c r="F894">
        <v>0</v>
      </c>
    </row>
    <row r="895" spans="1:6" hidden="1" x14ac:dyDescent="0.3">
      <c r="A895">
        <v>894</v>
      </c>
      <c r="B895" t="s">
        <v>41</v>
      </c>
      <c r="C895">
        <v>2006</v>
      </c>
      <c r="D895" t="s">
        <v>9</v>
      </c>
      <c r="E895">
        <v>30000</v>
      </c>
      <c r="F895">
        <v>0</v>
      </c>
    </row>
    <row r="896" spans="1:6" hidden="1" x14ac:dyDescent="0.3">
      <c r="A896">
        <v>895</v>
      </c>
      <c r="B896" t="s">
        <v>41</v>
      </c>
      <c r="C896">
        <v>2006</v>
      </c>
      <c r="D896" t="s">
        <v>9</v>
      </c>
      <c r="E896">
        <v>299000</v>
      </c>
      <c r="F896">
        <v>0</v>
      </c>
    </row>
    <row r="897" spans="1:6" hidden="1" x14ac:dyDescent="0.3">
      <c r="A897">
        <v>896</v>
      </c>
      <c r="B897" t="s">
        <v>41</v>
      </c>
      <c r="C897">
        <v>2006</v>
      </c>
      <c r="D897" t="s">
        <v>9</v>
      </c>
      <c r="E897">
        <v>155500</v>
      </c>
      <c r="F897">
        <v>0</v>
      </c>
    </row>
    <row r="898" spans="1:6" x14ac:dyDescent="0.3">
      <c r="A898">
        <v>897</v>
      </c>
      <c r="B898" t="s">
        <v>42</v>
      </c>
      <c r="C898">
        <v>2006</v>
      </c>
      <c r="D898" t="s">
        <v>14</v>
      </c>
      <c r="E898">
        <v>15427</v>
      </c>
      <c r="F898">
        <v>22000000</v>
      </c>
    </row>
    <row r="899" spans="1:6" hidden="1" x14ac:dyDescent="0.3">
      <c r="A899">
        <v>898</v>
      </c>
      <c r="B899" t="s">
        <v>43</v>
      </c>
      <c r="C899">
        <v>2006</v>
      </c>
      <c r="D899" t="s">
        <v>9</v>
      </c>
      <c r="E899">
        <v>100</v>
      </c>
      <c r="F899">
        <v>1000000</v>
      </c>
    </row>
    <row r="900" spans="1:6" hidden="1" x14ac:dyDescent="0.3">
      <c r="A900">
        <v>899</v>
      </c>
      <c r="B900" t="s">
        <v>43</v>
      </c>
      <c r="C900">
        <v>2006</v>
      </c>
      <c r="D900" t="s">
        <v>9</v>
      </c>
      <c r="E900">
        <v>0</v>
      </c>
      <c r="F900">
        <v>0</v>
      </c>
    </row>
    <row r="901" spans="1:6" hidden="1" x14ac:dyDescent="0.3">
      <c r="A901">
        <v>900</v>
      </c>
      <c r="B901" t="s">
        <v>43</v>
      </c>
      <c r="C901">
        <v>2006</v>
      </c>
      <c r="D901" t="s">
        <v>9</v>
      </c>
      <c r="E901">
        <v>0</v>
      </c>
      <c r="F901">
        <v>0</v>
      </c>
    </row>
    <row r="902" spans="1:6" hidden="1" x14ac:dyDescent="0.3">
      <c r="A902">
        <v>901</v>
      </c>
      <c r="B902" t="s">
        <v>43</v>
      </c>
      <c r="C902">
        <v>2006</v>
      </c>
      <c r="D902" t="s">
        <v>11</v>
      </c>
      <c r="E902">
        <v>600000</v>
      </c>
      <c r="F902">
        <v>0</v>
      </c>
    </row>
    <row r="903" spans="1:6" hidden="1" x14ac:dyDescent="0.3">
      <c r="A903">
        <v>902</v>
      </c>
      <c r="B903" t="s">
        <v>43</v>
      </c>
      <c r="C903">
        <v>2006</v>
      </c>
      <c r="D903" t="s">
        <v>11</v>
      </c>
      <c r="E903">
        <v>1467925</v>
      </c>
      <c r="F903">
        <v>624000000</v>
      </c>
    </row>
    <row r="904" spans="1:6" hidden="1" x14ac:dyDescent="0.3">
      <c r="A904">
        <v>903</v>
      </c>
      <c r="B904" t="s">
        <v>46</v>
      </c>
      <c r="C904">
        <v>2006</v>
      </c>
      <c r="D904" t="s">
        <v>9</v>
      </c>
      <c r="E904">
        <v>2000</v>
      </c>
      <c r="F904">
        <v>0</v>
      </c>
    </row>
    <row r="905" spans="1:6" hidden="1" x14ac:dyDescent="0.3">
      <c r="A905">
        <v>904</v>
      </c>
      <c r="B905" t="s">
        <v>38</v>
      </c>
      <c r="C905">
        <v>2006</v>
      </c>
      <c r="D905" t="s">
        <v>9</v>
      </c>
      <c r="E905">
        <v>4160</v>
      </c>
      <c r="F905">
        <v>71000000</v>
      </c>
    </row>
    <row r="906" spans="1:6" hidden="1" x14ac:dyDescent="0.3">
      <c r="A906">
        <v>905</v>
      </c>
      <c r="B906" t="s">
        <v>38</v>
      </c>
      <c r="C906">
        <v>2006</v>
      </c>
      <c r="D906" t="s">
        <v>9</v>
      </c>
      <c r="E906">
        <v>3000</v>
      </c>
      <c r="F906">
        <v>145000000</v>
      </c>
    </row>
    <row r="907" spans="1:6" hidden="1" x14ac:dyDescent="0.3">
      <c r="A907">
        <v>906</v>
      </c>
      <c r="B907" t="s">
        <v>22</v>
      </c>
      <c r="C907">
        <v>2007</v>
      </c>
      <c r="D907" t="s">
        <v>11</v>
      </c>
      <c r="E907">
        <v>215198</v>
      </c>
      <c r="F907">
        <v>240000000</v>
      </c>
    </row>
    <row r="908" spans="1:6" hidden="1" x14ac:dyDescent="0.3">
      <c r="A908">
        <v>907</v>
      </c>
      <c r="B908" t="s">
        <v>17</v>
      </c>
      <c r="C908">
        <v>2007</v>
      </c>
      <c r="D908" t="s">
        <v>9</v>
      </c>
      <c r="E908">
        <v>35000</v>
      </c>
      <c r="F908">
        <v>0</v>
      </c>
    </row>
    <row r="909" spans="1:6" hidden="1" x14ac:dyDescent="0.3">
      <c r="A909">
        <v>908</v>
      </c>
      <c r="B909" t="s">
        <v>45</v>
      </c>
      <c r="C909">
        <v>2007</v>
      </c>
      <c r="D909" t="s">
        <v>9</v>
      </c>
      <c r="E909">
        <v>0</v>
      </c>
      <c r="F909">
        <v>0</v>
      </c>
    </row>
    <row r="910" spans="1:6" hidden="1" x14ac:dyDescent="0.3">
      <c r="A910">
        <v>909</v>
      </c>
      <c r="B910" t="s">
        <v>36</v>
      </c>
      <c r="C910">
        <v>2007</v>
      </c>
      <c r="D910" t="s">
        <v>9</v>
      </c>
      <c r="E910">
        <v>47714</v>
      </c>
      <c r="F910">
        <v>0</v>
      </c>
    </row>
    <row r="911" spans="1:6" hidden="1" x14ac:dyDescent="0.3">
      <c r="A911">
        <v>910</v>
      </c>
      <c r="B911" t="s">
        <v>37</v>
      </c>
      <c r="C911">
        <v>2007</v>
      </c>
      <c r="D911" t="s">
        <v>9</v>
      </c>
      <c r="E911">
        <v>24508</v>
      </c>
      <c r="F911">
        <v>4080000</v>
      </c>
    </row>
    <row r="912" spans="1:6" hidden="1" x14ac:dyDescent="0.3">
      <c r="A912">
        <v>911</v>
      </c>
      <c r="B912" t="s">
        <v>39</v>
      </c>
      <c r="C912">
        <v>2007</v>
      </c>
      <c r="D912" t="s">
        <v>9</v>
      </c>
      <c r="E912">
        <v>500</v>
      </c>
      <c r="F912">
        <v>0</v>
      </c>
    </row>
    <row r="913" spans="1:6" hidden="1" x14ac:dyDescent="0.3">
      <c r="A913">
        <v>912</v>
      </c>
      <c r="B913" t="s">
        <v>46</v>
      </c>
      <c r="C913">
        <v>2007</v>
      </c>
      <c r="D913" t="s">
        <v>9</v>
      </c>
      <c r="E913">
        <v>2000</v>
      </c>
      <c r="F913">
        <v>0</v>
      </c>
    </row>
    <row r="914" spans="1:6" hidden="1" x14ac:dyDescent="0.3">
      <c r="A914">
        <v>913</v>
      </c>
      <c r="B914" t="s">
        <v>30</v>
      </c>
      <c r="C914">
        <v>2007</v>
      </c>
      <c r="D914" t="s">
        <v>9</v>
      </c>
      <c r="E914">
        <v>285000</v>
      </c>
      <c r="F914">
        <v>71000000</v>
      </c>
    </row>
    <row r="915" spans="1:6" hidden="1" x14ac:dyDescent="0.3">
      <c r="A915">
        <v>914</v>
      </c>
      <c r="B915" t="s">
        <v>22</v>
      </c>
      <c r="C915">
        <v>2007</v>
      </c>
      <c r="D915" t="s">
        <v>11</v>
      </c>
      <c r="E915">
        <v>7313</v>
      </c>
      <c r="F915">
        <v>0</v>
      </c>
    </row>
    <row r="916" spans="1:6" hidden="1" x14ac:dyDescent="0.3">
      <c r="A916">
        <v>915</v>
      </c>
      <c r="B916" t="s">
        <v>22</v>
      </c>
      <c r="C916">
        <v>2007</v>
      </c>
      <c r="D916" t="s">
        <v>9</v>
      </c>
      <c r="E916">
        <v>33000</v>
      </c>
      <c r="F916">
        <v>0</v>
      </c>
    </row>
    <row r="917" spans="1:6" hidden="1" x14ac:dyDescent="0.3">
      <c r="A917">
        <v>916</v>
      </c>
      <c r="B917" t="s">
        <v>22</v>
      </c>
      <c r="C917">
        <v>2007</v>
      </c>
      <c r="D917" t="s">
        <v>11</v>
      </c>
      <c r="E917">
        <v>0</v>
      </c>
      <c r="F917">
        <v>0</v>
      </c>
    </row>
    <row r="918" spans="1:6" hidden="1" x14ac:dyDescent="0.3">
      <c r="A918">
        <v>917</v>
      </c>
      <c r="B918" t="s">
        <v>30</v>
      </c>
      <c r="C918">
        <v>2007</v>
      </c>
      <c r="D918" t="s">
        <v>9</v>
      </c>
      <c r="E918">
        <v>3500</v>
      </c>
      <c r="F918">
        <v>0</v>
      </c>
    </row>
    <row r="919" spans="1:6" hidden="1" x14ac:dyDescent="0.3">
      <c r="A919">
        <v>918</v>
      </c>
      <c r="B919" t="s">
        <v>30</v>
      </c>
      <c r="C919">
        <v>2007</v>
      </c>
      <c r="D919" t="s">
        <v>11</v>
      </c>
      <c r="E919">
        <v>162770</v>
      </c>
      <c r="F919">
        <v>0</v>
      </c>
    </row>
    <row r="920" spans="1:6" hidden="1" x14ac:dyDescent="0.3">
      <c r="A920">
        <v>919</v>
      </c>
      <c r="B920" t="s">
        <v>31</v>
      </c>
      <c r="C920">
        <v>2007</v>
      </c>
      <c r="D920" t="s">
        <v>9</v>
      </c>
      <c r="E920">
        <v>15000</v>
      </c>
      <c r="F920">
        <v>0</v>
      </c>
    </row>
    <row r="921" spans="1:6" hidden="1" x14ac:dyDescent="0.3">
      <c r="A921">
        <v>920</v>
      </c>
      <c r="B921" t="s">
        <v>46</v>
      </c>
      <c r="C921">
        <v>2007</v>
      </c>
      <c r="D921" t="s">
        <v>9</v>
      </c>
      <c r="E921">
        <v>618</v>
      </c>
      <c r="F921">
        <v>0</v>
      </c>
    </row>
    <row r="922" spans="1:6" hidden="1" x14ac:dyDescent="0.3">
      <c r="A922">
        <v>921</v>
      </c>
      <c r="B922" t="s">
        <v>19</v>
      </c>
      <c r="C922">
        <v>2007</v>
      </c>
      <c r="D922" t="s">
        <v>11</v>
      </c>
      <c r="E922">
        <v>3905</v>
      </c>
      <c r="F922">
        <v>0</v>
      </c>
    </row>
    <row r="923" spans="1:6" hidden="1" x14ac:dyDescent="0.3">
      <c r="A923">
        <v>922</v>
      </c>
      <c r="B923" t="s">
        <v>23</v>
      </c>
      <c r="C923">
        <v>2007</v>
      </c>
      <c r="D923" t="s">
        <v>11</v>
      </c>
      <c r="E923">
        <v>19500</v>
      </c>
      <c r="F923">
        <v>6579000</v>
      </c>
    </row>
    <row r="924" spans="1:6" hidden="1" x14ac:dyDescent="0.3">
      <c r="A924">
        <v>923</v>
      </c>
      <c r="B924" t="s">
        <v>8</v>
      </c>
      <c r="C924">
        <v>2007</v>
      </c>
      <c r="D924" t="s">
        <v>9</v>
      </c>
      <c r="E924">
        <v>13771380</v>
      </c>
      <c r="F924">
        <v>100000000</v>
      </c>
    </row>
    <row r="925" spans="1:6" hidden="1" x14ac:dyDescent="0.3">
      <c r="A925">
        <v>924</v>
      </c>
      <c r="B925" t="s">
        <v>44</v>
      </c>
      <c r="C925">
        <v>2007</v>
      </c>
      <c r="D925" t="s">
        <v>9</v>
      </c>
      <c r="E925">
        <v>12000</v>
      </c>
      <c r="F925">
        <v>80000000</v>
      </c>
    </row>
    <row r="926" spans="1:6" hidden="1" x14ac:dyDescent="0.3">
      <c r="A926">
        <v>925</v>
      </c>
      <c r="B926" t="s">
        <v>19</v>
      </c>
      <c r="C926">
        <v>2007</v>
      </c>
      <c r="D926" t="s">
        <v>9</v>
      </c>
      <c r="E926">
        <v>656</v>
      </c>
      <c r="F926">
        <v>0</v>
      </c>
    </row>
    <row r="927" spans="1:6" hidden="1" x14ac:dyDescent="0.3">
      <c r="A927">
        <v>926</v>
      </c>
      <c r="B927" t="s">
        <v>27</v>
      </c>
      <c r="C927">
        <v>2007</v>
      </c>
      <c r="D927" t="s">
        <v>9</v>
      </c>
      <c r="E927">
        <v>12500</v>
      </c>
      <c r="F927">
        <v>0</v>
      </c>
    </row>
    <row r="928" spans="1:6" hidden="1" x14ac:dyDescent="0.3">
      <c r="A928">
        <v>927</v>
      </c>
      <c r="B928" t="s">
        <v>20</v>
      </c>
      <c r="C928">
        <v>2007</v>
      </c>
      <c r="D928" t="s">
        <v>9</v>
      </c>
      <c r="E928">
        <v>5000</v>
      </c>
      <c r="F928">
        <v>0</v>
      </c>
    </row>
    <row r="929" spans="1:6" hidden="1" x14ac:dyDescent="0.3">
      <c r="A929">
        <v>928</v>
      </c>
      <c r="B929" t="s">
        <v>20</v>
      </c>
      <c r="C929">
        <v>2007</v>
      </c>
      <c r="D929" t="s">
        <v>9</v>
      </c>
      <c r="E929">
        <v>3389</v>
      </c>
      <c r="F929">
        <v>0</v>
      </c>
    </row>
    <row r="930" spans="1:6" hidden="1" x14ac:dyDescent="0.3">
      <c r="A930">
        <v>929</v>
      </c>
      <c r="B930" t="s">
        <v>20</v>
      </c>
      <c r="C930">
        <v>2007</v>
      </c>
      <c r="D930" t="s">
        <v>9</v>
      </c>
      <c r="E930">
        <v>269515</v>
      </c>
      <c r="F930">
        <v>0</v>
      </c>
    </row>
    <row r="931" spans="1:6" hidden="1" x14ac:dyDescent="0.3">
      <c r="A931">
        <v>930</v>
      </c>
      <c r="B931" t="s">
        <v>20</v>
      </c>
      <c r="C931">
        <v>2007</v>
      </c>
      <c r="D931" t="s">
        <v>9</v>
      </c>
      <c r="E931">
        <v>1000</v>
      </c>
      <c r="F931">
        <v>0</v>
      </c>
    </row>
    <row r="932" spans="1:6" hidden="1" x14ac:dyDescent="0.3">
      <c r="A932">
        <v>931</v>
      </c>
      <c r="B932" t="s">
        <v>16</v>
      </c>
      <c r="C932">
        <v>2007</v>
      </c>
      <c r="D932" t="s">
        <v>9</v>
      </c>
      <c r="E932">
        <v>200000</v>
      </c>
      <c r="F932">
        <v>0</v>
      </c>
    </row>
    <row r="933" spans="1:6" hidden="1" x14ac:dyDescent="0.3">
      <c r="A933">
        <v>932</v>
      </c>
      <c r="B933" t="s">
        <v>16</v>
      </c>
      <c r="C933">
        <v>2007</v>
      </c>
      <c r="D933" t="s">
        <v>9</v>
      </c>
      <c r="E933">
        <v>15000</v>
      </c>
      <c r="F933">
        <v>0</v>
      </c>
    </row>
    <row r="934" spans="1:6" hidden="1" x14ac:dyDescent="0.3">
      <c r="A934">
        <v>933</v>
      </c>
      <c r="B934" t="s">
        <v>20</v>
      </c>
      <c r="C934">
        <v>2007</v>
      </c>
      <c r="D934" t="s">
        <v>14</v>
      </c>
      <c r="E934">
        <v>459567</v>
      </c>
      <c r="F934">
        <v>500000000</v>
      </c>
    </row>
    <row r="935" spans="1:6" hidden="1" x14ac:dyDescent="0.3">
      <c r="A935">
        <v>934</v>
      </c>
      <c r="B935" t="s">
        <v>25</v>
      </c>
      <c r="C935">
        <v>2007</v>
      </c>
      <c r="D935" t="s">
        <v>9</v>
      </c>
      <c r="E935">
        <v>0</v>
      </c>
      <c r="F935">
        <v>29500000</v>
      </c>
    </row>
    <row r="936" spans="1:6" hidden="1" x14ac:dyDescent="0.3">
      <c r="A936">
        <v>935</v>
      </c>
      <c r="B936" t="s">
        <v>8</v>
      </c>
      <c r="C936">
        <v>2007</v>
      </c>
      <c r="D936" t="s">
        <v>11</v>
      </c>
      <c r="E936">
        <v>8978541</v>
      </c>
      <c r="F936">
        <v>2300000000</v>
      </c>
    </row>
    <row r="937" spans="1:6" hidden="1" x14ac:dyDescent="0.3">
      <c r="A937">
        <v>936</v>
      </c>
      <c r="B937" t="s">
        <v>27</v>
      </c>
      <c r="C937">
        <v>2007</v>
      </c>
      <c r="D937" t="s">
        <v>11</v>
      </c>
      <c r="E937">
        <v>3966</v>
      </c>
      <c r="F937">
        <v>0</v>
      </c>
    </row>
    <row r="938" spans="1:6" hidden="1" x14ac:dyDescent="0.3">
      <c r="A938">
        <v>937</v>
      </c>
      <c r="B938" t="s">
        <v>27</v>
      </c>
      <c r="C938">
        <v>2007</v>
      </c>
      <c r="D938" t="s">
        <v>11</v>
      </c>
      <c r="E938">
        <v>108763</v>
      </c>
      <c r="F938">
        <v>0</v>
      </c>
    </row>
    <row r="939" spans="1:6" hidden="1" x14ac:dyDescent="0.3">
      <c r="A939">
        <v>938</v>
      </c>
      <c r="B939" t="s">
        <v>27</v>
      </c>
      <c r="C939">
        <v>2007</v>
      </c>
      <c r="D939" t="s">
        <v>11</v>
      </c>
      <c r="E939">
        <v>2352</v>
      </c>
      <c r="F939">
        <v>0</v>
      </c>
    </row>
    <row r="940" spans="1:6" hidden="1" x14ac:dyDescent="0.3">
      <c r="A940">
        <v>939</v>
      </c>
      <c r="B940" t="s">
        <v>6</v>
      </c>
      <c r="C940">
        <v>2007</v>
      </c>
      <c r="D940" t="s">
        <v>9</v>
      </c>
      <c r="E940">
        <v>2950</v>
      </c>
      <c r="F940">
        <v>0</v>
      </c>
    </row>
    <row r="941" spans="1:6" hidden="1" x14ac:dyDescent="0.3">
      <c r="A941">
        <v>940</v>
      </c>
      <c r="B941" t="s">
        <v>6</v>
      </c>
      <c r="C941">
        <v>2007</v>
      </c>
      <c r="D941" t="s">
        <v>9</v>
      </c>
      <c r="E941">
        <v>0</v>
      </c>
      <c r="F941">
        <v>0</v>
      </c>
    </row>
    <row r="942" spans="1:6" hidden="1" x14ac:dyDescent="0.3">
      <c r="A942">
        <v>941</v>
      </c>
      <c r="B942" t="s">
        <v>6</v>
      </c>
      <c r="C942">
        <v>2007</v>
      </c>
      <c r="D942" t="s">
        <v>9</v>
      </c>
      <c r="E942">
        <v>2500</v>
      </c>
      <c r="F942">
        <v>0</v>
      </c>
    </row>
    <row r="943" spans="1:6" hidden="1" x14ac:dyDescent="0.3">
      <c r="A943">
        <v>942</v>
      </c>
      <c r="B943" t="s">
        <v>6</v>
      </c>
      <c r="C943">
        <v>2007</v>
      </c>
      <c r="D943" t="s">
        <v>9</v>
      </c>
      <c r="E943">
        <v>160</v>
      </c>
      <c r="F943">
        <v>0</v>
      </c>
    </row>
    <row r="944" spans="1:6" hidden="1" x14ac:dyDescent="0.3">
      <c r="A944">
        <v>943</v>
      </c>
      <c r="B944" t="s">
        <v>6</v>
      </c>
      <c r="C944">
        <v>2007</v>
      </c>
      <c r="D944" t="s">
        <v>9</v>
      </c>
      <c r="E944">
        <v>645</v>
      </c>
      <c r="F944">
        <v>0</v>
      </c>
    </row>
    <row r="945" spans="1:6" hidden="1" x14ac:dyDescent="0.3">
      <c r="A945">
        <v>944</v>
      </c>
      <c r="B945" t="s">
        <v>6</v>
      </c>
      <c r="C945">
        <v>2007</v>
      </c>
      <c r="D945" t="s">
        <v>9</v>
      </c>
      <c r="E945">
        <v>4000</v>
      </c>
      <c r="F945">
        <v>0</v>
      </c>
    </row>
    <row r="946" spans="1:6" hidden="1" x14ac:dyDescent="0.3">
      <c r="A946">
        <v>945</v>
      </c>
      <c r="B946" t="s">
        <v>8</v>
      </c>
      <c r="C946">
        <v>2007</v>
      </c>
      <c r="D946" t="s">
        <v>11</v>
      </c>
      <c r="E946">
        <v>225</v>
      </c>
      <c r="F946">
        <v>0</v>
      </c>
    </row>
    <row r="947" spans="1:6" hidden="1" x14ac:dyDescent="0.3">
      <c r="A947">
        <v>946</v>
      </c>
      <c r="B947" t="s">
        <v>15</v>
      </c>
      <c r="C947">
        <v>2007</v>
      </c>
      <c r="D947" t="s">
        <v>9</v>
      </c>
      <c r="E947">
        <v>1000</v>
      </c>
      <c r="F947">
        <v>0</v>
      </c>
    </row>
    <row r="948" spans="1:6" hidden="1" x14ac:dyDescent="0.3">
      <c r="A948">
        <v>947</v>
      </c>
      <c r="B948" t="s">
        <v>15</v>
      </c>
      <c r="C948">
        <v>2007</v>
      </c>
      <c r="D948" t="s">
        <v>9</v>
      </c>
      <c r="E948">
        <v>10</v>
      </c>
      <c r="F948">
        <v>0</v>
      </c>
    </row>
    <row r="949" spans="1:6" hidden="1" x14ac:dyDescent="0.3">
      <c r="A949">
        <v>948</v>
      </c>
      <c r="B949" t="s">
        <v>15</v>
      </c>
      <c r="C949">
        <v>2007</v>
      </c>
      <c r="D949" t="s">
        <v>9</v>
      </c>
      <c r="E949">
        <v>60</v>
      </c>
      <c r="F949">
        <v>0</v>
      </c>
    </row>
    <row r="950" spans="1:6" hidden="1" x14ac:dyDescent="0.3">
      <c r="A950">
        <v>949</v>
      </c>
      <c r="B950" t="s">
        <v>44</v>
      </c>
      <c r="C950">
        <v>2007</v>
      </c>
      <c r="D950" t="s">
        <v>9</v>
      </c>
      <c r="E950">
        <v>12500</v>
      </c>
      <c r="F950">
        <v>0</v>
      </c>
    </row>
    <row r="951" spans="1:6" hidden="1" x14ac:dyDescent="0.3">
      <c r="A951">
        <v>950</v>
      </c>
      <c r="B951" t="s">
        <v>47</v>
      </c>
      <c r="C951">
        <v>2007</v>
      </c>
      <c r="D951" t="s">
        <v>7</v>
      </c>
      <c r="E951">
        <v>42750</v>
      </c>
      <c r="F951">
        <v>0</v>
      </c>
    </row>
    <row r="952" spans="1:6" hidden="1" x14ac:dyDescent="0.3">
      <c r="A952">
        <v>951</v>
      </c>
      <c r="B952" t="s">
        <v>25</v>
      </c>
      <c r="C952">
        <v>2007</v>
      </c>
      <c r="D952" t="s">
        <v>9</v>
      </c>
      <c r="E952">
        <v>0</v>
      </c>
      <c r="F952">
        <v>0</v>
      </c>
    </row>
    <row r="953" spans="1:6" hidden="1" x14ac:dyDescent="0.3">
      <c r="A953">
        <v>952</v>
      </c>
      <c r="B953" t="s">
        <v>25</v>
      </c>
      <c r="C953">
        <v>2007</v>
      </c>
      <c r="D953" t="s">
        <v>9</v>
      </c>
      <c r="E953">
        <v>102</v>
      </c>
      <c r="F953">
        <v>0</v>
      </c>
    </row>
    <row r="954" spans="1:6" hidden="1" x14ac:dyDescent="0.3">
      <c r="A954">
        <v>953</v>
      </c>
      <c r="B954" t="s">
        <v>25</v>
      </c>
      <c r="C954">
        <v>2007</v>
      </c>
      <c r="D954" t="s">
        <v>9</v>
      </c>
      <c r="E954">
        <v>1203</v>
      </c>
      <c r="F954">
        <v>0</v>
      </c>
    </row>
    <row r="955" spans="1:6" hidden="1" x14ac:dyDescent="0.3">
      <c r="A955">
        <v>954</v>
      </c>
      <c r="B955" t="s">
        <v>26</v>
      </c>
      <c r="C955">
        <v>2007</v>
      </c>
      <c r="D955" t="s">
        <v>9</v>
      </c>
      <c r="E955">
        <v>5800</v>
      </c>
      <c r="F955">
        <v>0</v>
      </c>
    </row>
    <row r="956" spans="1:6" hidden="1" x14ac:dyDescent="0.3">
      <c r="A956">
        <v>955</v>
      </c>
      <c r="B956" t="s">
        <v>26</v>
      </c>
      <c r="C956">
        <v>2007</v>
      </c>
      <c r="D956" t="s">
        <v>9</v>
      </c>
      <c r="E956">
        <v>239586</v>
      </c>
      <c r="F956">
        <v>0</v>
      </c>
    </row>
    <row r="957" spans="1:6" hidden="1" x14ac:dyDescent="0.3">
      <c r="A957">
        <v>956</v>
      </c>
      <c r="B957" t="s">
        <v>19</v>
      </c>
      <c r="C957">
        <v>2007</v>
      </c>
      <c r="D957" t="s">
        <v>9</v>
      </c>
      <c r="E957">
        <v>1440</v>
      </c>
      <c r="F957">
        <v>0</v>
      </c>
    </row>
    <row r="958" spans="1:6" hidden="1" x14ac:dyDescent="0.3">
      <c r="A958">
        <v>957</v>
      </c>
      <c r="B958" t="s">
        <v>23</v>
      </c>
      <c r="C958">
        <v>2007</v>
      </c>
      <c r="D958" t="s">
        <v>14</v>
      </c>
      <c r="E958">
        <v>1883</v>
      </c>
      <c r="F958">
        <v>0</v>
      </c>
    </row>
    <row r="959" spans="1:6" hidden="1" x14ac:dyDescent="0.3">
      <c r="A959">
        <v>958</v>
      </c>
      <c r="B959" t="s">
        <v>23</v>
      </c>
      <c r="C959">
        <v>2007</v>
      </c>
      <c r="D959" t="s">
        <v>9</v>
      </c>
      <c r="E959">
        <v>15000</v>
      </c>
      <c r="F959">
        <v>0</v>
      </c>
    </row>
    <row r="960" spans="1:6" hidden="1" x14ac:dyDescent="0.3">
      <c r="A960">
        <v>959</v>
      </c>
      <c r="B960" t="s">
        <v>23</v>
      </c>
      <c r="C960">
        <v>2007</v>
      </c>
      <c r="D960" t="s">
        <v>9</v>
      </c>
      <c r="E960">
        <v>500</v>
      </c>
      <c r="F960">
        <v>0</v>
      </c>
    </row>
    <row r="961" spans="1:6" hidden="1" x14ac:dyDescent="0.3">
      <c r="A961">
        <v>960</v>
      </c>
      <c r="B961" t="s">
        <v>27</v>
      </c>
      <c r="C961">
        <v>2007</v>
      </c>
      <c r="D961" t="s">
        <v>9</v>
      </c>
      <c r="E961">
        <v>1500</v>
      </c>
      <c r="F961">
        <v>0</v>
      </c>
    </row>
    <row r="962" spans="1:6" hidden="1" x14ac:dyDescent="0.3">
      <c r="A962">
        <v>961</v>
      </c>
      <c r="B962" t="s">
        <v>27</v>
      </c>
      <c r="C962">
        <v>2007</v>
      </c>
      <c r="D962" t="s">
        <v>9</v>
      </c>
      <c r="E962">
        <v>75947</v>
      </c>
      <c r="F962">
        <v>0</v>
      </c>
    </row>
    <row r="963" spans="1:6" hidden="1" x14ac:dyDescent="0.3">
      <c r="A963">
        <v>962</v>
      </c>
      <c r="B963" t="s">
        <v>20</v>
      </c>
      <c r="C963">
        <v>2007</v>
      </c>
      <c r="D963" t="s">
        <v>14</v>
      </c>
      <c r="E963">
        <v>469</v>
      </c>
      <c r="F963">
        <v>0</v>
      </c>
    </row>
    <row r="964" spans="1:6" hidden="1" x14ac:dyDescent="0.3">
      <c r="A964">
        <v>963</v>
      </c>
      <c r="B964" t="s">
        <v>20</v>
      </c>
      <c r="C964">
        <v>2007</v>
      </c>
      <c r="D964" t="s">
        <v>14</v>
      </c>
      <c r="E964">
        <v>21800</v>
      </c>
      <c r="F964">
        <v>0</v>
      </c>
    </row>
    <row r="965" spans="1:6" hidden="1" x14ac:dyDescent="0.3">
      <c r="A965">
        <v>964</v>
      </c>
      <c r="B965" t="s">
        <v>20</v>
      </c>
      <c r="C965">
        <v>2007</v>
      </c>
      <c r="D965" t="s">
        <v>9</v>
      </c>
      <c r="E965">
        <v>60000</v>
      </c>
      <c r="F965">
        <v>0</v>
      </c>
    </row>
    <row r="966" spans="1:6" hidden="1" x14ac:dyDescent="0.3">
      <c r="A966">
        <v>965</v>
      </c>
      <c r="B966" t="s">
        <v>20</v>
      </c>
      <c r="C966">
        <v>2007</v>
      </c>
      <c r="D966" t="s">
        <v>9</v>
      </c>
      <c r="E966">
        <v>2000</v>
      </c>
      <c r="F966">
        <v>0</v>
      </c>
    </row>
    <row r="967" spans="1:6" hidden="1" x14ac:dyDescent="0.3">
      <c r="A967">
        <v>966</v>
      </c>
      <c r="B967" t="s">
        <v>16</v>
      </c>
      <c r="C967">
        <v>2007</v>
      </c>
      <c r="D967" t="s">
        <v>9</v>
      </c>
      <c r="E967">
        <v>7200000</v>
      </c>
      <c r="F967">
        <v>275000000</v>
      </c>
    </row>
    <row r="968" spans="1:6" hidden="1" x14ac:dyDescent="0.3">
      <c r="A968">
        <v>967</v>
      </c>
      <c r="B968" t="s">
        <v>16</v>
      </c>
      <c r="C968">
        <v>2007</v>
      </c>
      <c r="D968" t="s">
        <v>9</v>
      </c>
      <c r="E968">
        <v>200000</v>
      </c>
      <c r="F968">
        <v>0</v>
      </c>
    </row>
    <row r="969" spans="1:6" hidden="1" x14ac:dyDescent="0.3">
      <c r="A969">
        <v>968</v>
      </c>
      <c r="B969" t="s">
        <v>16</v>
      </c>
      <c r="C969">
        <v>2007</v>
      </c>
      <c r="D969" t="s">
        <v>9</v>
      </c>
      <c r="E969">
        <v>63000</v>
      </c>
      <c r="F969">
        <v>0</v>
      </c>
    </row>
    <row r="970" spans="1:6" hidden="1" x14ac:dyDescent="0.3">
      <c r="A970">
        <v>969</v>
      </c>
      <c r="B970" t="s">
        <v>16</v>
      </c>
      <c r="C970">
        <v>2007</v>
      </c>
      <c r="D970" t="s">
        <v>9</v>
      </c>
      <c r="E970">
        <v>10000</v>
      </c>
      <c r="F970">
        <v>0</v>
      </c>
    </row>
    <row r="971" spans="1:6" hidden="1" x14ac:dyDescent="0.3">
      <c r="A971">
        <v>970</v>
      </c>
      <c r="B971" t="s">
        <v>16</v>
      </c>
      <c r="C971">
        <v>2007</v>
      </c>
      <c r="D971" t="s">
        <v>9</v>
      </c>
      <c r="E971">
        <v>50000</v>
      </c>
      <c r="F971">
        <v>0</v>
      </c>
    </row>
    <row r="972" spans="1:6" hidden="1" x14ac:dyDescent="0.3">
      <c r="A972">
        <v>971</v>
      </c>
      <c r="B972" t="s">
        <v>16</v>
      </c>
      <c r="C972">
        <v>2007</v>
      </c>
      <c r="D972" t="s">
        <v>9</v>
      </c>
      <c r="E972">
        <v>0</v>
      </c>
      <c r="F972">
        <v>0</v>
      </c>
    </row>
    <row r="973" spans="1:6" hidden="1" x14ac:dyDescent="0.3">
      <c r="A973">
        <v>972</v>
      </c>
      <c r="B973" t="s">
        <v>16</v>
      </c>
      <c r="C973">
        <v>2007</v>
      </c>
      <c r="D973" t="s">
        <v>9</v>
      </c>
      <c r="E973">
        <v>18700000</v>
      </c>
      <c r="F973">
        <v>0</v>
      </c>
    </row>
    <row r="974" spans="1:6" hidden="1" x14ac:dyDescent="0.3">
      <c r="A974">
        <v>973</v>
      </c>
      <c r="B974" t="s">
        <v>16</v>
      </c>
      <c r="C974">
        <v>2007</v>
      </c>
      <c r="D974" t="s">
        <v>9</v>
      </c>
      <c r="E974">
        <v>0</v>
      </c>
      <c r="F974">
        <v>0</v>
      </c>
    </row>
    <row r="975" spans="1:6" hidden="1" x14ac:dyDescent="0.3">
      <c r="A975">
        <v>974</v>
      </c>
      <c r="B975" t="s">
        <v>16</v>
      </c>
      <c r="C975">
        <v>2007</v>
      </c>
      <c r="D975" t="s">
        <v>9</v>
      </c>
      <c r="E975">
        <v>20000</v>
      </c>
      <c r="F975">
        <v>0</v>
      </c>
    </row>
    <row r="976" spans="1:6" hidden="1" x14ac:dyDescent="0.3">
      <c r="A976">
        <v>975</v>
      </c>
      <c r="B976" t="s">
        <v>16</v>
      </c>
      <c r="C976">
        <v>2007</v>
      </c>
      <c r="D976" t="s">
        <v>9</v>
      </c>
      <c r="E976">
        <v>50000</v>
      </c>
      <c r="F976">
        <v>0</v>
      </c>
    </row>
    <row r="977" spans="1:6" hidden="1" x14ac:dyDescent="0.3">
      <c r="A977">
        <v>976</v>
      </c>
      <c r="B977" t="s">
        <v>16</v>
      </c>
      <c r="C977">
        <v>2007</v>
      </c>
      <c r="D977" t="s">
        <v>9</v>
      </c>
      <c r="E977">
        <v>500000</v>
      </c>
      <c r="F977">
        <v>0</v>
      </c>
    </row>
    <row r="978" spans="1:6" hidden="1" x14ac:dyDescent="0.3">
      <c r="A978">
        <v>977</v>
      </c>
      <c r="B978" t="s">
        <v>16</v>
      </c>
      <c r="C978">
        <v>2007</v>
      </c>
      <c r="D978" t="s">
        <v>9</v>
      </c>
      <c r="E978">
        <v>11100000</v>
      </c>
      <c r="F978">
        <v>0</v>
      </c>
    </row>
    <row r="979" spans="1:6" hidden="1" x14ac:dyDescent="0.3">
      <c r="A979">
        <v>978</v>
      </c>
      <c r="B979" t="s">
        <v>16</v>
      </c>
      <c r="C979">
        <v>2007</v>
      </c>
      <c r="D979" t="s">
        <v>9</v>
      </c>
      <c r="E979">
        <v>35000</v>
      </c>
      <c r="F979">
        <v>101151000</v>
      </c>
    </row>
    <row r="980" spans="1:6" hidden="1" x14ac:dyDescent="0.3">
      <c r="A980">
        <v>979</v>
      </c>
      <c r="B980" t="s">
        <v>16</v>
      </c>
      <c r="C980">
        <v>2007</v>
      </c>
      <c r="D980" t="s">
        <v>11</v>
      </c>
      <c r="E980">
        <v>0</v>
      </c>
      <c r="F980">
        <v>0</v>
      </c>
    </row>
    <row r="981" spans="1:6" hidden="1" x14ac:dyDescent="0.3">
      <c r="A981">
        <v>980</v>
      </c>
      <c r="B981" t="s">
        <v>19</v>
      </c>
      <c r="C981">
        <v>2008</v>
      </c>
      <c r="D981" t="s">
        <v>9</v>
      </c>
      <c r="E981">
        <v>17300</v>
      </c>
      <c r="F981">
        <v>0</v>
      </c>
    </row>
    <row r="982" spans="1:6" hidden="1" x14ac:dyDescent="0.3">
      <c r="A982">
        <v>981</v>
      </c>
      <c r="B982" t="s">
        <v>19</v>
      </c>
      <c r="C982">
        <v>2008</v>
      </c>
      <c r="D982" t="s">
        <v>11</v>
      </c>
      <c r="E982">
        <v>0</v>
      </c>
      <c r="F982">
        <v>0</v>
      </c>
    </row>
    <row r="983" spans="1:6" hidden="1" x14ac:dyDescent="0.3">
      <c r="A983">
        <v>982</v>
      </c>
      <c r="B983" t="s">
        <v>44</v>
      </c>
      <c r="C983">
        <v>2008</v>
      </c>
      <c r="D983" t="s">
        <v>11</v>
      </c>
      <c r="E983">
        <v>55000</v>
      </c>
      <c r="F983">
        <v>0</v>
      </c>
    </row>
    <row r="984" spans="1:6" hidden="1" x14ac:dyDescent="0.3">
      <c r="A984">
        <v>983</v>
      </c>
      <c r="B984" t="s">
        <v>26</v>
      </c>
      <c r="C984">
        <v>2008</v>
      </c>
      <c r="D984" t="s">
        <v>7</v>
      </c>
      <c r="E984">
        <v>6400000</v>
      </c>
      <c r="F984">
        <v>0</v>
      </c>
    </row>
    <row r="985" spans="1:6" hidden="1" x14ac:dyDescent="0.3">
      <c r="A985">
        <v>984</v>
      </c>
      <c r="B985" t="s">
        <v>8</v>
      </c>
      <c r="C985">
        <v>2008</v>
      </c>
      <c r="D985" t="s">
        <v>9</v>
      </c>
      <c r="E985">
        <v>20002</v>
      </c>
      <c r="F985">
        <v>0</v>
      </c>
    </row>
    <row r="986" spans="1:6" hidden="1" x14ac:dyDescent="0.3">
      <c r="A986">
        <v>985</v>
      </c>
      <c r="B986" t="s">
        <v>44</v>
      </c>
      <c r="C986">
        <v>2008</v>
      </c>
      <c r="D986" t="s">
        <v>9</v>
      </c>
      <c r="E986">
        <v>9498</v>
      </c>
      <c r="F986">
        <v>0</v>
      </c>
    </row>
    <row r="987" spans="1:6" hidden="1" x14ac:dyDescent="0.3">
      <c r="A987">
        <v>986</v>
      </c>
      <c r="B987" t="s">
        <v>44</v>
      </c>
      <c r="C987">
        <v>2008</v>
      </c>
      <c r="D987" t="s">
        <v>9</v>
      </c>
      <c r="E987">
        <v>92000</v>
      </c>
      <c r="F987">
        <v>0</v>
      </c>
    </row>
    <row r="988" spans="1:6" hidden="1" x14ac:dyDescent="0.3">
      <c r="A988">
        <v>987</v>
      </c>
      <c r="B988" t="s">
        <v>44</v>
      </c>
      <c r="C988">
        <v>2008</v>
      </c>
      <c r="D988" t="s">
        <v>9</v>
      </c>
      <c r="E988">
        <v>53000</v>
      </c>
      <c r="F988">
        <v>22000000</v>
      </c>
    </row>
    <row r="989" spans="1:6" hidden="1" x14ac:dyDescent="0.3">
      <c r="A989">
        <v>988</v>
      </c>
      <c r="B989" t="s">
        <v>25</v>
      </c>
      <c r="C989">
        <v>2008</v>
      </c>
      <c r="D989" t="s">
        <v>9</v>
      </c>
      <c r="E989">
        <v>59050</v>
      </c>
      <c r="F989">
        <v>348000000</v>
      </c>
    </row>
    <row r="990" spans="1:6" hidden="1" x14ac:dyDescent="0.3">
      <c r="A990">
        <v>989</v>
      </c>
      <c r="B990" t="s">
        <v>19</v>
      </c>
      <c r="C990">
        <v>2008</v>
      </c>
      <c r="D990" t="s">
        <v>9</v>
      </c>
      <c r="E990">
        <v>180000</v>
      </c>
      <c r="F990">
        <v>0</v>
      </c>
    </row>
    <row r="991" spans="1:6" hidden="1" x14ac:dyDescent="0.3">
      <c r="A991">
        <v>990</v>
      </c>
      <c r="B991" t="s">
        <v>23</v>
      </c>
      <c r="C991">
        <v>2008</v>
      </c>
      <c r="D991" t="s">
        <v>9</v>
      </c>
      <c r="E991">
        <v>313357</v>
      </c>
      <c r="F991">
        <v>0</v>
      </c>
    </row>
    <row r="992" spans="1:6" hidden="1" x14ac:dyDescent="0.3">
      <c r="A992">
        <v>991</v>
      </c>
      <c r="B992" t="s">
        <v>20</v>
      </c>
      <c r="C992">
        <v>2008</v>
      </c>
      <c r="D992" t="s">
        <v>9</v>
      </c>
      <c r="E992">
        <v>3500</v>
      </c>
      <c r="F992">
        <v>0</v>
      </c>
    </row>
    <row r="993" spans="1:6" hidden="1" x14ac:dyDescent="0.3">
      <c r="A993">
        <v>992</v>
      </c>
      <c r="B993" t="s">
        <v>20</v>
      </c>
      <c r="C993">
        <v>2008</v>
      </c>
      <c r="D993" t="s">
        <v>9</v>
      </c>
      <c r="E993">
        <v>84420</v>
      </c>
      <c r="F993">
        <v>0</v>
      </c>
    </row>
    <row r="994" spans="1:6" hidden="1" x14ac:dyDescent="0.3">
      <c r="A994">
        <v>993</v>
      </c>
      <c r="B994" t="s">
        <v>16</v>
      </c>
      <c r="C994">
        <v>2008</v>
      </c>
      <c r="D994" t="s">
        <v>9</v>
      </c>
      <c r="E994">
        <v>7900000</v>
      </c>
      <c r="F994">
        <v>123000000</v>
      </c>
    </row>
    <row r="995" spans="1:6" hidden="1" x14ac:dyDescent="0.3">
      <c r="A995">
        <v>994</v>
      </c>
      <c r="B995" t="s">
        <v>16</v>
      </c>
      <c r="C995">
        <v>2008</v>
      </c>
      <c r="D995" t="s">
        <v>9</v>
      </c>
      <c r="E995">
        <v>2400000</v>
      </c>
      <c r="F995">
        <v>0</v>
      </c>
    </row>
    <row r="996" spans="1:6" hidden="1" x14ac:dyDescent="0.3">
      <c r="A996">
        <v>995</v>
      </c>
      <c r="B996" t="s">
        <v>20</v>
      </c>
      <c r="C996">
        <v>2008</v>
      </c>
      <c r="D996" t="s">
        <v>9</v>
      </c>
      <c r="E996">
        <v>12000</v>
      </c>
      <c r="F996">
        <v>0</v>
      </c>
    </row>
    <row r="997" spans="1:6" hidden="1" x14ac:dyDescent="0.3">
      <c r="A997">
        <v>996</v>
      </c>
      <c r="B997" t="s">
        <v>16</v>
      </c>
      <c r="C997">
        <v>2008</v>
      </c>
      <c r="D997" t="s">
        <v>9</v>
      </c>
      <c r="E997">
        <v>2600000</v>
      </c>
      <c r="F997">
        <v>20000000</v>
      </c>
    </row>
    <row r="998" spans="1:6" hidden="1" x14ac:dyDescent="0.3">
      <c r="A998">
        <v>997</v>
      </c>
      <c r="B998" t="s">
        <v>8</v>
      </c>
      <c r="C998">
        <v>2008</v>
      </c>
      <c r="D998" t="s">
        <v>11</v>
      </c>
      <c r="E998">
        <v>200</v>
      </c>
      <c r="F998">
        <v>0</v>
      </c>
    </row>
    <row r="999" spans="1:6" hidden="1" x14ac:dyDescent="0.3">
      <c r="A999">
        <v>998</v>
      </c>
      <c r="B999" t="s">
        <v>27</v>
      </c>
      <c r="C999">
        <v>2008</v>
      </c>
      <c r="D999" t="s">
        <v>11</v>
      </c>
      <c r="E999">
        <v>73006</v>
      </c>
      <c r="F999">
        <v>0</v>
      </c>
    </row>
    <row r="1000" spans="1:6" hidden="1" x14ac:dyDescent="0.3">
      <c r="A1000">
        <v>999</v>
      </c>
      <c r="B1000" t="s">
        <v>27</v>
      </c>
      <c r="C1000">
        <v>2008</v>
      </c>
      <c r="D1000" t="s">
        <v>11</v>
      </c>
      <c r="E1000">
        <v>48000</v>
      </c>
      <c r="F1000">
        <v>0</v>
      </c>
    </row>
    <row r="1001" spans="1:6" hidden="1" x14ac:dyDescent="0.3">
      <c r="A1001">
        <v>1000</v>
      </c>
      <c r="B1001" t="s">
        <v>27</v>
      </c>
      <c r="C1001">
        <v>2008</v>
      </c>
      <c r="D1001" t="s">
        <v>11</v>
      </c>
      <c r="E1001">
        <v>125050</v>
      </c>
      <c r="F1001">
        <v>0</v>
      </c>
    </row>
    <row r="1002" spans="1:6" hidden="1" x14ac:dyDescent="0.3">
      <c r="A1002">
        <v>1001</v>
      </c>
      <c r="B1002" t="s">
        <v>16</v>
      </c>
      <c r="C1002">
        <v>2008</v>
      </c>
      <c r="D1002" t="s">
        <v>11</v>
      </c>
      <c r="E1002">
        <v>50</v>
      </c>
      <c r="F1002">
        <v>25000000</v>
      </c>
    </row>
    <row r="1003" spans="1:6" hidden="1" x14ac:dyDescent="0.3">
      <c r="A1003">
        <v>1002</v>
      </c>
      <c r="B1003" t="s">
        <v>6</v>
      </c>
      <c r="C1003">
        <v>2008</v>
      </c>
      <c r="D1003" t="s">
        <v>7</v>
      </c>
      <c r="E1003">
        <v>280000</v>
      </c>
      <c r="F1003">
        <v>0</v>
      </c>
    </row>
    <row r="1004" spans="1:6" hidden="1" x14ac:dyDescent="0.3">
      <c r="A1004">
        <v>1003</v>
      </c>
      <c r="B1004" t="s">
        <v>47</v>
      </c>
      <c r="C1004">
        <v>2008</v>
      </c>
      <c r="D1004" t="s">
        <v>7</v>
      </c>
      <c r="E1004">
        <v>340000</v>
      </c>
      <c r="F1004">
        <v>0</v>
      </c>
    </row>
    <row r="1005" spans="1:6" hidden="1" x14ac:dyDescent="0.3">
      <c r="A1005">
        <v>1004</v>
      </c>
      <c r="B1005" t="s">
        <v>27</v>
      </c>
      <c r="C1005">
        <v>2008</v>
      </c>
      <c r="D1005" t="s">
        <v>11</v>
      </c>
      <c r="E1005">
        <v>220</v>
      </c>
      <c r="F1005">
        <v>0</v>
      </c>
    </row>
    <row r="1006" spans="1:6" hidden="1" x14ac:dyDescent="0.3">
      <c r="A1006">
        <v>1005</v>
      </c>
      <c r="B1006" t="s">
        <v>6</v>
      </c>
      <c r="C1006">
        <v>2008</v>
      </c>
      <c r="D1006" t="s">
        <v>9</v>
      </c>
      <c r="E1006">
        <v>1180</v>
      </c>
      <c r="F1006">
        <v>0</v>
      </c>
    </row>
    <row r="1007" spans="1:6" hidden="1" x14ac:dyDescent="0.3">
      <c r="A1007">
        <v>1006</v>
      </c>
      <c r="B1007" t="s">
        <v>12</v>
      </c>
      <c r="C1007">
        <v>2008</v>
      </c>
      <c r="D1007" t="s">
        <v>9</v>
      </c>
      <c r="E1007">
        <v>81400</v>
      </c>
      <c r="F1007">
        <v>0</v>
      </c>
    </row>
    <row r="1008" spans="1:6" hidden="1" x14ac:dyDescent="0.3">
      <c r="A1008">
        <v>1007</v>
      </c>
      <c r="B1008" t="s">
        <v>8</v>
      </c>
      <c r="C1008">
        <v>2008</v>
      </c>
      <c r="D1008" t="s">
        <v>9</v>
      </c>
      <c r="E1008">
        <v>615638</v>
      </c>
      <c r="F1008">
        <v>0</v>
      </c>
    </row>
    <row r="1009" spans="1:6" hidden="1" x14ac:dyDescent="0.3">
      <c r="A1009">
        <v>1008</v>
      </c>
      <c r="B1009" t="s">
        <v>8</v>
      </c>
      <c r="C1009">
        <v>2008</v>
      </c>
      <c r="D1009" t="s">
        <v>11</v>
      </c>
      <c r="E1009">
        <v>200</v>
      </c>
      <c r="F1009">
        <v>0</v>
      </c>
    </row>
    <row r="1010" spans="1:6" hidden="1" x14ac:dyDescent="0.3">
      <c r="A1010">
        <v>1009</v>
      </c>
      <c r="B1010" t="s">
        <v>26</v>
      </c>
      <c r="C1010">
        <v>2008</v>
      </c>
      <c r="D1010" t="s">
        <v>9</v>
      </c>
      <c r="E1010">
        <v>91764</v>
      </c>
      <c r="F1010">
        <v>0</v>
      </c>
    </row>
    <row r="1011" spans="1:6" hidden="1" x14ac:dyDescent="0.3">
      <c r="A1011">
        <v>1010</v>
      </c>
      <c r="B1011" t="s">
        <v>26</v>
      </c>
      <c r="C1011">
        <v>2008</v>
      </c>
      <c r="D1011" t="s">
        <v>9</v>
      </c>
      <c r="E1011">
        <v>845</v>
      </c>
      <c r="F1011">
        <v>0</v>
      </c>
    </row>
    <row r="1012" spans="1:6" hidden="1" x14ac:dyDescent="0.3">
      <c r="A1012">
        <v>1011</v>
      </c>
      <c r="B1012" t="s">
        <v>26</v>
      </c>
      <c r="C1012">
        <v>2008</v>
      </c>
      <c r="D1012" t="s">
        <v>9</v>
      </c>
      <c r="E1012">
        <v>23831</v>
      </c>
      <c r="F1012">
        <v>0</v>
      </c>
    </row>
    <row r="1013" spans="1:6" hidden="1" x14ac:dyDescent="0.3">
      <c r="A1013">
        <v>1012</v>
      </c>
      <c r="B1013" t="s">
        <v>23</v>
      </c>
      <c r="C1013">
        <v>2008</v>
      </c>
      <c r="D1013" t="s">
        <v>11</v>
      </c>
      <c r="E1013">
        <v>0</v>
      </c>
      <c r="F1013">
        <v>0</v>
      </c>
    </row>
    <row r="1014" spans="1:6" hidden="1" x14ac:dyDescent="0.3">
      <c r="A1014">
        <v>1013</v>
      </c>
      <c r="B1014" t="s">
        <v>20</v>
      </c>
      <c r="C1014">
        <v>2008</v>
      </c>
      <c r="D1014" t="s">
        <v>14</v>
      </c>
      <c r="E1014">
        <v>25</v>
      </c>
      <c r="F1014">
        <v>0</v>
      </c>
    </row>
    <row r="1015" spans="1:6" hidden="1" x14ac:dyDescent="0.3">
      <c r="A1015">
        <v>1014</v>
      </c>
      <c r="B1015" t="s">
        <v>20</v>
      </c>
      <c r="C1015">
        <v>2008</v>
      </c>
      <c r="D1015" t="s">
        <v>14</v>
      </c>
      <c r="E1015">
        <v>625</v>
      </c>
      <c r="F1015">
        <v>0</v>
      </c>
    </row>
    <row r="1016" spans="1:6" hidden="1" x14ac:dyDescent="0.3">
      <c r="A1016">
        <v>1015</v>
      </c>
      <c r="B1016" t="s">
        <v>20</v>
      </c>
      <c r="C1016">
        <v>2008</v>
      </c>
      <c r="D1016" t="s">
        <v>14</v>
      </c>
      <c r="E1016">
        <v>10077</v>
      </c>
      <c r="F1016">
        <v>0</v>
      </c>
    </row>
    <row r="1017" spans="1:6" hidden="1" x14ac:dyDescent="0.3">
      <c r="A1017">
        <v>1016</v>
      </c>
      <c r="B1017" t="s">
        <v>20</v>
      </c>
      <c r="C1017">
        <v>2008</v>
      </c>
      <c r="D1017" t="s">
        <v>9</v>
      </c>
      <c r="E1017">
        <v>7000</v>
      </c>
      <c r="F1017">
        <v>0</v>
      </c>
    </row>
    <row r="1018" spans="1:6" hidden="1" x14ac:dyDescent="0.3">
      <c r="A1018">
        <v>1017</v>
      </c>
      <c r="B1018" t="s">
        <v>20</v>
      </c>
      <c r="C1018">
        <v>2008</v>
      </c>
      <c r="D1018" t="s">
        <v>9</v>
      </c>
      <c r="E1018">
        <v>34514</v>
      </c>
      <c r="F1018">
        <v>0</v>
      </c>
    </row>
    <row r="1019" spans="1:6" hidden="1" x14ac:dyDescent="0.3">
      <c r="A1019">
        <v>1018</v>
      </c>
      <c r="B1019" t="s">
        <v>20</v>
      </c>
      <c r="C1019">
        <v>2008</v>
      </c>
      <c r="D1019" t="s">
        <v>9</v>
      </c>
      <c r="E1019">
        <v>1000</v>
      </c>
      <c r="F1019">
        <v>0</v>
      </c>
    </row>
    <row r="1020" spans="1:6" hidden="1" x14ac:dyDescent="0.3">
      <c r="A1020">
        <v>1019</v>
      </c>
      <c r="B1020" t="s">
        <v>20</v>
      </c>
      <c r="C1020">
        <v>2008</v>
      </c>
      <c r="D1020" t="s">
        <v>9</v>
      </c>
      <c r="E1020">
        <v>89761</v>
      </c>
      <c r="F1020">
        <v>0</v>
      </c>
    </row>
    <row r="1021" spans="1:6" hidden="1" x14ac:dyDescent="0.3">
      <c r="A1021">
        <v>1020</v>
      </c>
      <c r="B1021" t="s">
        <v>20</v>
      </c>
      <c r="C1021">
        <v>2008</v>
      </c>
      <c r="D1021" t="s">
        <v>9</v>
      </c>
      <c r="E1021">
        <v>40000</v>
      </c>
      <c r="F1021">
        <v>653000</v>
      </c>
    </row>
    <row r="1022" spans="1:6" hidden="1" x14ac:dyDescent="0.3">
      <c r="A1022">
        <v>1021</v>
      </c>
      <c r="B1022" t="s">
        <v>20</v>
      </c>
      <c r="C1022">
        <v>2008</v>
      </c>
      <c r="D1022" t="s">
        <v>9</v>
      </c>
      <c r="E1022">
        <v>60000</v>
      </c>
      <c r="F1022">
        <v>0</v>
      </c>
    </row>
    <row r="1023" spans="1:6" hidden="1" x14ac:dyDescent="0.3">
      <c r="A1023">
        <v>1022</v>
      </c>
      <c r="B1023" t="s">
        <v>20</v>
      </c>
      <c r="C1023">
        <v>2008</v>
      </c>
      <c r="D1023" t="s">
        <v>9</v>
      </c>
      <c r="E1023">
        <v>118000</v>
      </c>
      <c r="F1023">
        <v>1080000</v>
      </c>
    </row>
    <row r="1024" spans="1:6" hidden="1" x14ac:dyDescent="0.3">
      <c r="A1024">
        <v>1023</v>
      </c>
      <c r="B1024" t="s">
        <v>20</v>
      </c>
      <c r="C1024">
        <v>2008</v>
      </c>
      <c r="D1024" t="s">
        <v>9</v>
      </c>
      <c r="E1024">
        <v>11000</v>
      </c>
      <c r="F1024">
        <v>0</v>
      </c>
    </row>
    <row r="1025" spans="1:6" hidden="1" x14ac:dyDescent="0.3">
      <c r="A1025">
        <v>1024</v>
      </c>
      <c r="B1025" t="s">
        <v>20</v>
      </c>
      <c r="C1025">
        <v>2008</v>
      </c>
      <c r="D1025" t="s">
        <v>9</v>
      </c>
      <c r="E1025">
        <v>15000</v>
      </c>
      <c r="F1025">
        <v>0</v>
      </c>
    </row>
    <row r="1026" spans="1:6" hidden="1" x14ac:dyDescent="0.3">
      <c r="A1026">
        <v>1025</v>
      </c>
      <c r="B1026" t="s">
        <v>16</v>
      </c>
      <c r="C1026">
        <v>2008</v>
      </c>
      <c r="D1026" t="s">
        <v>9</v>
      </c>
      <c r="E1026">
        <v>803740</v>
      </c>
      <c r="F1026">
        <v>0</v>
      </c>
    </row>
    <row r="1027" spans="1:6" hidden="1" x14ac:dyDescent="0.3">
      <c r="A1027">
        <v>1026</v>
      </c>
      <c r="B1027" t="s">
        <v>16</v>
      </c>
      <c r="C1027">
        <v>2008</v>
      </c>
      <c r="D1027" t="s">
        <v>9</v>
      </c>
      <c r="E1027">
        <v>50000</v>
      </c>
      <c r="F1027">
        <v>0</v>
      </c>
    </row>
    <row r="1028" spans="1:6" hidden="1" x14ac:dyDescent="0.3">
      <c r="A1028">
        <v>1027</v>
      </c>
      <c r="B1028" t="s">
        <v>16</v>
      </c>
      <c r="C1028">
        <v>2008</v>
      </c>
      <c r="D1028" t="s">
        <v>9</v>
      </c>
      <c r="E1028">
        <v>0</v>
      </c>
      <c r="F1028">
        <v>0</v>
      </c>
    </row>
    <row r="1029" spans="1:6" hidden="1" x14ac:dyDescent="0.3">
      <c r="A1029">
        <v>1028</v>
      </c>
      <c r="B1029" t="s">
        <v>16</v>
      </c>
      <c r="C1029">
        <v>2008</v>
      </c>
      <c r="D1029" t="s">
        <v>9</v>
      </c>
      <c r="E1029">
        <v>225000</v>
      </c>
      <c r="F1029">
        <v>0</v>
      </c>
    </row>
    <row r="1030" spans="1:6" hidden="1" x14ac:dyDescent="0.3">
      <c r="A1030">
        <v>1029</v>
      </c>
      <c r="B1030" t="s">
        <v>16</v>
      </c>
      <c r="C1030">
        <v>2009</v>
      </c>
      <c r="D1030" t="s">
        <v>11</v>
      </c>
      <c r="E1030">
        <v>5100000</v>
      </c>
      <c r="F1030">
        <v>0</v>
      </c>
    </row>
    <row r="1031" spans="1:6" hidden="1" x14ac:dyDescent="0.3">
      <c r="A1031">
        <v>1030</v>
      </c>
      <c r="B1031" t="s">
        <v>8</v>
      </c>
      <c r="C1031">
        <v>2009</v>
      </c>
      <c r="D1031" t="s">
        <v>11</v>
      </c>
      <c r="E1031">
        <v>3935341</v>
      </c>
      <c r="F1031">
        <v>270000000</v>
      </c>
    </row>
    <row r="1032" spans="1:6" hidden="1" x14ac:dyDescent="0.3">
      <c r="A1032">
        <v>1031</v>
      </c>
      <c r="B1032" t="s">
        <v>6</v>
      </c>
      <c r="C1032">
        <v>2009</v>
      </c>
      <c r="D1032" t="s">
        <v>9</v>
      </c>
      <c r="E1032">
        <v>2500</v>
      </c>
      <c r="F1032">
        <v>0</v>
      </c>
    </row>
    <row r="1033" spans="1:6" hidden="1" x14ac:dyDescent="0.3">
      <c r="A1033">
        <v>1032</v>
      </c>
      <c r="B1033" t="s">
        <v>6</v>
      </c>
      <c r="C1033">
        <v>2009</v>
      </c>
      <c r="D1033" t="s">
        <v>9</v>
      </c>
      <c r="E1033">
        <v>60016</v>
      </c>
      <c r="F1033">
        <v>20000000</v>
      </c>
    </row>
    <row r="1034" spans="1:6" hidden="1" x14ac:dyDescent="0.3">
      <c r="A1034">
        <v>1033</v>
      </c>
      <c r="B1034" t="s">
        <v>44</v>
      </c>
      <c r="C1034">
        <v>2009</v>
      </c>
      <c r="D1034" t="s">
        <v>14</v>
      </c>
      <c r="E1034">
        <v>128618</v>
      </c>
      <c r="F1034">
        <v>200000000</v>
      </c>
    </row>
    <row r="1035" spans="1:6" hidden="1" x14ac:dyDescent="0.3">
      <c r="A1035">
        <v>1034</v>
      </c>
      <c r="B1035" t="s">
        <v>23</v>
      </c>
      <c r="C1035">
        <v>2009</v>
      </c>
      <c r="D1035" t="s">
        <v>14</v>
      </c>
      <c r="E1035">
        <v>50136</v>
      </c>
      <c r="F1035">
        <v>100000000</v>
      </c>
    </row>
    <row r="1036" spans="1:6" hidden="1" x14ac:dyDescent="0.3">
      <c r="A1036">
        <v>1035</v>
      </c>
      <c r="B1036" t="s">
        <v>20</v>
      </c>
      <c r="C1036">
        <v>2009</v>
      </c>
      <c r="D1036" t="s">
        <v>9</v>
      </c>
      <c r="E1036">
        <v>12000</v>
      </c>
      <c r="F1036">
        <v>0</v>
      </c>
    </row>
    <row r="1037" spans="1:6" hidden="1" x14ac:dyDescent="0.3">
      <c r="A1037">
        <v>1036</v>
      </c>
      <c r="B1037" t="s">
        <v>20</v>
      </c>
      <c r="C1037">
        <v>2009</v>
      </c>
      <c r="D1037" t="s">
        <v>9</v>
      </c>
      <c r="E1037">
        <v>1600</v>
      </c>
      <c r="F1037">
        <v>0</v>
      </c>
    </row>
    <row r="1038" spans="1:6" hidden="1" x14ac:dyDescent="0.3">
      <c r="A1038">
        <v>1037</v>
      </c>
      <c r="B1038" t="s">
        <v>16</v>
      </c>
      <c r="C1038">
        <v>2009</v>
      </c>
      <c r="D1038" t="s">
        <v>11</v>
      </c>
      <c r="E1038">
        <v>9050</v>
      </c>
      <c r="F1038">
        <v>0</v>
      </c>
    </row>
    <row r="1039" spans="1:6" hidden="1" x14ac:dyDescent="0.3">
      <c r="A1039">
        <v>1038</v>
      </c>
      <c r="B1039" t="s">
        <v>6</v>
      </c>
      <c r="C1039">
        <v>2009</v>
      </c>
      <c r="D1039" t="s">
        <v>14</v>
      </c>
      <c r="E1039">
        <v>3309</v>
      </c>
      <c r="F1039">
        <v>0</v>
      </c>
    </row>
    <row r="1040" spans="1:6" hidden="1" x14ac:dyDescent="0.3">
      <c r="A1040">
        <v>1039</v>
      </c>
      <c r="B1040" t="s">
        <v>12</v>
      </c>
      <c r="C1040">
        <v>2009</v>
      </c>
      <c r="D1040" t="s">
        <v>9</v>
      </c>
      <c r="E1040">
        <v>415</v>
      </c>
      <c r="F1040">
        <v>0</v>
      </c>
    </row>
    <row r="1041" spans="1:6" hidden="1" x14ac:dyDescent="0.3">
      <c r="A1041">
        <v>1040</v>
      </c>
      <c r="B1041" t="s">
        <v>12</v>
      </c>
      <c r="C1041">
        <v>2009</v>
      </c>
      <c r="D1041" t="s">
        <v>9</v>
      </c>
      <c r="E1041">
        <v>220000</v>
      </c>
      <c r="F1041">
        <v>0</v>
      </c>
    </row>
    <row r="1042" spans="1:6" hidden="1" x14ac:dyDescent="0.3">
      <c r="A1042">
        <v>1041</v>
      </c>
      <c r="B1042" t="s">
        <v>8</v>
      </c>
      <c r="C1042">
        <v>2009</v>
      </c>
      <c r="D1042" t="s">
        <v>11</v>
      </c>
      <c r="E1042">
        <v>19209</v>
      </c>
      <c r="F1042">
        <v>0</v>
      </c>
    </row>
    <row r="1043" spans="1:6" hidden="1" x14ac:dyDescent="0.3">
      <c r="A1043">
        <v>1042</v>
      </c>
      <c r="B1043" t="s">
        <v>10</v>
      </c>
      <c r="C1043">
        <v>2009</v>
      </c>
      <c r="D1043" t="s">
        <v>9</v>
      </c>
      <c r="E1043">
        <v>2630</v>
      </c>
      <c r="F1043">
        <v>0</v>
      </c>
    </row>
    <row r="1044" spans="1:6" hidden="1" x14ac:dyDescent="0.3">
      <c r="A1044">
        <v>1043</v>
      </c>
      <c r="B1044" t="s">
        <v>25</v>
      </c>
      <c r="C1044">
        <v>2009</v>
      </c>
      <c r="D1044" t="s">
        <v>9</v>
      </c>
      <c r="E1044">
        <v>2548</v>
      </c>
      <c r="F1044">
        <v>0</v>
      </c>
    </row>
    <row r="1045" spans="1:6" hidden="1" x14ac:dyDescent="0.3">
      <c r="A1045">
        <v>1044</v>
      </c>
      <c r="B1045" t="s">
        <v>19</v>
      </c>
      <c r="C1045">
        <v>2009</v>
      </c>
      <c r="D1045" t="s">
        <v>9</v>
      </c>
      <c r="E1045">
        <v>10800</v>
      </c>
      <c r="F1045">
        <v>0</v>
      </c>
    </row>
    <row r="1046" spans="1:6" hidden="1" x14ac:dyDescent="0.3">
      <c r="A1046">
        <v>1045</v>
      </c>
      <c r="B1046" t="s">
        <v>27</v>
      </c>
      <c r="C1046">
        <v>2009</v>
      </c>
      <c r="D1046" t="s">
        <v>9</v>
      </c>
      <c r="E1046">
        <v>9910</v>
      </c>
      <c r="F1046">
        <v>0</v>
      </c>
    </row>
    <row r="1047" spans="1:6" hidden="1" x14ac:dyDescent="0.3">
      <c r="A1047">
        <v>1046</v>
      </c>
      <c r="B1047" t="s">
        <v>20</v>
      </c>
      <c r="C1047">
        <v>2009</v>
      </c>
      <c r="D1047" t="s">
        <v>14</v>
      </c>
      <c r="E1047">
        <v>4250</v>
      </c>
      <c r="F1047">
        <v>10000000</v>
      </c>
    </row>
    <row r="1048" spans="1:6" hidden="1" x14ac:dyDescent="0.3">
      <c r="A1048">
        <v>1047</v>
      </c>
      <c r="B1048" t="s">
        <v>20</v>
      </c>
      <c r="C1048">
        <v>2009</v>
      </c>
      <c r="D1048" t="s">
        <v>14</v>
      </c>
      <c r="E1048">
        <v>3049</v>
      </c>
      <c r="F1048">
        <v>9000000</v>
      </c>
    </row>
    <row r="1049" spans="1:6" hidden="1" x14ac:dyDescent="0.3">
      <c r="A1049">
        <v>1048</v>
      </c>
      <c r="B1049" t="s">
        <v>36</v>
      </c>
      <c r="C1049">
        <v>2007</v>
      </c>
      <c r="D1049" t="s">
        <v>14</v>
      </c>
      <c r="E1049">
        <v>658331</v>
      </c>
      <c r="F1049">
        <v>600000000</v>
      </c>
    </row>
    <row r="1050" spans="1:6" hidden="1" x14ac:dyDescent="0.3">
      <c r="A1050">
        <v>1049</v>
      </c>
      <c r="B1050" t="s">
        <v>21</v>
      </c>
      <c r="C1050">
        <v>2007</v>
      </c>
      <c r="D1050" t="s">
        <v>9</v>
      </c>
      <c r="E1050">
        <v>1600000</v>
      </c>
      <c r="F1050">
        <v>3000000000</v>
      </c>
    </row>
    <row r="1051" spans="1:6" hidden="1" x14ac:dyDescent="0.3">
      <c r="A1051">
        <v>1050</v>
      </c>
      <c r="B1051" t="s">
        <v>21</v>
      </c>
      <c r="C1051">
        <v>2007</v>
      </c>
      <c r="D1051" t="s">
        <v>11</v>
      </c>
      <c r="E1051">
        <v>33000</v>
      </c>
      <c r="F1051">
        <v>0</v>
      </c>
    </row>
    <row r="1052" spans="1:6" hidden="1" x14ac:dyDescent="0.3">
      <c r="A1052">
        <v>1051</v>
      </c>
      <c r="B1052" t="s">
        <v>24</v>
      </c>
      <c r="C1052">
        <v>2007</v>
      </c>
      <c r="D1052" t="s">
        <v>11</v>
      </c>
      <c r="E1052">
        <v>188726</v>
      </c>
      <c r="F1052">
        <v>0</v>
      </c>
    </row>
    <row r="1053" spans="1:6" hidden="1" x14ac:dyDescent="0.3">
      <c r="A1053">
        <v>1052</v>
      </c>
      <c r="B1053" t="s">
        <v>37</v>
      </c>
      <c r="C1053">
        <v>2007</v>
      </c>
      <c r="D1053" t="s">
        <v>11</v>
      </c>
      <c r="E1053">
        <v>921462</v>
      </c>
      <c r="F1053">
        <v>492000</v>
      </c>
    </row>
    <row r="1054" spans="1:6" hidden="1" x14ac:dyDescent="0.3">
      <c r="A1054">
        <v>1053</v>
      </c>
      <c r="B1054" t="s">
        <v>37</v>
      </c>
      <c r="C1054">
        <v>2007</v>
      </c>
      <c r="D1054" t="s">
        <v>11</v>
      </c>
      <c r="E1054">
        <v>2000</v>
      </c>
      <c r="F1054">
        <v>0</v>
      </c>
    </row>
    <row r="1055" spans="1:6" hidden="1" x14ac:dyDescent="0.3">
      <c r="A1055">
        <v>1054</v>
      </c>
      <c r="B1055" t="s">
        <v>37</v>
      </c>
      <c r="C1055">
        <v>2007</v>
      </c>
      <c r="D1055" t="s">
        <v>11</v>
      </c>
      <c r="E1055">
        <v>443115</v>
      </c>
      <c r="F1055">
        <v>5000000</v>
      </c>
    </row>
    <row r="1056" spans="1:6" hidden="1" x14ac:dyDescent="0.3">
      <c r="A1056">
        <v>1055</v>
      </c>
      <c r="B1056" t="s">
        <v>37</v>
      </c>
      <c r="C1056">
        <v>2007</v>
      </c>
      <c r="D1056" t="s">
        <v>11</v>
      </c>
      <c r="E1056">
        <v>35333</v>
      </c>
      <c r="F1056">
        <v>1000000</v>
      </c>
    </row>
    <row r="1057" spans="1:6" x14ac:dyDescent="0.3">
      <c r="A1057">
        <v>1056</v>
      </c>
      <c r="B1057" t="s">
        <v>42</v>
      </c>
      <c r="C1057">
        <v>2007</v>
      </c>
      <c r="D1057" t="s">
        <v>14</v>
      </c>
      <c r="E1057">
        <v>7003</v>
      </c>
      <c r="F1057">
        <v>0</v>
      </c>
    </row>
    <row r="1058" spans="1:6" hidden="1" x14ac:dyDescent="0.3">
      <c r="A1058">
        <v>1057</v>
      </c>
      <c r="B1058" t="s">
        <v>35</v>
      </c>
      <c r="C1058">
        <v>2007</v>
      </c>
      <c r="D1058" t="s">
        <v>11</v>
      </c>
      <c r="E1058">
        <v>1650000</v>
      </c>
      <c r="F1058">
        <v>1620000000</v>
      </c>
    </row>
    <row r="1059" spans="1:6" hidden="1" x14ac:dyDescent="0.3">
      <c r="A1059">
        <v>1058</v>
      </c>
      <c r="B1059" t="s">
        <v>28</v>
      </c>
      <c r="C1059">
        <v>2007</v>
      </c>
      <c r="D1059" t="s">
        <v>11</v>
      </c>
      <c r="E1059">
        <v>33188</v>
      </c>
      <c r="F1059">
        <v>300000000</v>
      </c>
    </row>
    <row r="1060" spans="1:6" hidden="1" x14ac:dyDescent="0.3">
      <c r="A1060">
        <v>1059</v>
      </c>
      <c r="B1060" t="s">
        <v>34</v>
      </c>
      <c r="C1060">
        <v>2007</v>
      </c>
      <c r="D1060" t="s">
        <v>9</v>
      </c>
      <c r="E1060">
        <v>2000</v>
      </c>
      <c r="F1060">
        <v>0</v>
      </c>
    </row>
    <row r="1061" spans="1:6" hidden="1" x14ac:dyDescent="0.3">
      <c r="A1061">
        <v>1060</v>
      </c>
      <c r="B1061" t="s">
        <v>48</v>
      </c>
      <c r="C1061">
        <v>2007</v>
      </c>
      <c r="D1061" t="s">
        <v>9</v>
      </c>
      <c r="E1061">
        <v>845</v>
      </c>
      <c r="F1061">
        <v>200000</v>
      </c>
    </row>
    <row r="1062" spans="1:6" hidden="1" x14ac:dyDescent="0.3">
      <c r="A1062">
        <v>1061</v>
      </c>
      <c r="B1062" t="s">
        <v>17</v>
      </c>
      <c r="C1062">
        <v>2007</v>
      </c>
      <c r="D1062" t="s">
        <v>9</v>
      </c>
      <c r="E1062">
        <v>121000</v>
      </c>
      <c r="F1062">
        <v>50000</v>
      </c>
    </row>
    <row r="1063" spans="1:6" hidden="1" x14ac:dyDescent="0.3">
      <c r="A1063">
        <v>1062</v>
      </c>
      <c r="B1063" t="s">
        <v>24</v>
      </c>
      <c r="C1063">
        <v>2007</v>
      </c>
      <c r="D1063" t="s">
        <v>9</v>
      </c>
      <c r="E1063">
        <v>24000</v>
      </c>
      <c r="F1063">
        <v>0</v>
      </c>
    </row>
    <row r="1064" spans="1:6" hidden="1" x14ac:dyDescent="0.3">
      <c r="A1064">
        <v>1063</v>
      </c>
      <c r="B1064" t="s">
        <v>33</v>
      </c>
      <c r="C1064">
        <v>2007</v>
      </c>
      <c r="D1064" t="s">
        <v>9</v>
      </c>
      <c r="E1064">
        <v>640706</v>
      </c>
      <c r="F1064">
        <v>2400000</v>
      </c>
    </row>
    <row r="1065" spans="1:6" hidden="1" x14ac:dyDescent="0.3">
      <c r="A1065">
        <v>1064</v>
      </c>
      <c r="B1065" t="s">
        <v>35</v>
      </c>
      <c r="C1065">
        <v>2007</v>
      </c>
      <c r="D1065" t="s">
        <v>9</v>
      </c>
      <c r="E1065">
        <v>0</v>
      </c>
      <c r="F1065">
        <v>0</v>
      </c>
    </row>
    <row r="1066" spans="1:6" hidden="1" x14ac:dyDescent="0.3">
      <c r="A1066">
        <v>1065</v>
      </c>
      <c r="B1066" t="s">
        <v>37</v>
      </c>
      <c r="C1066">
        <v>2007</v>
      </c>
      <c r="D1066" t="s">
        <v>9</v>
      </c>
      <c r="E1066">
        <v>16463</v>
      </c>
      <c r="F1066">
        <v>2520000</v>
      </c>
    </row>
    <row r="1067" spans="1:6" hidden="1" x14ac:dyDescent="0.3">
      <c r="A1067">
        <v>1066</v>
      </c>
      <c r="B1067" t="s">
        <v>37</v>
      </c>
      <c r="C1067">
        <v>2007</v>
      </c>
      <c r="D1067" t="s">
        <v>9</v>
      </c>
      <c r="E1067">
        <v>0</v>
      </c>
      <c r="F1067">
        <v>0</v>
      </c>
    </row>
    <row r="1068" spans="1:6" x14ac:dyDescent="0.3">
      <c r="A1068">
        <v>1067</v>
      </c>
      <c r="B1068" t="s">
        <v>42</v>
      </c>
      <c r="C1068">
        <v>2007</v>
      </c>
      <c r="D1068" t="s">
        <v>9</v>
      </c>
      <c r="E1068">
        <v>17184</v>
      </c>
      <c r="F1068">
        <v>0</v>
      </c>
    </row>
    <row r="1069" spans="1:6" hidden="1" x14ac:dyDescent="0.3">
      <c r="A1069">
        <v>1068</v>
      </c>
      <c r="B1069" t="s">
        <v>34</v>
      </c>
      <c r="C1069">
        <v>2007</v>
      </c>
      <c r="D1069" t="s">
        <v>9</v>
      </c>
      <c r="E1069">
        <v>40000</v>
      </c>
      <c r="F1069">
        <v>0</v>
      </c>
    </row>
    <row r="1070" spans="1:6" hidden="1" x14ac:dyDescent="0.3">
      <c r="A1070">
        <v>1069</v>
      </c>
      <c r="B1070" t="s">
        <v>45</v>
      </c>
      <c r="C1070">
        <v>2007</v>
      </c>
      <c r="D1070" t="s">
        <v>9</v>
      </c>
      <c r="E1070">
        <v>61744</v>
      </c>
      <c r="F1070">
        <v>0</v>
      </c>
    </row>
    <row r="1071" spans="1:6" hidden="1" x14ac:dyDescent="0.3">
      <c r="A1071">
        <v>1070</v>
      </c>
      <c r="B1071" t="s">
        <v>41</v>
      </c>
      <c r="C1071">
        <v>2007</v>
      </c>
      <c r="D1071" t="s">
        <v>9</v>
      </c>
      <c r="E1071">
        <v>8000</v>
      </c>
      <c r="F1071">
        <v>0</v>
      </c>
    </row>
    <row r="1072" spans="1:6" hidden="1" x14ac:dyDescent="0.3">
      <c r="A1072">
        <v>1071</v>
      </c>
      <c r="B1072" t="s">
        <v>16</v>
      </c>
      <c r="C1072">
        <v>2007</v>
      </c>
      <c r="D1072" t="s">
        <v>9</v>
      </c>
      <c r="E1072">
        <v>8</v>
      </c>
      <c r="F1072">
        <v>0</v>
      </c>
    </row>
    <row r="1073" spans="1:6" hidden="1" x14ac:dyDescent="0.3">
      <c r="A1073">
        <v>1072</v>
      </c>
      <c r="B1073" t="s">
        <v>35</v>
      </c>
      <c r="C1073">
        <v>2007</v>
      </c>
      <c r="D1073" t="s">
        <v>9</v>
      </c>
      <c r="E1073">
        <v>186</v>
      </c>
      <c r="F1073">
        <v>0</v>
      </c>
    </row>
    <row r="1074" spans="1:6" hidden="1" x14ac:dyDescent="0.3">
      <c r="A1074">
        <v>1073</v>
      </c>
      <c r="B1074" t="s">
        <v>39</v>
      </c>
      <c r="C1074">
        <v>2007</v>
      </c>
      <c r="D1074" t="s">
        <v>9</v>
      </c>
      <c r="E1074">
        <v>1400</v>
      </c>
      <c r="F1074">
        <v>0</v>
      </c>
    </row>
    <row r="1075" spans="1:6" hidden="1" x14ac:dyDescent="0.3">
      <c r="A1075">
        <v>1074</v>
      </c>
      <c r="B1075" t="s">
        <v>39</v>
      </c>
      <c r="C1075">
        <v>2007</v>
      </c>
      <c r="D1075" t="s">
        <v>9</v>
      </c>
      <c r="E1075">
        <v>960</v>
      </c>
      <c r="F1075">
        <v>0</v>
      </c>
    </row>
    <row r="1076" spans="1:6" hidden="1" x14ac:dyDescent="0.3">
      <c r="A1076">
        <v>1075</v>
      </c>
      <c r="B1076" t="s">
        <v>21</v>
      </c>
      <c r="C1076">
        <v>2007</v>
      </c>
      <c r="D1076" t="s">
        <v>11</v>
      </c>
      <c r="E1076">
        <v>140000</v>
      </c>
      <c r="F1076">
        <v>600000000</v>
      </c>
    </row>
    <row r="1077" spans="1:6" hidden="1" x14ac:dyDescent="0.3">
      <c r="A1077">
        <v>1076</v>
      </c>
      <c r="B1077" t="s">
        <v>21</v>
      </c>
      <c r="C1077">
        <v>2007</v>
      </c>
      <c r="D1077" t="s">
        <v>11</v>
      </c>
      <c r="E1077">
        <v>30000</v>
      </c>
      <c r="F1077">
        <v>0</v>
      </c>
    </row>
    <row r="1078" spans="1:6" hidden="1" x14ac:dyDescent="0.3">
      <c r="A1078">
        <v>1077</v>
      </c>
      <c r="B1078" t="s">
        <v>37</v>
      </c>
      <c r="C1078">
        <v>2007</v>
      </c>
      <c r="D1078" t="s">
        <v>11</v>
      </c>
      <c r="E1078">
        <v>380000</v>
      </c>
      <c r="F1078">
        <v>492000</v>
      </c>
    </row>
    <row r="1079" spans="1:6" hidden="1" x14ac:dyDescent="0.3">
      <c r="A1079">
        <v>1078</v>
      </c>
      <c r="B1079" t="s">
        <v>37</v>
      </c>
      <c r="C1079">
        <v>2007</v>
      </c>
      <c r="D1079" t="s">
        <v>11</v>
      </c>
      <c r="E1079">
        <v>30000</v>
      </c>
      <c r="F1079">
        <v>0</v>
      </c>
    </row>
    <row r="1080" spans="1:6" hidden="1" x14ac:dyDescent="0.3">
      <c r="A1080">
        <v>1079</v>
      </c>
      <c r="B1080" t="s">
        <v>37</v>
      </c>
      <c r="C1080">
        <v>2007</v>
      </c>
      <c r="D1080" t="s">
        <v>11</v>
      </c>
      <c r="E1080">
        <v>64000</v>
      </c>
      <c r="F1080">
        <v>0</v>
      </c>
    </row>
    <row r="1081" spans="1:6" hidden="1" x14ac:dyDescent="0.3">
      <c r="A1081">
        <v>1080</v>
      </c>
      <c r="B1081" t="s">
        <v>40</v>
      </c>
      <c r="C1081">
        <v>2007</v>
      </c>
      <c r="D1081" t="s">
        <v>11</v>
      </c>
      <c r="E1081">
        <v>2800</v>
      </c>
      <c r="F1081">
        <v>0</v>
      </c>
    </row>
    <row r="1082" spans="1:6" hidden="1" x14ac:dyDescent="0.3">
      <c r="A1082">
        <v>1081</v>
      </c>
      <c r="B1082" t="s">
        <v>43</v>
      </c>
      <c r="C1082">
        <v>2007</v>
      </c>
      <c r="D1082" t="s">
        <v>11</v>
      </c>
      <c r="E1082">
        <v>685430</v>
      </c>
      <c r="F1082">
        <v>191000000</v>
      </c>
    </row>
    <row r="1083" spans="1:6" hidden="1" x14ac:dyDescent="0.3">
      <c r="A1083">
        <v>1082</v>
      </c>
      <c r="B1083" t="s">
        <v>30</v>
      </c>
      <c r="C1083">
        <v>2007</v>
      </c>
      <c r="D1083" t="s">
        <v>7</v>
      </c>
      <c r="E1083">
        <v>520000</v>
      </c>
      <c r="F1083">
        <v>0</v>
      </c>
    </row>
    <row r="1084" spans="1:6" hidden="1" x14ac:dyDescent="0.3">
      <c r="A1084">
        <v>1083</v>
      </c>
      <c r="B1084" t="s">
        <v>18</v>
      </c>
      <c r="C1084">
        <v>2007</v>
      </c>
      <c r="D1084" t="s">
        <v>9</v>
      </c>
      <c r="E1084">
        <v>0</v>
      </c>
      <c r="F1084">
        <v>22000000</v>
      </c>
    </row>
    <row r="1085" spans="1:6" hidden="1" x14ac:dyDescent="0.3">
      <c r="A1085">
        <v>1084</v>
      </c>
      <c r="B1085" t="s">
        <v>28</v>
      </c>
      <c r="C1085">
        <v>2007</v>
      </c>
      <c r="D1085" t="s">
        <v>11</v>
      </c>
      <c r="E1085">
        <v>0</v>
      </c>
      <c r="F1085">
        <v>0</v>
      </c>
    </row>
    <row r="1086" spans="1:6" hidden="1" x14ac:dyDescent="0.3">
      <c r="A1086">
        <v>1085</v>
      </c>
      <c r="B1086" t="s">
        <v>34</v>
      </c>
      <c r="C1086">
        <v>2007</v>
      </c>
      <c r="D1086" t="s">
        <v>9</v>
      </c>
      <c r="E1086">
        <v>651</v>
      </c>
      <c r="F1086">
        <v>0</v>
      </c>
    </row>
    <row r="1087" spans="1:6" hidden="1" x14ac:dyDescent="0.3">
      <c r="A1087">
        <v>1086</v>
      </c>
      <c r="B1087" t="s">
        <v>17</v>
      </c>
      <c r="C1087">
        <v>2007</v>
      </c>
      <c r="D1087" t="s">
        <v>9</v>
      </c>
      <c r="E1087">
        <v>250000</v>
      </c>
      <c r="F1087">
        <v>0</v>
      </c>
    </row>
    <row r="1088" spans="1:6" hidden="1" x14ac:dyDescent="0.3">
      <c r="A1088">
        <v>1087</v>
      </c>
      <c r="B1088" t="s">
        <v>21</v>
      </c>
      <c r="C1088">
        <v>2007</v>
      </c>
      <c r="D1088" t="s">
        <v>9</v>
      </c>
      <c r="E1088">
        <v>55000</v>
      </c>
      <c r="F1088">
        <v>0</v>
      </c>
    </row>
    <row r="1089" spans="1:6" hidden="1" x14ac:dyDescent="0.3">
      <c r="A1089">
        <v>1088</v>
      </c>
      <c r="B1089" t="s">
        <v>21</v>
      </c>
      <c r="C1089">
        <v>2007</v>
      </c>
      <c r="D1089" t="s">
        <v>11</v>
      </c>
      <c r="E1089">
        <v>0</v>
      </c>
      <c r="F1089">
        <v>0</v>
      </c>
    </row>
    <row r="1090" spans="1:6" hidden="1" x14ac:dyDescent="0.3">
      <c r="A1090">
        <v>1089</v>
      </c>
      <c r="B1090" t="s">
        <v>45</v>
      </c>
      <c r="C1090">
        <v>2007</v>
      </c>
      <c r="D1090" t="s">
        <v>9</v>
      </c>
      <c r="E1090">
        <v>3000</v>
      </c>
      <c r="F1090">
        <v>0</v>
      </c>
    </row>
    <row r="1091" spans="1:6" hidden="1" x14ac:dyDescent="0.3">
      <c r="A1091">
        <v>1090</v>
      </c>
      <c r="B1091" t="s">
        <v>45</v>
      </c>
      <c r="C1091">
        <v>2007</v>
      </c>
      <c r="D1091" t="s">
        <v>9</v>
      </c>
      <c r="E1091">
        <v>101920</v>
      </c>
      <c r="F1091">
        <v>0</v>
      </c>
    </row>
    <row r="1092" spans="1:6" hidden="1" x14ac:dyDescent="0.3">
      <c r="A1092">
        <v>1091</v>
      </c>
      <c r="B1092" t="s">
        <v>30</v>
      </c>
      <c r="C1092">
        <v>2007</v>
      </c>
      <c r="D1092" t="s">
        <v>9</v>
      </c>
      <c r="E1092">
        <v>0</v>
      </c>
      <c r="F1092">
        <v>0</v>
      </c>
    </row>
    <row r="1093" spans="1:6" hidden="1" x14ac:dyDescent="0.3">
      <c r="A1093">
        <v>1092</v>
      </c>
      <c r="B1093" t="s">
        <v>30</v>
      </c>
      <c r="C1093">
        <v>2007</v>
      </c>
      <c r="D1093" t="s">
        <v>9</v>
      </c>
      <c r="E1093">
        <v>113535</v>
      </c>
      <c r="F1093">
        <v>100000000</v>
      </c>
    </row>
    <row r="1094" spans="1:6" hidden="1" x14ac:dyDescent="0.3">
      <c r="A1094">
        <v>1093</v>
      </c>
      <c r="B1094" t="s">
        <v>32</v>
      </c>
      <c r="C1094">
        <v>2007</v>
      </c>
      <c r="D1094" t="s">
        <v>9</v>
      </c>
      <c r="E1094">
        <v>57274</v>
      </c>
      <c r="F1094">
        <v>0</v>
      </c>
    </row>
    <row r="1095" spans="1:6" hidden="1" x14ac:dyDescent="0.3">
      <c r="A1095">
        <v>1094</v>
      </c>
      <c r="B1095" t="s">
        <v>35</v>
      </c>
      <c r="C1095">
        <v>2007</v>
      </c>
      <c r="D1095" t="s">
        <v>9</v>
      </c>
      <c r="E1095">
        <v>500</v>
      </c>
      <c r="F1095">
        <v>0</v>
      </c>
    </row>
    <row r="1096" spans="1:6" hidden="1" x14ac:dyDescent="0.3">
      <c r="A1096">
        <v>1095</v>
      </c>
      <c r="B1096" t="s">
        <v>35</v>
      </c>
      <c r="C1096">
        <v>2007</v>
      </c>
      <c r="D1096" t="s">
        <v>9</v>
      </c>
      <c r="E1096">
        <v>20</v>
      </c>
      <c r="F1096">
        <v>327118000</v>
      </c>
    </row>
    <row r="1097" spans="1:6" hidden="1" x14ac:dyDescent="0.3">
      <c r="A1097">
        <v>1096</v>
      </c>
      <c r="B1097" t="s">
        <v>35</v>
      </c>
      <c r="C1097">
        <v>2007</v>
      </c>
      <c r="D1097" t="s">
        <v>9</v>
      </c>
      <c r="E1097">
        <v>2000</v>
      </c>
      <c r="F1097">
        <v>0</v>
      </c>
    </row>
    <row r="1098" spans="1:6" hidden="1" x14ac:dyDescent="0.3">
      <c r="A1098">
        <v>1097</v>
      </c>
      <c r="B1098" t="s">
        <v>35</v>
      </c>
      <c r="C1098">
        <v>2007</v>
      </c>
      <c r="D1098" t="s">
        <v>9</v>
      </c>
      <c r="E1098">
        <v>0</v>
      </c>
      <c r="F1098">
        <v>0</v>
      </c>
    </row>
    <row r="1099" spans="1:6" hidden="1" x14ac:dyDescent="0.3">
      <c r="A1099">
        <v>1098</v>
      </c>
      <c r="B1099" t="s">
        <v>37</v>
      </c>
      <c r="C1099">
        <v>2007</v>
      </c>
      <c r="D1099" t="s">
        <v>9</v>
      </c>
      <c r="E1099">
        <v>33571</v>
      </c>
      <c r="F1099">
        <v>0</v>
      </c>
    </row>
    <row r="1100" spans="1:6" hidden="1" x14ac:dyDescent="0.3">
      <c r="A1100">
        <v>1099</v>
      </c>
      <c r="B1100" t="s">
        <v>37</v>
      </c>
      <c r="C1100">
        <v>2007</v>
      </c>
      <c r="D1100" t="s">
        <v>9</v>
      </c>
      <c r="E1100">
        <v>12205</v>
      </c>
      <c r="F1100">
        <v>0</v>
      </c>
    </row>
    <row r="1101" spans="1:6" hidden="1" x14ac:dyDescent="0.3">
      <c r="A1101">
        <v>1100</v>
      </c>
      <c r="B1101" t="s">
        <v>37</v>
      </c>
      <c r="C1101">
        <v>2007</v>
      </c>
      <c r="D1101" t="s">
        <v>11</v>
      </c>
      <c r="E1101">
        <v>33884</v>
      </c>
      <c r="F1101">
        <v>2971000</v>
      </c>
    </row>
    <row r="1102" spans="1:6" hidden="1" x14ac:dyDescent="0.3">
      <c r="A1102">
        <v>1101</v>
      </c>
      <c r="B1102" t="s">
        <v>37</v>
      </c>
      <c r="C1102">
        <v>2007</v>
      </c>
      <c r="D1102" t="s">
        <v>7</v>
      </c>
      <c r="E1102">
        <v>0</v>
      </c>
      <c r="F1102">
        <v>0</v>
      </c>
    </row>
    <row r="1103" spans="1:6" hidden="1" x14ac:dyDescent="0.3">
      <c r="A1103">
        <v>1102</v>
      </c>
      <c r="B1103" t="s">
        <v>39</v>
      </c>
      <c r="C1103">
        <v>2007</v>
      </c>
      <c r="D1103" t="s">
        <v>9</v>
      </c>
      <c r="E1103">
        <v>1400</v>
      </c>
      <c r="F1103">
        <v>0</v>
      </c>
    </row>
    <row r="1104" spans="1:6" hidden="1" x14ac:dyDescent="0.3">
      <c r="A1104">
        <v>1103</v>
      </c>
      <c r="B1104" t="s">
        <v>40</v>
      </c>
      <c r="C1104">
        <v>2007</v>
      </c>
      <c r="D1104" t="s">
        <v>9</v>
      </c>
      <c r="E1104">
        <v>500</v>
      </c>
      <c r="F1104">
        <v>0</v>
      </c>
    </row>
    <row r="1105" spans="1:6" hidden="1" x14ac:dyDescent="0.3">
      <c r="A1105">
        <v>1104</v>
      </c>
      <c r="B1105" t="s">
        <v>41</v>
      </c>
      <c r="C1105">
        <v>2007</v>
      </c>
      <c r="D1105" t="s">
        <v>9</v>
      </c>
      <c r="E1105">
        <v>2012</v>
      </c>
      <c r="F1105">
        <v>0</v>
      </c>
    </row>
    <row r="1106" spans="1:6" x14ac:dyDescent="0.3">
      <c r="A1106">
        <v>1105</v>
      </c>
      <c r="B1106" t="s">
        <v>42</v>
      </c>
      <c r="C1106">
        <v>2007</v>
      </c>
      <c r="D1106" t="s">
        <v>9</v>
      </c>
      <c r="E1106">
        <v>125</v>
      </c>
      <c r="F1106">
        <v>0</v>
      </c>
    </row>
    <row r="1107" spans="1:6" hidden="1" x14ac:dyDescent="0.3">
      <c r="A1107">
        <v>1106</v>
      </c>
      <c r="B1107" t="s">
        <v>43</v>
      </c>
      <c r="C1107">
        <v>2007</v>
      </c>
      <c r="D1107" t="s">
        <v>9</v>
      </c>
      <c r="E1107">
        <v>416130</v>
      </c>
      <c r="F1107">
        <v>130000000</v>
      </c>
    </row>
    <row r="1108" spans="1:6" hidden="1" x14ac:dyDescent="0.3">
      <c r="A1108">
        <v>1107</v>
      </c>
      <c r="B1108" t="s">
        <v>43</v>
      </c>
      <c r="C1108">
        <v>2007</v>
      </c>
      <c r="D1108" t="s">
        <v>9</v>
      </c>
      <c r="E1108">
        <v>150000</v>
      </c>
      <c r="F1108">
        <v>350000000</v>
      </c>
    </row>
    <row r="1109" spans="1:6" hidden="1" x14ac:dyDescent="0.3">
      <c r="A1109">
        <v>1108</v>
      </c>
      <c r="B1109" t="s">
        <v>43</v>
      </c>
      <c r="C1109">
        <v>2007</v>
      </c>
      <c r="D1109" t="s">
        <v>9</v>
      </c>
      <c r="E1109">
        <v>22000</v>
      </c>
      <c r="F1109">
        <v>10000000</v>
      </c>
    </row>
    <row r="1110" spans="1:6" hidden="1" x14ac:dyDescent="0.3">
      <c r="A1110">
        <v>1109</v>
      </c>
      <c r="B1110" t="s">
        <v>43</v>
      </c>
      <c r="C1110">
        <v>2007</v>
      </c>
      <c r="D1110" t="s">
        <v>9</v>
      </c>
      <c r="E1110">
        <v>94042</v>
      </c>
      <c r="F1110">
        <v>300000000</v>
      </c>
    </row>
    <row r="1111" spans="1:6" hidden="1" x14ac:dyDescent="0.3">
      <c r="A1111">
        <v>1110</v>
      </c>
      <c r="B1111" t="s">
        <v>43</v>
      </c>
      <c r="C1111">
        <v>2007</v>
      </c>
      <c r="D1111" t="s">
        <v>9</v>
      </c>
      <c r="E1111">
        <v>280000</v>
      </c>
      <c r="F1111">
        <v>0</v>
      </c>
    </row>
    <row r="1112" spans="1:6" hidden="1" x14ac:dyDescent="0.3">
      <c r="A1112">
        <v>1111</v>
      </c>
      <c r="B1112" t="s">
        <v>46</v>
      </c>
      <c r="C1112">
        <v>2007</v>
      </c>
      <c r="D1112" t="s">
        <v>9</v>
      </c>
      <c r="E1112">
        <v>0</v>
      </c>
      <c r="F1112">
        <v>0</v>
      </c>
    </row>
    <row r="1113" spans="1:6" hidden="1" x14ac:dyDescent="0.3">
      <c r="A1113">
        <v>1112</v>
      </c>
      <c r="B1113" t="s">
        <v>38</v>
      </c>
      <c r="C1113">
        <v>2007</v>
      </c>
      <c r="D1113" t="s">
        <v>9</v>
      </c>
      <c r="E1113">
        <v>38000</v>
      </c>
      <c r="F1113">
        <v>0</v>
      </c>
    </row>
    <row r="1114" spans="1:6" hidden="1" x14ac:dyDescent="0.3">
      <c r="A1114">
        <v>1113</v>
      </c>
      <c r="B1114" t="s">
        <v>17</v>
      </c>
      <c r="C1114">
        <v>2008</v>
      </c>
      <c r="D1114" t="s">
        <v>11</v>
      </c>
      <c r="E1114">
        <v>50000</v>
      </c>
      <c r="F1114">
        <v>0</v>
      </c>
    </row>
    <row r="1115" spans="1:6" hidden="1" x14ac:dyDescent="0.3">
      <c r="A1115">
        <v>1114</v>
      </c>
      <c r="B1115" t="s">
        <v>21</v>
      </c>
      <c r="C1115">
        <v>2008</v>
      </c>
      <c r="D1115" t="s">
        <v>11</v>
      </c>
      <c r="E1115">
        <v>500000</v>
      </c>
      <c r="F1115">
        <v>75000000</v>
      </c>
    </row>
    <row r="1116" spans="1:6" hidden="1" x14ac:dyDescent="0.3">
      <c r="A1116">
        <v>1115</v>
      </c>
      <c r="B1116" t="s">
        <v>37</v>
      </c>
      <c r="C1116">
        <v>2008</v>
      </c>
      <c r="D1116" t="s">
        <v>11</v>
      </c>
      <c r="E1116">
        <v>4785460</v>
      </c>
      <c r="F1116">
        <v>284694000</v>
      </c>
    </row>
    <row r="1117" spans="1:6" hidden="1" x14ac:dyDescent="0.3">
      <c r="A1117">
        <v>1116</v>
      </c>
      <c r="B1117" t="s">
        <v>43</v>
      </c>
      <c r="C1117">
        <v>2008</v>
      </c>
      <c r="D1117" t="s">
        <v>11</v>
      </c>
      <c r="E1117">
        <v>57630</v>
      </c>
      <c r="F1117">
        <v>120000000</v>
      </c>
    </row>
    <row r="1118" spans="1:6" hidden="1" x14ac:dyDescent="0.3">
      <c r="A1118">
        <v>1117</v>
      </c>
      <c r="B1118" t="s">
        <v>43</v>
      </c>
      <c r="C1118">
        <v>2008</v>
      </c>
      <c r="D1118" t="s">
        <v>11</v>
      </c>
      <c r="E1118">
        <v>58511</v>
      </c>
      <c r="F1118">
        <v>63000000</v>
      </c>
    </row>
    <row r="1119" spans="1:6" hidden="1" x14ac:dyDescent="0.3">
      <c r="A1119">
        <v>1118</v>
      </c>
      <c r="B1119" t="s">
        <v>33</v>
      </c>
      <c r="C1119">
        <v>2008</v>
      </c>
      <c r="D1119" t="s">
        <v>9</v>
      </c>
      <c r="E1119">
        <v>70000</v>
      </c>
      <c r="F1119">
        <v>29000</v>
      </c>
    </row>
    <row r="1120" spans="1:6" hidden="1" x14ac:dyDescent="0.3">
      <c r="A1120">
        <v>1119</v>
      </c>
      <c r="B1120" t="s">
        <v>37</v>
      </c>
      <c r="C1120">
        <v>2008</v>
      </c>
      <c r="D1120" t="s">
        <v>11</v>
      </c>
      <c r="E1120">
        <v>1496668</v>
      </c>
      <c r="F1120">
        <v>99174000</v>
      </c>
    </row>
    <row r="1121" spans="1:6" hidden="1" x14ac:dyDescent="0.3">
      <c r="A1121">
        <v>1120</v>
      </c>
      <c r="B1121" t="s">
        <v>28</v>
      </c>
      <c r="C1121">
        <v>2008</v>
      </c>
      <c r="D1121" t="s">
        <v>11</v>
      </c>
      <c r="E1121">
        <v>4000</v>
      </c>
      <c r="F1121">
        <v>66198000</v>
      </c>
    </row>
    <row r="1122" spans="1:6" hidden="1" x14ac:dyDescent="0.3">
      <c r="A1122">
        <v>1121</v>
      </c>
      <c r="B1122" t="s">
        <v>18</v>
      </c>
      <c r="C1122">
        <v>2008</v>
      </c>
      <c r="D1122" t="s">
        <v>11</v>
      </c>
      <c r="E1122">
        <v>0</v>
      </c>
      <c r="F1122">
        <v>0</v>
      </c>
    </row>
    <row r="1123" spans="1:6" hidden="1" x14ac:dyDescent="0.3">
      <c r="A1123">
        <v>1122</v>
      </c>
      <c r="B1123" t="s">
        <v>34</v>
      </c>
      <c r="C1123">
        <v>2008</v>
      </c>
      <c r="D1123" t="s">
        <v>9</v>
      </c>
      <c r="E1123">
        <v>30770</v>
      </c>
      <c r="F1123">
        <v>0</v>
      </c>
    </row>
    <row r="1124" spans="1:6" hidden="1" x14ac:dyDescent="0.3">
      <c r="A1124">
        <v>1123</v>
      </c>
      <c r="B1124" t="s">
        <v>17</v>
      </c>
      <c r="C1124">
        <v>2008</v>
      </c>
      <c r="D1124" t="s">
        <v>9</v>
      </c>
      <c r="E1124">
        <v>362582</v>
      </c>
      <c r="F1124">
        <v>0</v>
      </c>
    </row>
    <row r="1125" spans="1:6" hidden="1" x14ac:dyDescent="0.3">
      <c r="A1125">
        <v>1124</v>
      </c>
      <c r="B1125" t="s">
        <v>17</v>
      </c>
      <c r="C1125">
        <v>2008</v>
      </c>
      <c r="D1125" t="s">
        <v>9</v>
      </c>
      <c r="E1125">
        <v>54323</v>
      </c>
      <c r="F1125">
        <v>0</v>
      </c>
    </row>
    <row r="1126" spans="1:6" hidden="1" x14ac:dyDescent="0.3">
      <c r="A1126">
        <v>1125</v>
      </c>
      <c r="B1126" t="s">
        <v>24</v>
      </c>
      <c r="C1126">
        <v>2008</v>
      </c>
      <c r="D1126" t="s">
        <v>9</v>
      </c>
      <c r="E1126">
        <v>3525</v>
      </c>
      <c r="F1126">
        <v>0</v>
      </c>
    </row>
    <row r="1127" spans="1:6" hidden="1" x14ac:dyDescent="0.3">
      <c r="A1127">
        <v>1126</v>
      </c>
      <c r="B1127" t="s">
        <v>33</v>
      </c>
      <c r="C1127">
        <v>2008</v>
      </c>
      <c r="D1127" t="s">
        <v>9</v>
      </c>
      <c r="E1127">
        <v>180003</v>
      </c>
      <c r="F1127">
        <v>0</v>
      </c>
    </row>
    <row r="1128" spans="1:6" hidden="1" x14ac:dyDescent="0.3">
      <c r="A1128">
        <v>1127</v>
      </c>
      <c r="B1128" t="s">
        <v>35</v>
      </c>
      <c r="C1128">
        <v>2008</v>
      </c>
      <c r="D1128" t="s">
        <v>14</v>
      </c>
      <c r="E1128">
        <v>75320</v>
      </c>
      <c r="F1128">
        <v>10000000</v>
      </c>
    </row>
    <row r="1129" spans="1:6" hidden="1" x14ac:dyDescent="0.3">
      <c r="A1129">
        <v>1128</v>
      </c>
      <c r="B1129" t="s">
        <v>36</v>
      </c>
      <c r="C1129">
        <v>2008</v>
      </c>
      <c r="D1129" t="s">
        <v>9</v>
      </c>
      <c r="E1129">
        <v>450012</v>
      </c>
      <c r="F1129">
        <v>0</v>
      </c>
    </row>
    <row r="1130" spans="1:6" hidden="1" x14ac:dyDescent="0.3">
      <c r="A1130">
        <v>1129</v>
      </c>
      <c r="B1130" t="s">
        <v>37</v>
      </c>
      <c r="C1130">
        <v>2008</v>
      </c>
      <c r="D1130" t="s">
        <v>9</v>
      </c>
      <c r="E1130">
        <v>875343</v>
      </c>
      <c r="F1130">
        <v>30733000</v>
      </c>
    </row>
    <row r="1131" spans="1:6" hidden="1" x14ac:dyDescent="0.3">
      <c r="A1131">
        <v>1130</v>
      </c>
      <c r="B1131" t="s">
        <v>37</v>
      </c>
      <c r="C1131">
        <v>2008</v>
      </c>
      <c r="D1131" t="s">
        <v>11</v>
      </c>
      <c r="E1131">
        <v>46132</v>
      </c>
      <c r="F1131">
        <v>7420000</v>
      </c>
    </row>
    <row r="1132" spans="1:6" hidden="1" x14ac:dyDescent="0.3">
      <c r="A1132">
        <v>1131</v>
      </c>
      <c r="B1132" t="s">
        <v>43</v>
      </c>
      <c r="C1132">
        <v>2008</v>
      </c>
      <c r="D1132" t="s">
        <v>9</v>
      </c>
      <c r="E1132">
        <v>12004</v>
      </c>
      <c r="F1132">
        <v>4000000</v>
      </c>
    </row>
    <row r="1133" spans="1:6" hidden="1" x14ac:dyDescent="0.3">
      <c r="A1133">
        <v>1132</v>
      </c>
      <c r="B1133" t="s">
        <v>43</v>
      </c>
      <c r="C1133">
        <v>2008</v>
      </c>
      <c r="D1133" t="s">
        <v>9</v>
      </c>
      <c r="E1133">
        <v>0</v>
      </c>
      <c r="F1133">
        <v>0</v>
      </c>
    </row>
    <row r="1134" spans="1:6" hidden="1" x14ac:dyDescent="0.3">
      <c r="A1134">
        <v>1133</v>
      </c>
      <c r="B1134" t="s">
        <v>43</v>
      </c>
      <c r="C1134">
        <v>2008</v>
      </c>
      <c r="D1134" t="s">
        <v>9</v>
      </c>
      <c r="E1134">
        <v>600000</v>
      </c>
      <c r="F1134">
        <v>479000000</v>
      </c>
    </row>
    <row r="1135" spans="1:6" hidden="1" x14ac:dyDescent="0.3">
      <c r="A1135">
        <v>1134</v>
      </c>
      <c r="B1135" t="s">
        <v>22</v>
      </c>
      <c r="C1135">
        <v>2008</v>
      </c>
      <c r="D1135" t="s">
        <v>11</v>
      </c>
      <c r="E1135">
        <v>8613</v>
      </c>
      <c r="F1135">
        <v>0</v>
      </c>
    </row>
    <row r="1136" spans="1:6" hidden="1" x14ac:dyDescent="0.3">
      <c r="A1136">
        <v>1135</v>
      </c>
      <c r="B1136" t="s">
        <v>22</v>
      </c>
      <c r="C1136">
        <v>2008</v>
      </c>
      <c r="D1136" t="s">
        <v>11</v>
      </c>
      <c r="E1136">
        <v>524153</v>
      </c>
      <c r="F1136">
        <v>60000000</v>
      </c>
    </row>
    <row r="1137" spans="1:6" hidden="1" x14ac:dyDescent="0.3">
      <c r="A1137">
        <v>1136</v>
      </c>
      <c r="B1137" t="s">
        <v>45</v>
      </c>
      <c r="C1137">
        <v>2008</v>
      </c>
      <c r="D1137" t="s">
        <v>11</v>
      </c>
      <c r="E1137">
        <v>2420000</v>
      </c>
      <c r="F1137">
        <v>4000000000</v>
      </c>
    </row>
    <row r="1138" spans="1:6" hidden="1" x14ac:dyDescent="0.3">
      <c r="A1138">
        <v>1137</v>
      </c>
      <c r="B1138" t="s">
        <v>37</v>
      </c>
      <c r="C1138">
        <v>2008</v>
      </c>
      <c r="D1138" t="s">
        <v>11</v>
      </c>
      <c r="E1138">
        <v>22081</v>
      </c>
      <c r="F1138">
        <v>40000</v>
      </c>
    </row>
    <row r="1139" spans="1:6" hidden="1" x14ac:dyDescent="0.3">
      <c r="A1139">
        <v>1138</v>
      </c>
      <c r="B1139" t="s">
        <v>37</v>
      </c>
      <c r="C1139">
        <v>2008</v>
      </c>
      <c r="D1139" t="s">
        <v>11</v>
      </c>
      <c r="E1139">
        <v>4498</v>
      </c>
      <c r="F1139">
        <v>0</v>
      </c>
    </row>
    <row r="1140" spans="1:6" hidden="1" x14ac:dyDescent="0.3">
      <c r="A1140">
        <v>1139</v>
      </c>
      <c r="B1140" t="s">
        <v>37</v>
      </c>
      <c r="C1140">
        <v>2008</v>
      </c>
      <c r="D1140" t="s">
        <v>11</v>
      </c>
      <c r="E1140">
        <v>474</v>
      </c>
      <c r="F1140">
        <v>0</v>
      </c>
    </row>
    <row r="1141" spans="1:6" hidden="1" x14ac:dyDescent="0.3">
      <c r="A1141">
        <v>1140</v>
      </c>
      <c r="B1141" t="s">
        <v>37</v>
      </c>
      <c r="C1141">
        <v>2008</v>
      </c>
      <c r="D1141" t="s">
        <v>11</v>
      </c>
      <c r="E1141">
        <v>8390</v>
      </c>
      <c r="F1141">
        <v>280000</v>
      </c>
    </row>
    <row r="1142" spans="1:6" hidden="1" x14ac:dyDescent="0.3">
      <c r="A1142">
        <v>1141</v>
      </c>
      <c r="B1142" t="s">
        <v>37</v>
      </c>
      <c r="C1142">
        <v>2008</v>
      </c>
      <c r="D1142" t="s">
        <v>11</v>
      </c>
      <c r="E1142">
        <v>31130</v>
      </c>
      <c r="F1142">
        <v>147000</v>
      </c>
    </row>
    <row r="1143" spans="1:6" hidden="1" x14ac:dyDescent="0.3">
      <c r="A1143">
        <v>1142</v>
      </c>
      <c r="B1143" t="s">
        <v>39</v>
      </c>
      <c r="C1143">
        <v>2008</v>
      </c>
      <c r="D1143" t="s">
        <v>11</v>
      </c>
      <c r="E1143">
        <v>90</v>
      </c>
      <c r="F1143">
        <v>0</v>
      </c>
    </row>
    <row r="1144" spans="1:6" hidden="1" x14ac:dyDescent="0.3">
      <c r="A1144">
        <v>1143</v>
      </c>
      <c r="B1144" t="s">
        <v>43</v>
      </c>
      <c r="C1144">
        <v>2008</v>
      </c>
      <c r="D1144" t="s">
        <v>11</v>
      </c>
      <c r="E1144">
        <v>31680</v>
      </c>
      <c r="F1144">
        <v>6500000</v>
      </c>
    </row>
    <row r="1145" spans="1:6" hidden="1" x14ac:dyDescent="0.3">
      <c r="A1145">
        <v>1144</v>
      </c>
      <c r="B1145" t="s">
        <v>43</v>
      </c>
      <c r="C1145">
        <v>2008</v>
      </c>
      <c r="D1145" t="s">
        <v>11</v>
      </c>
      <c r="E1145">
        <v>0</v>
      </c>
      <c r="F1145">
        <v>0</v>
      </c>
    </row>
    <row r="1146" spans="1:6" hidden="1" x14ac:dyDescent="0.3">
      <c r="A1146">
        <v>1145</v>
      </c>
      <c r="B1146" t="s">
        <v>43</v>
      </c>
      <c r="C1146">
        <v>2008</v>
      </c>
      <c r="D1146" t="s">
        <v>11</v>
      </c>
      <c r="E1146">
        <v>8828</v>
      </c>
      <c r="F1146">
        <v>1000000</v>
      </c>
    </row>
    <row r="1147" spans="1:6" hidden="1" x14ac:dyDescent="0.3">
      <c r="A1147">
        <v>1146</v>
      </c>
      <c r="B1147" t="s">
        <v>22</v>
      </c>
      <c r="C1147">
        <v>2008</v>
      </c>
      <c r="D1147" t="s">
        <v>7</v>
      </c>
      <c r="E1147">
        <v>720000</v>
      </c>
      <c r="F1147">
        <v>0</v>
      </c>
    </row>
    <row r="1148" spans="1:6" hidden="1" x14ac:dyDescent="0.3">
      <c r="A1148">
        <v>1147</v>
      </c>
      <c r="B1148" t="s">
        <v>30</v>
      </c>
      <c r="C1148">
        <v>2008</v>
      </c>
      <c r="D1148" t="s">
        <v>7</v>
      </c>
      <c r="E1148">
        <v>500000</v>
      </c>
      <c r="F1148">
        <v>0</v>
      </c>
    </row>
    <row r="1149" spans="1:6" hidden="1" x14ac:dyDescent="0.3">
      <c r="A1149">
        <v>1148</v>
      </c>
      <c r="B1149" t="s">
        <v>41</v>
      </c>
      <c r="C1149">
        <v>2008</v>
      </c>
      <c r="D1149" t="s">
        <v>7</v>
      </c>
      <c r="E1149">
        <v>3300000</v>
      </c>
      <c r="F1149">
        <v>0</v>
      </c>
    </row>
    <row r="1150" spans="1:6" x14ac:dyDescent="0.3">
      <c r="A1150">
        <v>1149</v>
      </c>
      <c r="B1150" t="s">
        <v>42</v>
      </c>
      <c r="C1150">
        <v>2008</v>
      </c>
      <c r="D1150" t="s">
        <v>7</v>
      </c>
      <c r="E1150">
        <v>800000</v>
      </c>
      <c r="F1150">
        <v>0</v>
      </c>
    </row>
    <row r="1151" spans="1:6" hidden="1" x14ac:dyDescent="0.3">
      <c r="A1151">
        <v>1150</v>
      </c>
      <c r="B1151" t="s">
        <v>40</v>
      </c>
      <c r="C1151">
        <v>2008</v>
      </c>
      <c r="D1151" t="s">
        <v>9</v>
      </c>
      <c r="E1151">
        <v>0</v>
      </c>
      <c r="F1151">
        <v>0</v>
      </c>
    </row>
    <row r="1152" spans="1:6" hidden="1" x14ac:dyDescent="0.3">
      <c r="A1152">
        <v>1151</v>
      </c>
      <c r="B1152" t="s">
        <v>46</v>
      </c>
      <c r="C1152">
        <v>2008</v>
      </c>
      <c r="D1152" t="s">
        <v>9</v>
      </c>
      <c r="E1152">
        <v>25064</v>
      </c>
      <c r="F1152">
        <v>400000000</v>
      </c>
    </row>
    <row r="1153" spans="1:6" hidden="1" x14ac:dyDescent="0.3">
      <c r="A1153">
        <v>1152</v>
      </c>
      <c r="B1153" t="s">
        <v>16</v>
      </c>
      <c r="C1153">
        <v>2008</v>
      </c>
      <c r="D1153" t="s">
        <v>9</v>
      </c>
      <c r="E1153">
        <v>10278</v>
      </c>
      <c r="F1153">
        <v>2000000</v>
      </c>
    </row>
    <row r="1154" spans="1:6" hidden="1" x14ac:dyDescent="0.3">
      <c r="A1154">
        <v>1153</v>
      </c>
      <c r="B1154" t="s">
        <v>18</v>
      </c>
      <c r="C1154">
        <v>2008</v>
      </c>
      <c r="D1154" t="s">
        <v>14</v>
      </c>
      <c r="E1154">
        <v>170</v>
      </c>
      <c r="F1154">
        <v>0</v>
      </c>
    </row>
    <row r="1155" spans="1:6" hidden="1" x14ac:dyDescent="0.3">
      <c r="A1155">
        <v>1154</v>
      </c>
      <c r="B1155" t="s">
        <v>18</v>
      </c>
      <c r="C1155">
        <v>2008</v>
      </c>
      <c r="D1155" t="s">
        <v>14</v>
      </c>
      <c r="E1155">
        <v>20545</v>
      </c>
      <c r="F1155">
        <v>0</v>
      </c>
    </row>
    <row r="1156" spans="1:6" hidden="1" x14ac:dyDescent="0.3">
      <c r="A1156">
        <v>1155</v>
      </c>
      <c r="B1156" t="s">
        <v>18</v>
      </c>
      <c r="C1156">
        <v>2008</v>
      </c>
      <c r="D1156" t="s">
        <v>9</v>
      </c>
      <c r="E1156">
        <v>200</v>
      </c>
      <c r="F1156">
        <v>0</v>
      </c>
    </row>
    <row r="1157" spans="1:6" hidden="1" x14ac:dyDescent="0.3">
      <c r="A1157">
        <v>1156</v>
      </c>
      <c r="B1157" t="s">
        <v>18</v>
      </c>
      <c r="C1157">
        <v>2008</v>
      </c>
      <c r="D1157" t="s">
        <v>9</v>
      </c>
      <c r="E1157">
        <v>1280</v>
      </c>
      <c r="F1157">
        <v>0</v>
      </c>
    </row>
    <row r="1158" spans="1:6" hidden="1" x14ac:dyDescent="0.3">
      <c r="A1158">
        <v>1157</v>
      </c>
      <c r="B1158" t="s">
        <v>28</v>
      </c>
      <c r="C1158">
        <v>2008</v>
      </c>
      <c r="D1158" t="s">
        <v>11</v>
      </c>
      <c r="E1158">
        <v>0</v>
      </c>
      <c r="F1158">
        <v>0</v>
      </c>
    </row>
    <row r="1159" spans="1:6" hidden="1" x14ac:dyDescent="0.3">
      <c r="A1159">
        <v>1158</v>
      </c>
      <c r="B1159" t="s">
        <v>34</v>
      </c>
      <c r="C1159">
        <v>2008</v>
      </c>
      <c r="D1159" t="s">
        <v>9</v>
      </c>
      <c r="E1159">
        <v>6000</v>
      </c>
      <c r="F1159">
        <v>0</v>
      </c>
    </row>
    <row r="1160" spans="1:6" hidden="1" x14ac:dyDescent="0.3">
      <c r="A1160">
        <v>1159</v>
      </c>
      <c r="B1160" t="s">
        <v>34</v>
      </c>
      <c r="C1160">
        <v>2008</v>
      </c>
      <c r="D1160" t="s">
        <v>9</v>
      </c>
      <c r="E1160">
        <v>700</v>
      </c>
      <c r="F1160">
        <v>0</v>
      </c>
    </row>
    <row r="1161" spans="1:6" hidden="1" x14ac:dyDescent="0.3">
      <c r="A1161">
        <v>1160</v>
      </c>
      <c r="B1161" t="s">
        <v>34</v>
      </c>
      <c r="C1161">
        <v>2008</v>
      </c>
      <c r="D1161" t="s">
        <v>9</v>
      </c>
      <c r="E1161">
        <v>8658</v>
      </c>
      <c r="F1161">
        <v>0</v>
      </c>
    </row>
    <row r="1162" spans="1:6" hidden="1" x14ac:dyDescent="0.3">
      <c r="A1162">
        <v>1161</v>
      </c>
      <c r="B1162" t="s">
        <v>34</v>
      </c>
      <c r="C1162">
        <v>2008</v>
      </c>
      <c r="D1162" t="s">
        <v>9</v>
      </c>
      <c r="E1162">
        <v>6310</v>
      </c>
      <c r="F1162">
        <v>0</v>
      </c>
    </row>
    <row r="1163" spans="1:6" hidden="1" x14ac:dyDescent="0.3">
      <c r="A1163">
        <v>1162</v>
      </c>
      <c r="B1163" t="s">
        <v>34</v>
      </c>
      <c r="C1163">
        <v>2008</v>
      </c>
      <c r="D1163" t="s">
        <v>7</v>
      </c>
      <c r="E1163">
        <v>3800000</v>
      </c>
      <c r="F1163">
        <v>0</v>
      </c>
    </row>
    <row r="1164" spans="1:6" hidden="1" x14ac:dyDescent="0.3">
      <c r="A1164">
        <v>1163</v>
      </c>
      <c r="B1164" t="s">
        <v>34</v>
      </c>
      <c r="C1164">
        <v>2008</v>
      </c>
      <c r="D1164" t="s">
        <v>9</v>
      </c>
      <c r="E1164">
        <v>10000</v>
      </c>
      <c r="F1164">
        <v>0</v>
      </c>
    </row>
    <row r="1165" spans="1:6" hidden="1" x14ac:dyDescent="0.3">
      <c r="A1165">
        <v>1164</v>
      </c>
      <c r="B1165" t="s">
        <v>48</v>
      </c>
      <c r="C1165">
        <v>2008</v>
      </c>
      <c r="D1165" t="s">
        <v>14</v>
      </c>
      <c r="E1165">
        <v>3000</v>
      </c>
      <c r="F1165">
        <v>0</v>
      </c>
    </row>
    <row r="1166" spans="1:6" hidden="1" x14ac:dyDescent="0.3">
      <c r="A1166">
        <v>1165</v>
      </c>
      <c r="B1166" t="s">
        <v>48</v>
      </c>
      <c r="C1166">
        <v>2008</v>
      </c>
      <c r="D1166" t="s">
        <v>14</v>
      </c>
      <c r="E1166">
        <v>1197</v>
      </c>
      <c r="F1166">
        <v>0</v>
      </c>
    </row>
    <row r="1167" spans="1:6" hidden="1" x14ac:dyDescent="0.3">
      <c r="A1167">
        <v>1166</v>
      </c>
      <c r="B1167" t="s">
        <v>17</v>
      </c>
      <c r="C1167">
        <v>2008</v>
      </c>
      <c r="D1167" t="s">
        <v>9</v>
      </c>
      <c r="E1167">
        <v>360000</v>
      </c>
      <c r="F1167">
        <v>0</v>
      </c>
    </row>
    <row r="1168" spans="1:6" hidden="1" x14ac:dyDescent="0.3">
      <c r="A1168">
        <v>1167</v>
      </c>
      <c r="B1168" t="s">
        <v>29</v>
      </c>
      <c r="C1168">
        <v>2008</v>
      </c>
      <c r="D1168" t="s">
        <v>9</v>
      </c>
      <c r="E1168">
        <v>20000</v>
      </c>
      <c r="F1168">
        <v>0</v>
      </c>
    </row>
    <row r="1169" spans="1:6" hidden="1" x14ac:dyDescent="0.3">
      <c r="A1169">
        <v>1168</v>
      </c>
      <c r="B1169" t="s">
        <v>29</v>
      </c>
      <c r="C1169">
        <v>2008</v>
      </c>
      <c r="D1169" t="s">
        <v>9</v>
      </c>
      <c r="E1169">
        <v>0</v>
      </c>
      <c r="F1169">
        <v>0</v>
      </c>
    </row>
    <row r="1170" spans="1:6" hidden="1" x14ac:dyDescent="0.3">
      <c r="A1170">
        <v>1169</v>
      </c>
      <c r="B1170" t="s">
        <v>22</v>
      </c>
      <c r="C1170">
        <v>2008</v>
      </c>
      <c r="D1170" t="s">
        <v>11</v>
      </c>
      <c r="E1170">
        <v>400</v>
      </c>
      <c r="F1170">
        <v>0</v>
      </c>
    </row>
    <row r="1171" spans="1:6" hidden="1" x14ac:dyDescent="0.3">
      <c r="A1171">
        <v>1170</v>
      </c>
      <c r="B1171" t="s">
        <v>21</v>
      </c>
      <c r="C1171">
        <v>2008</v>
      </c>
      <c r="D1171" t="s">
        <v>9</v>
      </c>
      <c r="E1171">
        <v>20000</v>
      </c>
      <c r="F1171">
        <v>0</v>
      </c>
    </row>
    <row r="1172" spans="1:6" hidden="1" x14ac:dyDescent="0.3">
      <c r="A1172">
        <v>1171</v>
      </c>
      <c r="B1172" t="s">
        <v>30</v>
      </c>
      <c r="C1172">
        <v>2008</v>
      </c>
      <c r="D1172" t="s">
        <v>9</v>
      </c>
      <c r="E1172">
        <v>3500</v>
      </c>
      <c r="F1172">
        <v>0</v>
      </c>
    </row>
    <row r="1173" spans="1:6" hidden="1" x14ac:dyDescent="0.3">
      <c r="A1173">
        <v>1172</v>
      </c>
      <c r="B1173" t="s">
        <v>30</v>
      </c>
      <c r="C1173">
        <v>2008</v>
      </c>
      <c r="D1173" t="s">
        <v>11</v>
      </c>
      <c r="E1173">
        <v>220013</v>
      </c>
      <c r="F1173">
        <v>20000000</v>
      </c>
    </row>
    <row r="1174" spans="1:6" hidden="1" x14ac:dyDescent="0.3">
      <c r="A1174">
        <v>1173</v>
      </c>
      <c r="B1174" t="s">
        <v>31</v>
      </c>
      <c r="C1174">
        <v>2008</v>
      </c>
      <c r="D1174" t="s">
        <v>9</v>
      </c>
      <c r="E1174">
        <v>65000</v>
      </c>
      <c r="F1174">
        <v>0</v>
      </c>
    </row>
    <row r="1175" spans="1:6" hidden="1" x14ac:dyDescent="0.3">
      <c r="A1175">
        <v>1174</v>
      </c>
      <c r="B1175" t="s">
        <v>32</v>
      </c>
      <c r="C1175">
        <v>2008</v>
      </c>
      <c r="D1175" t="s">
        <v>9</v>
      </c>
      <c r="E1175">
        <v>32000</v>
      </c>
      <c r="F1175">
        <v>0</v>
      </c>
    </row>
    <row r="1176" spans="1:6" hidden="1" x14ac:dyDescent="0.3">
      <c r="A1176">
        <v>1175</v>
      </c>
      <c r="B1176" t="s">
        <v>24</v>
      </c>
      <c r="C1176">
        <v>2008</v>
      </c>
      <c r="D1176" t="s">
        <v>9</v>
      </c>
      <c r="E1176">
        <v>10663</v>
      </c>
      <c r="F1176">
        <v>0</v>
      </c>
    </row>
    <row r="1177" spans="1:6" hidden="1" x14ac:dyDescent="0.3">
      <c r="A1177">
        <v>1176</v>
      </c>
      <c r="B1177" t="s">
        <v>24</v>
      </c>
      <c r="C1177">
        <v>2008</v>
      </c>
      <c r="D1177" t="s">
        <v>11</v>
      </c>
      <c r="E1177">
        <v>25000</v>
      </c>
      <c r="F1177">
        <v>0</v>
      </c>
    </row>
    <row r="1178" spans="1:6" hidden="1" x14ac:dyDescent="0.3">
      <c r="A1178">
        <v>1177</v>
      </c>
      <c r="B1178" t="s">
        <v>35</v>
      </c>
      <c r="C1178">
        <v>2008</v>
      </c>
      <c r="D1178" t="s">
        <v>9</v>
      </c>
      <c r="E1178">
        <v>0</v>
      </c>
      <c r="F1178">
        <v>0</v>
      </c>
    </row>
    <row r="1179" spans="1:6" hidden="1" x14ac:dyDescent="0.3">
      <c r="A1179">
        <v>1178</v>
      </c>
      <c r="B1179" t="s">
        <v>35</v>
      </c>
      <c r="C1179">
        <v>2008</v>
      </c>
      <c r="D1179" t="s">
        <v>9</v>
      </c>
      <c r="E1179">
        <v>200012</v>
      </c>
      <c r="F1179">
        <v>103000000</v>
      </c>
    </row>
    <row r="1180" spans="1:6" hidden="1" x14ac:dyDescent="0.3">
      <c r="A1180">
        <v>1179</v>
      </c>
      <c r="B1180" t="s">
        <v>35</v>
      </c>
      <c r="C1180">
        <v>2008</v>
      </c>
      <c r="D1180" t="s">
        <v>9</v>
      </c>
      <c r="E1180">
        <v>90752</v>
      </c>
      <c r="F1180">
        <v>0</v>
      </c>
    </row>
    <row r="1181" spans="1:6" hidden="1" x14ac:dyDescent="0.3">
      <c r="A1181">
        <v>1180</v>
      </c>
      <c r="B1181" t="s">
        <v>37</v>
      </c>
      <c r="C1181">
        <v>2008</v>
      </c>
      <c r="D1181" t="s">
        <v>9</v>
      </c>
      <c r="E1181">
        <v>1000</v>
      </c>
      <c r="F1181">
        <v>0</v>
      </c>
    </row>
    <row r="1182" spans="1:6" hidden="1" x14ac:dyDescent="0.3">
      <c r="A1182">
        <v>1181</v>
      </c>
      <c r="B1182" t="s">
        <v>37</v>
      </c>
      <c r="C1182">
        <v>2008</v>
      </c>
      <c r="D1182" t="s">
        <v>9</v>
      </c>
      <c r="E1182">
        <v>239763</v>
      </c>
      <c r="F1182">
        <v>4088000</v>
      </c>
    </row>
    <row r="1183" spans="1:6" hidden="1" x14ac:dyDescent="0.3">
      <c r="A1183">
        <v>1182</v>
      </c>
      <c r="B1183" t="s">
        <v>37</v>
      </c>
      <c r="C1183">
        <v>2008</v>
      </c>
      <c r="D1183" t="s">
        <v>9</v>
      </c>
      <c r="E1183">
        <v>50000</v>
      </c>
      <c r="F1183">
        <v>0</v>
      </c>
    </row>
    <row r="1184" spans="1:6" hidden="1" x14ac:dyDescent="0.3">
      <c r="A1184">
        <v>1183</v>
      </c>
      <c r="B1184" t="s">
        <v>37</v>
      </c>
      <c r="C1184">
        <v>2008</v>
      </c>
      <c r="D1184" t="s">
        <v>9</v>
      </c>
      <c r="E1184">
        <v>39530</v>
      </c>
      <c r="F1184">
        <v>0</v>
      </c>
    </row>
    <row r="1185" spans="1:6" hidden="1" x14ac:dyDescent="0.3">
      <c r="A1185">
        <v>1184</v>
      </c>
      <c r="B1185" t="s">
        <v>37</v>
      </c>
      <c r="C1185">
        <v>2008</v>
      </c>
      <c r="D1185" t="s">
        <v>9</v>
      </c>
      <c r="E1185">
        <v>29184</v>
      </c>
      <c r="F1185">
        <v>446000</v>
      </c>
    </row>
    <row r="1186" spans="1:6" hidden="1" x14ac:dyDescent="0.3">
      <c r="A1186">
        <v>1185</v>
      </c>
      <c r="B1186" t="s">
        <v>37</v>
      </c>
      <c r="C1186">
        <v>2008</v>
      </c>
      <c r="D1186" t="s">
        <v>9</v>
      </c>
      <c r="E1186">
        <v>2391</v>
      </c>
      <c r="F1186">
        <v>173000</v>
      </c>
    </row>
    <row r="1187" spans="1:6" hidden="1" x14ac:dyDescent="0.3">
      <c r="A1187">
        <v>1186</v>
      </c>
      <c r="B1187" t="s">
        <v>37</v>
      </c>
      <c r="C1187">
        <v>2008</v>
      </c>
      <c r="D1187" t="s">
        <v>9</v>
      </c>
      <c r="E1187">
        <v>365678</v>
      </c>
      <c r="F1187">
        <v>4137000</v>
      </c>
    </row>
    <row r="1188" spans="1:6" hidden="1" x14ac:dyDescent="0.3">
      <c r="A1188">
        <v>1187</v>
      </c>
      <c r="B1188" t="s">
        <v>37</v>
      </c>
      <c r="C1188">
        <v>2008</v>
      </c>
      <c r="D1188" t="s">
        <v>11</v>
      </c>
      <c r="E1188">
        <v>0</v>
      </c>
      <c r="F1188">
        <v>16000000</v>
      </c>
    </row>
    <row r="1189" spans="1:6" hidden="1" x14ac:dyDescent="0.3">
      <c r="A1189">
        <v>1188</v>
      </c>
      <c r="B1189" t="s">
        <v>37</v>
      </c>
      <c r="C1189">
        <v>2008</v>
      </c>
      <c r="D1189" t="s">
        <v>11</v>
      </c>
      <c r="E1189">
        <v>429463</v>
      </c>
      <c r="F1189">
        <v>33870000</v>
      </c>
    </row>
    <row r="1190" spans="1:6" hidden="1" x14ac:dyDescent="0.3">
      <c r="A1190">
        <v>1189</v>
      </c>
      <c r="B1190" t="s">
        <v>37</v>
      </c>
      <c r="C1190">
        <v>2008</v>
      </c>
      <c r="D1190" t="s">
        <v>11</v>
      </c>
      <c r="E1190">
        <v>27683</v>
      </c>
      <c r="F1190">
        <v>0</v>
      </c>
    </row>
    <row r="1191" spans="1:6" hidden="1" x14ac:dyDescent="0.3">
      <c r="A1191">
        <v>1190</v>
      </c>
      <c r="B1191" t="s">
        <v>39</v>
      </c>
      <c r="C1191">
        <v>2008</v>
      </c>
      <c r="D1191" t="s">
        <v>9</v>
      </c>
      <c r="E1191">
        <v>11000</v>
      </c>
      <c r="F1191">
        <v>0</v>
      </c>
    </row>
    <row r="1192" spans="1:6" hidden="1" x14ac:dyDescent="0.3">
      <c r="A1192">
        <v>1191</v>
      </c>
      <c r="B1192" t="s">
        <v>40</v>
      </c>
      <c r="C1192">
        <v>2008</v>
      </c>
      <c r="D1192" t="s">
        <v>9</v>
      </c>
      <c r="E1192">
        <v>3000</v>
      </c>
      <c r="F1192">
        <v>0</v>
      </c>
    </row>
    <row r="1193" spans="1:6" hidden="1" x14ac:dyDescent="0.3">
      <c r="A1193">
        <v>1192</v>
      </c>
      <c r="B1193" t="s">
        <v>41</v>
      </c>
      <c r="C1193">
        <v>2008</v>
      </c>
      <c r="D1193" t="s">
        <v>9</v>
      </c>
      <c r="E1193">
        <v>52000</v>
      </c>
      <c r="F1193">
        <v>0</v>
      </c>
    </row>
    <row r="1194" spans="1:6" hidden="1" x14ac:dyDescent="0.3">
      <c r="A1194">
        <v>1193</v>
      </c>
      <c r="B1194" t="s">
        <v>43</v>
      </c>
      <c r="C1194">
        <v>2008</v>
      </c>
      <c r="D1194" t="s">
        <v>9</v>
      </c>
      <c r="E1194">
        <v>500</v>
      </c>
      <c r="F1194">
        <v>0</v>
      </c>
    </row>
    <row r="1195" spans="1:6" hidden="1" x14ac:dyDescent="0.3">
      <c r="A1195">
        <v>1194</v>
      </c>
      <c r="B1195" t="s">
        <v>43</v>
      </c>
      <c r="C1195">
        <v>2008</v>
      </c>
      <c r="D1195" t="s">
        <v>9</v>
      </c>
      <c r="E1195">
        <v>20000</v>
      </c>
      <c r="F1195">
        <v>0</v>
      </c>
    </row>
    <row r="1196" spans="1:6" hidden="1" x14ac:dyDescent="0.3">
      <c r="A1196">
        <v>1195</v>
      </c>
      <c r="B1196" t="s">
        <v>38</v>
      </c>
      <c r="C1196">
        <v>2008</v>
      </c>
      <c r="D1196" t="s">
        <v>11</v>
      </c>
      <c r="E1196">
        <v>3576</v>
      </c>
      <c r="F1196">
        <v>0</v>
      </c>
    </row>
    <row r="1197" spans="1:6" hidden="1" x14ac:dyDescent="0.3">
      <c r="A1197">
        <v>1196</v>
      </c>
      <c r="B1197" t="s">
        <v>38</v>
      </c>
      <c r="C1197">
        <v>2008</v>
      </c>
      <c r="D1197" t="s">
        <v>9</v>
      </c>
      <c r="E1197">
        <v>4000</v>
      </c>
      <c r="F1197">
        <v>1264000</v>
      </c>
    </row>
    <row r="1198" spans="1:6" hidden="1" x14ac:dyDescent="0.3">
      <c r="A1198">
        <v>1197</v>
      </c>
      <c r="B1198" t="s">
        <v>37</v>
      </c>
      <c r="C1198">
        <v>2009</v>
      </c>
      <c r="D1198" t="s">
        <v>11</v>
      </c>
      <c r="E1198">
        <v>383465</v>
      </c>
      <c r="F1198">
        <v>25810000</v>
      </c>
    </row>
    <row r="1199" spans="1:6" hidden="1" x14ac:dyDescent="0.3">
      <c r="A1199">
        <v>1198</v>
      </c>
      <c r="B1199" t="s">
        <v>37</v>
      </c>
      <c r="C1199">
        <v>2009</v>
      </c>
      <c r="D1199" t="s">
        <v>11</v>
      </c>
      <c r="E1199">
        <v>401007</v>
      </c>
      <c r="F1199">
        <v>30342000</v>
      </c>
    </row>
    <row r="1200" spans="1:6" hidden="1" x14ac:dyDescent="0.3">
      <c r="A1200">
        <v>1199</v>
      </c>
      <c r="B1200" t="s">
        <v>24</v>
      </c>
      <c r="C1200">
        <v>2009</v>
      </c>
      <c r="D1200" t="s">
        <v>9</v>
      </c>
      <c r="E1200">
        <v>64</v>
      </c>
      <c r="F1200">
        <v>0</v>
      </c>
    </row>
    <row r="1201" spans="1:6" hidden="1" x14ac:dyDescent="0.3">
      <c r="A1201">
        <v>1200</v>
      </c>
      <c r="B1201" t="s">
        <v>37</v>
      </c>
      <c r="C1201">
        <v>2009</v>
      </c>
      <c r="D1201" t="s">
        <v>9</v>
      </c>
      <c r="E1201">
        <v>537991</v>
      </c>
      <c r="F1201">
        <v>6354000</v>
      </c>
    </row>
    <row r="1202" spans="1:6" x14ac:dyDescent="0.3">
      <c r="A1202">
        <v>1201</v>
      </c>
      <c r="B1202" t="s">
        <v>42</v>
      </c>
      <c r="C1202">
        <v>2009</v>
      </c>
      <c r="D1202" t="s">
        <v>9</v>
      </c>
      <c r="E1202">
        <v>15000</v>
      </c>
      <c r="F1202">
        <v>1000000</v>
      </c>
    </row>
    <row r="1203" spans="1:6" hidden="1" x14ac:dyDescent="0.3">
      <c r="A1203">
        <v>1202</v>
      </c>
      <c r="B1203" t="s">
        <v>29</v>
      </c>
      <c r="C1203">
        <v>2009</v>
      </c>
      <c r="D1203" t="s">
        <v>9</v>
      </c>
      <c r="E1203">
        <v>2000</v>
      </c>
      <c r="F1203">
        <v>0</v>
      </c>
    </row>
    <row r="1204" spans="1:6" hidden="1" x14ac:dyDescent="0.3">
      <c r="A1204">
        <v>1203</v>
      </c>
      <c r="B1204" t="s">
        <v>22</v>
      </c>
      <c r="C1204">
        <v>2009</v>
      </c>
      <c r="D1204" t="s">
        <v>11</v>
      </c>
      <c r="E1204">
        <v>62505</v>
      </c>
      <c r="F1204">
        <v>0</v>
      </c>
    </row>
    <row r="1205" spans="1:6" hidden="1" x14ac:dyDescent="0.3">
      <c r="A1205">
        <v>1204</v>
      </c>
      <c r="B1205" t="s">
        <v>22</v>
      </c>
      <c r="C1205">
        <v>2009</v>
      </c>
      <c r="D1205" t="s">
        <v>11</v>
      </c>
      <c r="E1205">
        <v>3376</v>
      </c>
      <c r="F1205">
        <v>0</v>
      </c>
    </row>
    <row r="1206" spans="1:6" hidden="1" x14ac:dyDescent="0.3">
      <c r="A1206">
        <v>1205</v>
      </c>
      <c r="B1206" t="s">
        <v>30</v>
      </c>
      <c r="C1206">
        <v>2009</v>
      </c>
      <c r="D1206" t="s">
        <v>11</v>
      </c>
      <c r="E1206">
        <v>7103</v>
      </c>
      <c r="F1206">
        <v>3000000</v>
      </c>
    </row>
    <row r="1207" spans="1:6" hidden="1" x14ac:dyDescent="0.3">
      <c r="A1207">
        <v>1206</v>
      </c>
      <c r="B1207" t="s">
        <v>39</v>
      </c>
      <c r="C1207">
        <v>2009</v>
      </c>
      <c r="D1207" t="s">
        <v>9</v>
      </c>
      <c r="E1207">
        <v>4</v>
      </c>
      <c r="F1207">
        <v>0</v>
      </c>
    </row>
    <row r="1208" spans="1:6" hidden="1" x14ac:dyDescent="0.3">
      <c r="A1208">
        <v>1207</v>
      </c>
      <c r="B1208" t="s">
        <v>22</v>
      </c>
      <c r="C1208">
        <v>2009</v>
      </c>
      <c r="D1208" t="s">
        <v>11</v>
      </c>
      <c r="E1208">
        <v>64918</v>
      </c>
      <c r="F1208">
        <v>5000000</v>
      </c>
    </row>
    <row r="1209" spans="1:6" hidden="1" x14ac:dyDescent="0.3">
      <c r="A1209">
        <v>1208</v>
      </c>
      <c r="B1209" t="s">
        <v>30</v>
      </c>
      <c r="C1209">
        <v>2009</v>
      </c>
      <c r="D1209" t="s">
        <v>9</v>
      </c>
      <c r="E1209">
        <v>6925</v>
      </c>
      <c r="F1209">
        <v>0</v>
      </c>
    </row>
    <row r="1210" spans="1:6" hidden="1" x14ac:dyDescent="0.3">
      <c r="A1210">
        <v>1209</v>
      </c>
      <c r="B1210" t="s">
        <v>31</v>
      </c>
      <c r="C1210">
        <v>2009</v>
      </c>
      <c r="D1210" t="s">
        <v>9</v>
      </c>
      <c r="E1210">
        <v>350000</v>
      </c>
      <c r="F1210">
        <v>0</v>
      </c>
    </row>
    <row r="1211" spans="1:6" hidden="1" x14ac:dyDescent="0.3">
      <c r="A1211">
        <v>1210</v>
      </c>
      <c r="B1211" t="s">
        <v>35</v>
      </c>
      <c r="C1211">
        <v>2009</v>
      </c>
      <c r="D1211" t="s">
        <v>9</v>
      </c>
      <c r="E1211">
        <v>10</v>
      </c>
      <c r="F1211">
        <v>0</v>
      </c>
    </row>
    <row r="1212" spans="1:6" hidden="1" x14ac:dyDescent="0.3">
      <c r="A1212">
        <v>1211</v>
      </c>
      <c r="B1212" t="s">
        <v>37</v>
      </c>
      <c r="C1212">
        <v>2009</v>
      </c>
      <c r="D1212" t="s">
        <v>11</v>
      </c>
      <c r="E1212">
        <v>100</v>
      </c>
      <c r="F1212">
        <v>5000</v>
      </c>
    </row>
    <row r="1213" spans="1:6" hidden="1" x14ac:dyDescent="0.3">
      <c r="A1213">
        <v>1212</v>
      </c>
      <c r="B1213" t="s">
        <v>37</v>
      </c>
      <c r="C1213">
        <v>2009</v>
      </c>
      <c r="D1213" t="s">
        <v>9</v>
      </c>
      <c r="E1213">
        <v>1345</v>
      </c>
      <c r="F1213">
        <v>0</v>
      </c>
    </row>
    <row r="1214" spans="1:6" hidden="1" x14ac:dyDescent="0.3">
      <c r="A1214">
        <v>1213</v>
      </c>
      <c r="B1214" t="s">
        <v>37</v>
      </c>
      <c r="C1214">
        <v>2009</v>
      </c>
      <c r="D1214" t="s">
        <v>9</v>
      </c>
      <c r="E1214">
        <v>34325</v>
      </c>
      <c r="F1214">
        <v>0</v>
      </c>
    </row>
    <row r="1215" spans="1:6" hidden="1" x14ac:dyDescent="0.3">
      <c r="A1215">
        <v>1214</v>
      </c>
      <c r="B1215" t="s">
        <v>37</v>
      </c>
      <c r="C1215">
        <v>2009</v>
      </c>
      <c r="D1215" t="s">
        <v>9</v>
      </c>
      <c r="E1215">
        <v>1300</v>
      </c>
      <c r="F1215">
        <v>0</v>
      </c>
    </row>
    <row r="1216" spans="1:6" hidden="1" x14ac:dyDescent="0.3">
      <c r="A1216">
        <v>1215</v>
      </c>
      <c r="B1216" t="s">
        <v>37</v>
      </c>
      <c r="C1216">
        <v>2009</v>
      </c>
      <c r="D1216" t="s">
        <v>9</v>
      </c>
      <c r="E1216">
        <v>715</v>
      </c>
      <c r="F1216">
        <v>0</v>
      </c>
    </row>
    <row r="1217" spans="1:6" hidden="1" x14ac:dyDescent="0.3">
      <c r="A1217">
        <v>1216</v>
      </c>
      <c r="B1217" t="s">
        <v>39</v>
      </c>
      <c r="C1217">
        <v>2009</v>
      </c>
      <c r="D1217" t="s">
        <v>9</v>
      </c>
      <c r="E1217">
        <v>0</v>
      </c>
      <c r="F1217">
        <v>0</v>
      </c>
    </row>
    <row r="1218" spans="1:6" hidden="1" x14ac:dyDescent="0.3">
      <c r="A1218">
        <v>1217</v>
      </c>
      <c r="B1218" t="s">
        <v>38</v>
      </c>
      <c r="C1218">
        <v>2009</v>
      </c>
      <c r="D1218" t="s">
        <v>11</v>
      </c>
      <c r="E1218">
        <v>0</v>
      </c>
      <c r="F1218">
        <v>0</v>
      </c>
    </row>
    <row r="1219" spans="1:6" hidden="1" x14ac:dyDescent="0.3">
      <c r="A1219">
        <v>1218</v>
      </c>
      <c r="B1219" t="s">
        <v>38</v>
      </c>
      <c r="C1219">
        <v>2009</v>
      </c>
      <c r="D1219" t="s">
        <v>9</v>
      </c>
      <c r="E1219">
        <v>300</v>
      </c>
      <c r="F1219">
        <v>0</v>
      </c>
    </row>
    <row r="1220" spans="1:6" hidden="1" x14ac:dyDescent="0.3">
      <c r="A1220">
        <v>1219</v>
      </c>
      <c r="B1220" t="s">
        <v>20</v>
      </c>
      <c r="C1220">
        <v>2009</v>
      </c>
      <c r="D1220" t="s">
        <v>14</v>
      </c>
      <c r="E1220">
        <v>2501798</v>
      </c>
      <c r="F1220">
        <v>2200000000</v>
      </c>
    </row>
    <row r="1221" spans="1:6" hidden="1" x14ac:dyDescent="0.3">
      <c r="A1221">
        <v>1220</v>
      </c>
      <c r="B1221" t="s">
        <v>8</v>
      </c>
      <c r="C1221">
        <v>2009</v>
      </c>
      <c r="D1221" t="s">
        <v>9</v>
      </c>
      <c r="E1221">
        <v>500000</v>
      </c>
      <c r="F1221">
        <v>0</v>
      </c>
    </row>
    <row r="1222" spans="1:6" hidden="1" x14ac:dyDescent="0.3">
      <c r="A1222">
        <v>1221</v>
      </c>
      <c r="B1222" t="s">
        <v>27</v>
      </c>
      <c r="C1222">
        <v>2009</v>
      </c>
      <c r="D1222" t="s">
        <v>9</v>
      </c>
      <c r="E1222">
        <v>296</v>
      </c>
      <c r="F1222">
        <v>0</v>
      </c>
    </row>
    <row r="1223" spans="1:6" hidden="1" x14ac:dyDescent="0.3">
      <c r="A1223">
        <v>1222</v>
      </c>
      <c r="B1223" t="s">
        <v>27</v>
      </c>
      <c r="C1223">
        <v>2009</v>
      </c>
      <c r="D1223" t="s">
        <v>9</v>
      </c>
      <c r="E1223">
        <v>2500</v>
      </c>
      <c r="F1223">
        <v>0</v>
      </c>
    </row>
    <row r="1224" spans="1:6" hidden="1" x14ac:dyDescent="0.3">
      <c r="A1224">
        <v>1223</v>
      </c>
      <c r="B1224" t="s">
        <v>20</v>
      </c>
      <c r="C1224">
        <v>2009</v>
      </c>
      <c r="D1224" t="s">
        <v>14</v>
      </c>
      <c r="E1224">
        <v>339792</v>
      </c>
      <c r="F1224">
        <v>160000000</v>
      </c>
    </row>
    <row r="1225" spans="1:6" hidden="1" x14ac:dyDescent="0.3">
      <c r="A1225">
        <v>1224</v>
      </c>
      <c r="B1225" t="s">
        <v>16</v>
      </c>
      <c r="C1225">
        <v>2009</v>
      </c>
      <c r="D1225" t="s">
        <v>9</v>
      </c>
      <c r="E1225">
        <v>8</v>
      </c>
      <c r="F1225">
        <v>64000000</v>
      </c>
    </row>
    <row r="1226" spans="1:6" hidden="1" x14ac:dyDescent="0.3">
      <c r="A1226">
        <v>1225</v>
      </c>
      <c r="B1226" t="s">
        <v>16</v>
      </c>
      <c r="C1226">
        <v>2009</v>
      </c>
      <c r="D1226" t="s">
        <v>9</v>
      </c>
      <c r="E1226">
        <v>0</v>
      </c>
      <c r="F1226">
        <v>0</v>
      </c>
    </row>
    <row r="1227" spans="1:6" hidden="1" x14ac:dyDescent="0.3">
      <c r="A1227">
        <v>1226</v>
      </c>
      <c r="B1227" t="s">
        <v>16</v>
      </c>
      <c r="C1227">
        <v>2009</v>
      </c>
      <c r="D1227" t="s">
        <v>11</v>
      </c>
      <c r="E1227">
        <v>23</v>
      </c>
      <c r="F1227">
        <v>0</v>
      </c>
    </row>
    <row r="1228" spans="1:6" hidden="1" x14ac:dyDescent="0.3">
      <c r="A1228">
        <v>1227</v>
      </c>
      <c r="B1228" t="s">
        <v>16</v>
      </c>
      <c r="C1228">
        <v>2009</v>
      </c>
      <c r="D1228" t="s">
        <v>11</v>
      </c>
      <c r="E1228">
        <v>0</v>
      </c>
      <c r="F1228">
        <v>0</v>
      </c>
    </row>
    <row r="1229" spans="1:6" hidden="1" x14ac:dyDescent="0.3">
      <c r="A1229">
        <v>1228</v>
      </c>
      <c r="B1229" t="s">
        <v>26</v>
      </c>
      <c r="C1229">
        <v>2009</v>
      </c>
      <c r="D1229" t="s">
        <v>7</v>
      </c>
      <c r="E1229">
        <v>6200000</v>
      </c>
      <c r="F1229">
        <v>0</v>
      </c>
    </row>
    <row r="1230" spans="1:6" hidden="1" x14ac:dyDescent="0.3">
      <c r="A1230">
        <v>1229</v>
      </c>
      <c r="B1230" t="s">
        <v>19</v>
      </c>
      <c r="C1230">
        <v>2009</v>
      </c>
      <c r="D1230" t="s">
        <v>7</v>
      </c>
      <c r="E1230">
        <v>2500000</v>
      </c>
      <c r="F1230">
        <v>0</v>
      </c>
    </row>
    <row r="1231" spans="1:6" hidden="1" x14ac:dyDescent="0.3">
      <c r="A1231">
        <v>1230</v>
      </c>
      <c r="B1231" t="s">
        <v>23</v>
      </c>
      <c r="C1231">
        <v>2009</v>
      </c>
      <c r="D1231" t="s">
        <v>7</v>
      </c>
      <c r="E1231">
        <v>45000</v>
      </c>
      <c r="F1231">
        <v>0</v>
      </c>
    </row>
    <row r="1232" spans="1:6" hidden="1" x14ac:dyDescent="0.3">
      <c r="A1232">
        <v>1231</v>
      </c>
      <c r="B1232" t="s">
        <v>6</v>
      </c>
      <c r="C1232">
        <v>2009</v>
      </c>
      <c r="D1232" t="s">
        <v>9</v>
      </c>
      <c r="E1232">
        <v>0</v>
      </c>
      <c r="F1232">
        <v>0</v>
      </c>
    </row>
    <row r="1233" spans="1:6" hidden="1" x14ac:dyDescent="0.3">
      <c r="A1233">
        <v>1232</v>
      </c>
      <c r="B1233" t="s">
        <v>12</v>
      </c>
      <c r="C1233">
        <v>2009</v>
      </c>
      <c r="D1233" t="s">
        <v>9</v>
      </c>
      <c r="E1233">
        <v>4650</v>
      </c>
      <c r="F1233">
        <v>0</v>
      </c>
    </row>
    <row r="1234" spans="1:6" hidden="1" x14ac:dyDescent="0.3">
      <c r="A1234">
        <v>1233</v>
      </c>
      <c r="B1234" t="s">
        <v>13</v>
      </c>
      <c r="C1234">
        <v>2009</v>
      </c>
      <c r="D1234" t="s">
        <v>9</v>
      </c>
      <c r="E1234">
        <v>5000</v>
      </c>
      <c r="F1234">
        <v>0</v>
      </c>
    </row>
    <row r="1235" spans="1:6" hidden="1" x14ac:dyDescent="0.3">
      <c r="A1235">
        <v>1234</v>
      </c>
      <c r="B1235" t="s">
        <v>8</v>
      </c>
      <c r="C1235">
        <v>2009</v>
      </c>
      <c r="D1235" t="s">
        <v>9</v>
      </c>
      <c r="E1235">
        <v>0</v>
      </c>
      <c r="F1235">
        <v>0</v>
      </c>
    </row>
    <row r="1236" spans="1:6" hidden="1" x14ac:dyDescent="0.3">
      <c r="A1236">
        <v>1235</v>
      </c>
      <c r="B1236" t="s">
        <v>8</v>
      </c>
      <c r="C1236">
        <v>2009</v>
      </c>
      <c r="D1236" t="s">
        <v>7</v>
      </c>
      <c r="E1236">
        <v>0</v>
      </c>
      <c r="F1236">
        <v>0</v>
      </c>
    </row>
    <row r="1237" spans="1:6" hidden="1" x14ac:dyDescent="0.3">
      <c r="A1237">
        <v>1236</v>
      </c>
      <c r="B1237" t="s">
        <v>10</v>
      </c>
      <c r="C1237">
        <v>2009</v>
      </c>
      <c r="D1237" t="s">
        <v>9</v>
      </c>
      <c r="E1237">
        <v>1100</v>
      </c>
      <c r="F1237">
        <v>0</v>
      </c>
    </row>
    <row r="1238" spans="1:6" hidden="1" x14ac:dyDescent="0.3">
      <c r="A1238">
        <v>1237</v>
      </c>
      <c r="B1238" t="s">
        <v>25</v>
      </c>
      <c r="C1238">
        <v>2009</v>
      </c>
      <c r="D1238" t="s">
        <v>9</v>
      </c>
      <c r="E1238">
        <v>0</v>
      </c>
      <c r="F1238">
        <v>0</v>
      </c>
    </row>
    <row r="1239" spans="1:6" hidden="1" x14ac:dyDescent="0.3">
      <c r="A1239">
        <v>1238</v>
      </c>
      <c r="B1239" t="s">
        <v>20</v>
      </c>
      <c r="C1239">
        <v>2009</v>
      </c>
      <c r="D1239" t="s">
        <v>14</v>
      </c>
      <c r="E1239">
        <v>1510</v>
      </c>
      <c r="F1239">
        <v>2430000</v>
      </c>
    </row>
    <row r="1240" spans="1:6" hidden="1" x14ac:dyDescent="0.3">
      <c r="A1240">
        <v>1239</v>
      </c>
      <c r="B1240" t="s">
        <v>20</v>
      </c>
      <c r="C1240">
        <v>2009</v>
      </c>
      <c r="D1240" t="s">
        <v>9</v>
      </c>
      <c r="E1240">
        <v>10000</v>
      </c>
      <c r="F1240">
        <v>0</v>
      </c>
    </row>
    <row r="1241" spans="1:6" hidden="1" x14ac:dyDescent="0.3">
      <c r="A1241">
        <v>1240</v>
      </c>
      <c r="B1241" t="s">
        <v>20</v>
      </c>
      <c r="C1241">
        <v>2009</v>
      </c>
      <c r="D1241" t="s">
        <v>9</v>
      </c>
      <c r="E1241">
        <v>2500</v>
      </c>
      <c r="F1241">
        <v>0</v>
      </c>
    </row>
    <row r="1242" spans="1:6" hidden="1" x14ac:dyDescent="0.3">
      <c r="A1242">
        <v>1241</v>
      </c>
      <c r="B1242" t="s">
        <v>20</v>
      </c>
      <c r="C1242">
        <v>2009</v>
      </c>
      <c r="D1242" t="s">
        <v>9</v>
      </c>
      <c r="E1242">
        <v>704</v>
      </c>
      <c r="F1242">
        <v>0</v>
      </c>
    </row>
    <row r="1243" spans="1:6" hidden="1" x14ac:dyDescent="0.3">
      <c r="A1243">
        <v>1242</v>
      </c>
      <c r="B1243" t="s">
        <v>16</v>
      </c>
      <c r="C1243">
        <v>2009</v>
      </c>
      <c r="D1243" t="s">
        <v>11</v>
      </c>
      <c r="E1243">
        <v>12</v>
      </c>
      <c r="F1243">
        <v>0</v>
      </c>
    </row>
    <row r="1244" spans="1:6" hidden="1" x14ac:dyDescent="0.3">
      <c r="A1244">
        <v>1243</v>
      </c>
      <c r="B1244" t="s">
        <v>16</v>
      </c>
      <c r="C1244">
        <v>2009</v>
      </c>
      <c r="D1244" t="s">
        <v>9</v>
      </c>
      <c r="E1244">
        <v>0</v>
      </c>
      <c r="F1244">
        <v>0</v>
      </c>
    </row>
    <row r="1245" spans="1:6" hidden="1" x14ac:dyDescent="0.3">
      <c r="A1245">
        <v>1244</v>
      </c>
      <c r="B1245" t="s">
        <v>16</v>
      </c>
      <c r="C1245">
        <v>2009</v>
      </c>
      <c r="D1245" t="s">
        <v>9</v>
      </c>
      <c r="E1245">
        <v>1886000</v>
      </c>
      <c r="F1245">
        <v>220000000</v>
      </c>
    </row>
    <row r="1246" spans="1:6" hidden="1" x14ac:dyDescent="0.3">
      <c r="A1246">
        <v>1245</v>
      </c>
      <c r="B1246" t="s">
        <v>16</v>
      </c>
      <c r="C1246">
        <v>2009</v>
      </c>
      <c r="D1246" t="s">
        <v>9</v>
      </c>
      <c r="E1246">
        <v>4100000</v>
      </c>
      <c r="F1246">
        <v>2150000000</v>
      </c>
    </row>
    <row r="1247" spans="1:6" hidden="1" x14ac:dyDescent="0.3">
      <c r="A1247">
        <v>1246</v>
      </c>
      <c r="B1247" t="s">
        <v>16</v>
      </c>
      <c r="C1247">
        <v>2009</v>
      </c>
      <c r="D1247" t="s">
        <v>9</v>
      </c>
      <c r="E1247">
        <v>0</v>
      </c>
      <c r="F1247">
        <v>0</v>
      </c>
    </row>
    <row r="1248" spans="1:6" hidden="1" x14ac:dyDescent="0.3">
      <c r="A1248">
        <v>1247</v>
      </c>
      <c r="B1248" t="s">
        <v>16</v>
      </c>
      <c r="C1248">
        <v>2009</v>
      </c>
      <c r="D1248" t="s">
        <v>11</v>
      </c>
      <c r="E1248">
        <v>0</v>
      </c>
      <c r="F1248">
        <v>300000000</v>
      </c>
    </row>
    <row r="1249" spans="1:6" hidden="1" x14ac:dyDescent="0.3">
      <c r="A1249">
        <v>1248</v>
      </c>
      <c r="B1249" t="s">
        <v>16</v>
      </c>
      <c r="C1249">
        <v>2009</v>
      </c>
      <c r="D1249" t="s">
        <v>7</v>
      </c>
      <c r="E1249">
        <v>0</v>
      </c>
      <c r="F1249">
        <v>0</v>
      </c>
    </row>
    <row r="1250" spans="1:6" hidden="1" x14ac:dyDescent="0.3">
      <c r="A1250">
        <v>1249</v>
      </c>
      <c r="B1250" t="s">
        <v>18</v>
      </c>
      <c r="C1250">
        <v>2009</v>
      </c>
      <c r="D1250" t="s">
        <v>14</v>
      </c>
      <c r="E1250">
        <v>269</v>
      </c>
      <c r="F1250">
        <v>0</v>
      </c>
    </row>
    <row r="1251" spans="1:6" hidden="1" x14ac:dyDescent="0.3">
      <c r="A1251">
        <v>1250</v>
      </c>
      <c r="B1251" t="s">
        <v>19</v>
      </c>
      <c r="C1251">
        <v>2010</v>
      </c>
      <c r="D1251" t="s">
        <v>11</v>
      </c>
      <c r="E1251">
        <v>0</v>
      </c>
      <c r="F1251">
        <v>0</v>
      </c>
    </row>
    <row r="1252" spans="1:6" hidden="1" x14ac:dyDescent="0.3">
      <c r="A1252">
        <v>1251</v>
      </c>
      <c r="B1252" t="s">
        <v>28</v>
      </c>
      <c r="C1252">
        <v>2010</v>
      </c>
      <c r="D1252" t="s">
        <v>11</v>
      </c>
      <c r="E1252">
        <v>2506</v>
      </c>
      <c r="F1252">
        <v>150000000</v>
      </c>
    </row>
    <row r="1253" spans="1:6" hidden="1" x14ac:dyDescent="0.3">
      <c r="A1253">
        <v>1252</v>
      </c>
      <c r="B1253" t="s">
        <v>6</v>
      </c>
      <c r="C1253">
        <v>2010</v>
      </c>
      <c r="D1253" t="s">
        <v>14</v>
      </c>
      <c r="E1253">
        <v>1070</v>
      </c>
      <c r="F1253">
        <v>0</v>
      </c>
    </row>
    <row r="1254" spans="1:6" hidden="1" x14ac:dyDescent="0.3">
      <c r="A1254">
        <v>1253</v>
      </c>
      <c r="B1254" t="s">
        <v>6</v>
      </c>
      <c r="C1254">
        <v>2010</v>
      </c>
      <c r="D1254" t="s">
        <v>9</v>
      </c>
      <c r="E1254">
        <v>5000</v>
      </c>
      <c r="F1254">
        <v>0</v>
      </c>
    </row>
    <row r="1255" spans="1:6" hidden="1" x14ac:dyDescent="0.3">
      <c r="A1255">
        <v>1254</v>
      </c>
      <c r="B1255" t="s">
        <v>13</v>
      </c>
      <c r="C1255">
        <v>2010</v>
      </c>
      <c r="D1255" t="s">
        <v>9</v>
      </c>
      <c r="E1255">
        <v>70000</v>
      </c>
      <c r="F1255">
        <v>0</v>
      </c>
    </row>
    <row r="1256" spans="1:6" hidden="1" x14ac:dyDescent="0.3">
      <c r="A1256">
        <v>1255</v>
      </c>
      <c r="B1256" t="s">
        <v>10</v>
      </c>
      <c r="C1256">
        <v>2010</v>
      </c>
      <c r="D1256" t="s">
        <v>9</v>
      </c>
      <c r="E1256">
        <v>20000</v>
      </c>
      <c r="F1256">
        <v>0</v>
      </c>
    </row>
    <row r="1257" spans="1:6" hidden="1" x14ac:dyDescent="0.3">
      <c r="A1257">
        <v>1256</v>
      </c>
      <c r="B1257" t="s">
        <v>44</v>
      </c>
      <c r="C1257">
        <v>2010</v>
      </c>
      <c r="D1257" t="s">
        <v>9</v>
      </c>
      <c r="E1257">
        <v>106</v>
      </c>
      <c r="F1257">
        <v>0</v>
      </c>
    </row>
    <row r="1258" spans="1:6" hidden="1" x14ac:dyDescent="0.3">
      <c r="A1258">
        <v>1257</v>
      </c>
      <c r="B1258" t="s">
        <v>44</v>
      </c>
      <c r="C1258">
        <v>2010</v>
      </c>
      <c r="D1258" t="s">
        <v>9</v>
      </c>
      <c r="E1258">
        <v>3000</v>
      </c>
      <c r="F1258">
        <v>0</v>
      </c>
    </row>
    <row r="1259" spans="1:6" hidden="1" x14ac:dyDescent="0.3">
      <c r="A1259">
        <v>1258</v>
      </c>
      <c r="B1259" t="s">
        <v>19</v>
      </c>
      <c r="C1259">
        <v>2010</v>
      </c>
      <c r="D1259" t="s">
        <v>9</v>
      </c>
      <c r="E1259">
        <v>3270</v>
      </c>
      <c r="F1259">
        <v>0</v>
      </c>
    </row>
    <row r="1260" spans="1:6" hidden="1" x14ac:dyDescent="0.3">
      <c r="A1260">
        <v>1259</v>
      </c>
      <c r="B1260" t="s">
        <v>19</v>
      </c>
      <c r="C1260">
        <v>2010</v>
      </c>
      <c r="D1260" t="s">
        <v>11</v>
      </c>
      <c r="E1260">
        <v>397962</v>
      </c>
      <c r="F1260">
        <v>650000000</v>
      </c>
    </row>
    <row r="1261" spans="1:6" hidden="1" x14ac:dyDescent="0.3">
      <c r="A1261">
        <v>1260</v>
      </c>
      <c r="B1261" t="s">
        <v>23</v>
      </c>
      <c r="C1261">
        <v>2010</v>
      </c>
      <c r="D1261" t="s">
        <v>9</v>
      </c>
      <c r="E1261">
        <v>1610</v>
      </c>
      <c r="F1261">
        <v>0</v>
      </c>
    </row>
    <row r="1262" spans="1:6" hidden="1" x14ac:dyDescent="0.3">
      <c r="A1262">
        <v>1261</v>
      </c>
      <c r="B1262" t="s">
        <v>27</v>
      </c>
      <c r="C1262">
        <v>2010</v>
      </c>
      <c r="D1262" t="s">
        <v>9</v>
      </c>
      <c r="E1262">
        <v>2</v>
      </c>
      <c r="F1262">
        <v>0</v>
      </c>
    </row>
    <row r="1263" spans="1:6" hidden="1" x14ac:dyDescent="0.3">
      <c r="A1263">
        <v>1262</v>
      </c>
      <c r="B1263" t="s">
        <v>27</v>
      </c>
      <c r="C1263">
        <v>2010</v>
      </c>
      <c r="D1263" t="s">
        <v>9</v>
      </c>
      <c r="E1263">
        <v>22085</v>
      </c>
      <c r="F1263">
        <v>0</v>
      </c>
    </row>
    <row r="1264" spans="1:6" hidden="1" x14ac:dyDescent="0.3">
      <c r="A1264">
        <v>1263</v>
      </c>
      <c r="B1264" t="s">
        <v>20</v>
      </c>
      <c r="C1264">
        <v>2010</v>
      </c>
      <c r="D1264" t="s">
        <v>14</v>
      </c>
      <c r="E1264">
        <v>4600</v>
      </c>
      <c r="F1264">
        <v>0</v>
      </c>
    </row>
    <row r="1265" spans="1:6" hidden="1" x14ac:dyDescent="0.3">
      <c r="A1265">
        <v>1264</v>
      </c>
      <c r="B1265" t="s">
        <v>20</v>
      </c>
      <c r="C1265">
        <v>2010</v>
      </c>
      <c r="D1265" t="s">
        <v>9</v>
      </c>
      <c r="E1265">
        <v>12428</v>
      </c>
      <c r="F1265">
        <v>78000000</v>
      </c>
    </row>
    <row r="1266" spans="1:6" hidden="1" x14ac:dyDescent="0.3">
      <c r="A1266">
        <v>1265</v>
      </c>
      <c r="B1266" t="s">
        <v>20</v>
      </c>
      <c r="C1266">
        <v>2010</v>
      </c>
      <c r="D1266" t="s">
        <v>9</v>
      </c>
      <c r="E1266">
        <v>100</v>
      </c>
      <c r="F1266">
        <v>0</v>
      </c>
    </row>
    <row r="1267" spans="1:6" hidden="1" x14ac:dyDescent="0.3">
      <c r="A1267">
        <v>1266</v>
      </c>
      <c r="B1267" t="s">
        <v>20</v>
      </c>
      <c r="C1267">
        <v>2010</v>
      </c>
      <c r="D1267" t="s">
        <v>9</v>
      </c>
      <c r="E1267">
        <v>15007</v>
      </c>
      <c r="F1267">
        <v>0</v>
      </c>
    </row>
    <row r="1268" spans="1:6" hidden="1" x14ac:dyDescent="0.3">
      <c r="A1268">
        <v>1267</v>
      </c>
      <c r="B1268" t="s">
        <v>16</v>
      </c>
      <c r="C1268">
        <v>2010</v>
      </c>
      <c r="D1268" t="s">
        <v>9</v>
      </c>
      <c r="E1268">
        <v>12725</v>
      </c>
      <c r="F1268">
        <v>0</v>
      </c>
    </row>
    <row r="1269" spans="1:6" hidden="1" x14ac:dyDescent="0.3">
      <c r="A1269">
        <v>1268</v>
      </c>
      <c r="B1269" t="s">
        <v>16</v>
      </c>
      <c r="C1269">
        <v>2010</v>
      </c>
      <c r="D1269" t="s">
        <v>9</v>
      </c>
      <c r="E1269">
        <v>3267183</v>
      </c>
      <c r="F1269">
        <v>1680000000</v>
      </c>
    </row>
    <row r="1270" spans="1:6" hidden="1" x14ac:dyDescent="0.3">
      <c r="A1270">
        <v>1269</v>
      </c>
      <c r="B1270" t="s">
        <v>20</v>
      </c>
      <c r="C1270">
        <v>2010</v>
      </c>
      <c r="D1270" t="s">
        <v>14</v>
      </c>
      <c r="E1270">
        <v>11864</v>
      </c>
      <c r="F1270">
        <v>0</v>
      </c>
    </row>
    <row r="1271" spans="1:6" hidden="1" x14ac:dyDescent="0.3">
      <c r="A1271">
        <v>1270</v>
      </c>
      <c r="B1271" t="s">
        <v>8</v>
      </c>
      <c r="C1271">
        <v>2010</v>
      </c>
      <c r="D1271" t="s">
        <v>11</v>
      </c>
      <c r="E1271">
        <v>50</v>
      </c>
      <c r="F1271">
        <v>0</v>
      </c>
    </row>
    <row r="1272" spans="1:6" hidden="1" x14ac:dyDescent="0.3">
      <c r="A1272">
        <v>1271</v>
      </c>
      <c r="B1272" t="s">
        <v>16</v>
      </c>
      <c r="C1272">
        <v>2010</v>
      </c>
      <c r="D1272" t="s">
        <v>11</v>
      </c>
      <c r="E1272">
        <v>2030</v>
      </c>
      <c r="F1272">
        <v>0</v>
      </c>
    </row>
    <row r="1273" spans="1:6" hidden="1" x14ac:dyDescent="0.3">
      <c r="A1273">
        <v>1272</v>
      </c>
      <c r="B1273" t="s">
        <v>16</v>
      </c>
      <c r="C1273">
        <v>2010</v>
      </c>
      <c r="D1273" t="s">
        <v>11</v>
      </c>
      <c r="E1273">
        <v>0</v>
      </c>
      <c r="F1273">
        <v>0</v>
      </c>
    </row>
    <row r="1274" spans="1:6" hidden="1" x14ac:dyDescent="0.3">
      <c r="A1274">
        <v>1273</v>
      </c>
      <c r="B1274" t="s">
        <v>23</v>
      </c>
      <c r="C1274">
        <v>2010</v>
      </c>
      <c r="D1274" t="s">
        <v>11</v>
      </c>
      <c r="E1274">
        <v>0</v>
      </c>
      <c r="F1274">
        <v>0</v>
      </c>
    </row>
    <row r="1275" spans="1:6" hidden="1" x14ac:dyDescent="0.3">
      <c r="A1275">
        <v>1274</v>
      </c>
      <c r="B1275" t="s">
        <v>27</v>
      </c>
      <c r="C1275">
        <v>2010</v>
      </c>
      <c r="D1275" t="s">
        <v>11</v>
      </c>
      <c r="E1275">
        <v>73122</v>
      </c>
      <c r="F1275">
        <v>0</v>
      </c>
    </row>
    <row r="1276" spans="1:6" hidden="1" x14ac:dyDescent="0.3">
      <c r="A1276">
        <v>1275</v>
      </c>
      <c r="B1276" t="s">
        <v>27</v>
      </c>
      <c r="C1276">
        <v>2010</v>
      </c>
      <c r="D1276" t="s">
        <v>11</v>
      </c>
      <c r="E1276">
        <v>5020</v>
      </c>
      <c r="F1276">
        <v>0</v>
      </c>
    </row>
    <row r="1277" spans="1:6" hidden="1" x14ac:dyDescent="0.3">
      <c r="A1277">
        <v>1276</v>
      </c>
      <c r="B1277" t="s">
        <v>16</v>
      </c>
      <c r="C1277">
        <v>2010</v>
      </c>
      <c r="D1277" t="s">
        <v>11</v>
      </c>
      <c r="E1277">
        <v>50</v>
      </c>
      <c r="F1277">
        <v>0</v>
      </c>
    </row>
    <row r="1278" spans="1:6" hidden="1" x14ac:dyDescent="0.3">
      <c r="A1278">
        <v>1277</v>
      </c>
      <c r="B1278" t="s">
        <v>16</v>
      </c>
      <c r="C1278">
        <v>2010</v>
      </c>
      <c r="D1278" t="s">
        <v>11</v>
      </c>
      <c r="E1278">
        <v>0</v>
      </c>
      <c r="F1278">
        <v>0</v>
      </c>
    </row>
    <row r="1279" spans="1:6" hidden="1" x14ac:dyDescent="0.3">
      <c r="A1279">
        <v>1278</v>
      </c>
      <c r="B1279" t="s">
        <v>6</v>
      </c>
      <c r="C1279">
        <v>2010</v>
      </c>
      <c r="D1279" t="s">
        <v>9</v>
      </c>
      <c r="E1279">
        <v>40000</v>
      </c>
      <c r="F1279">
        <v>0</v>
      </c>
    </row>
    <row r="1280" spans="1:6" hidden="1" x14ac:dyDescent="0.3">
      <c r="A1280">
        <v>1279</v>
      </c>
      <c r="B1280" t="s">
        <v>12</v>
      </c>
      <c r="C1280">
        <v>2010</v>
      </c>
      <c r="D1280" t="s">
        <v>9</v>
      </c>
      <c r="E1280">
        <v>110886</v>
      </c>
      <c r="F1280">
        <v>0</v>
      </c>
    </row>
    <row r="1281" spans="1:6" hidden="1" x14ac:dyDescent="0.3">
      <c r="A1281">
        <v>1280</v>
      </c>
      <c r="B1281" t="s">
        <v>12</v>
      </c>
      <c r="C1281">
        <v>2010</v>
      </c>
      <c r="D1281" t="s">
        <v>9</v>
      </c>
      <c r="E1281">
        <v>75000</v>
      </c>
      <c r="F1281">
        <v>0</v>
      </c>
    </row>
    <row r="1282" spans="1:6" hidden="1" x14ac:dyDescent="0.3">
      <c r="A1282">
        <v>1281</v>
      </c>
      <c r="B1282" t="s">
        <v>12</v>
      </c>
      <c r="C1282">
        <v>2010</v>
      </c>
      <c r="D1282" t="s">
        <v>9</v>
      </c>
      <c r="E1282">
        <v>3895</v>
      </c>
      <c r="F1282">
        <v>0</v>
      </c>
    </row>
    <row r="1283" spans="1:6" hidden="1" x14ac:dyDescent="0.3">
      <c r="A1283">
        <v>1282</v>
      </c>
      <c r="B1283" t="s">
        <v>8</v>
      </c>
      <c r="C1283">
        <v>2010</v>
      </c>
      <c r="D1283" t="s">
        <v>9</v>
      </c>
      <c r="E1283">
        <v>75000</v>
      </c>
      <c r="F1283">
        <v>0</v>
      </c>
    </row>
    <row r="1284" spans="1:6" hidden="1" x14ac:dyDescent="0.3">
      <c r="A1284">
        <v>1283</v>
      </c>
      <c r="B1284" t="s">
        <v>8</v>
      </c>
      <c r="C1284">
        <v>2010</v>
      </c>
      <c r="D1284" t="s">
        <v>9</v>
      </c>
      <c r="E1284">
        <v>500000</v>
      </c>
      <c r="F1284">
        <v>0</v>
      </c>
    </row>
    <row r="1285" spans="1:6" hidden="1" x14ac:dyDescent="0.3">
      <c r="A1285">
        <v>1284</v>
      </c>
      <c r="B1285" t="s">
        <v>8</v>
      </c>
      <c r="C1285">
        <v>2010</v>
      </c>
      <c r="D1285" t="s">
        <v>11</v>
      </c>
      <c r="E1285">
        <v>247110</v>
      </c>
      <c r="F1285">
        <v>0</v>
      </c>
    </row>
    <row r="1286" spans="1:6" hidden="1" x14ac:dyDescent="0.3">
      <c r="A1286">
        <v>1285</v>
      </c>
      <c r="B1286" t="s">
        <v>8</v>
      </c>
      <c r="C1286">
        <v>2010</v>
      </c>
      <c r="D1286" t="s">
        <v>11</v>
      </c>
      <c r="E1286">
        <v>10000</v>
      </c>
      <c r="F1286">
        <v>0</v>
      </c>
    </row>
    <row r="1287" spans="1:6" hidden="1" x14ac:dyDescent="0.3">
      <c r="A1287">
        <v>1286</v>
      </c>
      <c r="B1287" t="s">
        <v>15</v>
      </c>
      <c r="C1287">
        <v>2010</v>
      </c>
      <c r="D1287" t="s">
        <v>9</v>
      </c>
      <c r="E1287">
        <v>90</v>
      </c>
      <c r="F1287">
        <v>0</v>
      </c>
    </row>
    <row r="1288" spans="1:6" hidden="1" x14ac:dyDescent="0.3">
      <c r="A1288">
        <v>1287</v>
      </c>
      <c r="B1288" t="s">
        <v>10</v>
      </c>
      <c r="C1288">
        <v>2010</v>
      </c>
      <c r="D1288" t="s">
        <v>9</v>
      </c>
      <c r="E1288">
        <v>14910</v>
      </c>
      <c r="F1288">
        <v>87000000</v>
      </c>
    </row>
    <row r="1289" spans="1:6" hidden="1" x14ac:dyDescent="0.3">
      <c r="A1289">
        <v>1288</v>
      </c>
      <c r="B1289" t="s">
        <v>47</v>
      </c>
      <c r="C1289">
        <v>2010</v>
      </c>
      <c r="D1289" t="s">
        <v>7</v>
      </c>
      <c r="E1289">
        <v>200258</v>
      </c>
      <c r="F1289">
        <v>0</v>
      </c>
    </row>
    <row r="1290" spans="1:6" hidden="1" x14ac:dyDescent="0.3">
      <c r="A1290">
        <v>1289</v>
      </c>
      <c r="B1290" t="s">
        <v>26</v>
      </c>
      <c r="C1290">
        <v>2010</v>
      </c>
      <c r="D1290" t="s">
        <v>9</v>
      </c>
      <c r="E1290">
        <v>55700</v>
      </c>
      <c r="F1290">
        <v>0</v>
      </c>
    </row>
    <row r="1291" spans="1:6" hidden="1" x14ac:dyDescent="0.3">
      <c r="A1291">
        <v>1290</v>
      </c>
      <c r="B1291" t="s">
        <v>26</v>
      </c>
      <c r="C1291">
        <v>2010</v>
      </c>
      <c r="D1291" t="s">
        <v>9</v>
      </c>
      <c r="E1291">
        <v>25000</v>
      </c>
      <c r="F1291">
        <v>0</v>
      </c>
    </row>
    <row r="1292" spans="1:6" hidden="1" x14ac:dyDescent="0.3">
      <c r="A1292">
        <v>1291</v>
      </c>
      <c r="B1292" t="s">
        <v>26</v>
      </c>
      <c r="C1292">
        <v>2010</v>
      </c>
      <c r="D1292" t="s">
        <v>7</v>
      </c>
      <c r="E1292">
        <v>4805679</v>
      </c>
      <c r="F1292">
        <v>0</v>
      </c>
    </row>
    <row r="1293" spans="1:6" hidden="1" x14ac:dyDescent="0.3">
      <c r="A1293">
        <v>1292</v>
      </c>
      <c r="B1293" t="s">
        <v>19</v>
      </c>
      <c r="C1293">
        <v>2010</v>
      </c>
      <c r="D1293" t="s">
        <v>11</v>
      </c>
      <c r="E1293">
        <v>2180</v>
      </c>
      <c r="F1293">
        <v>0</v>
      </c>
    </row>
    <row r="1294" spans="1:6" hidden="1" x14ac:dyDescent="0.3">
      <c r="A1294">
        <v>1293</v>
      </c>
      <c r="B1294" t="s">
        <v>23</v>
      </c>
      <c r="C1294">
        <v>2010</v>
      </c>
      <c r="D1294" t="s">
        <v>9</v>
      </c>
      <c r="E1294">
        <v>3400</v>
      </c>
      <c r="F1294">
        <v>0</v>
      </c>
    </row>
    <row r="1295" spans="1:6" hidden="1" x14ac:dyDescent="0.3">
      <c r="A1295">
        <v>1294</v>
      </c>
      <c r="B1295" t="s">
        <v>23</v>
      </c>
      <c r="C1295">
        <v>2010</v>
      </c>
      <c r="D1295" t="s">
        <v>11</v>
      </c>
      <c r="E1295">
        <v>24675</v>
      </c>
      <c r="F1295">
        <v>90000000</v>
      </c>
    </row>
    <row r="1296" spans="1:6" hidden="1" x14ac:dyDescent="0.3">
      <c r="A1296">
        <v>1295</v>
      </c>
      <c r="B1296" t="s">
        <v>27</v>
      </c>
      <c r="C1296">
        <v>2010</v>
      </c>
      <c r="D1296" t="s">
        <v>14</v>
      </c>
      <c r="E1296">
        <v>3700000</v>
      </c>
      <c r="F1296">
        <v>8000000000</v>
      </c>
    </row>
    <row r="1297" spans="1:6" hidden="1" x14ac:dyDescent="0.3">
      <c r="A1297">
        <v>1296</v>
      </c>
      <c r="B1297" t="s">
        <v>27</v>
      </c>
      <c r="C1297">
        <v>2010</v>
      </c>
      <c r="D1297" t="s">
        <v>9</v>
      </c>
      <c r="E1297">
        <v>0</v>
      </c>
      <c r="F1297">
        <v>0</v>
      </c>
    </row>
    <row r="1298" spans="1:6" hidden="1" x14ac:dyDescent="0.3">
      <c r="A1298">
        <v>1297</v>
      </c>
      <c r="B1298" t="s">
        <v>20</v>
      </c>
      <c r="C1298">
        <v>2010</v>
      </c>
      <c r="D1298" t="s">
        <v>9</v>
      </c>
      <c r="E1298">
        <v>355</v>
      </c>
      <c r="F1298">
        <v>0</v>
      </c>
    </row>
    <row r="1299" spans="1:6" hidden="1" x14ac:dyDescent="0.3">
      <c r="A1299">
        <v>1298</v>
      </c>
      <c r="B1299" t="s">
        <v>20</v>
      </c>
      <c r="C1299">
        <v>2010</v>
      </c>
      <c r="D1299" t="s">
        <v>9</v>
      </c>
      <c r="E1299">
        <v>200</v>
      </c>
      <c r="F1299">
        <v>0</v>
      </c>
    </row>
    <row r="1300" spans="1:6" hidden="1" x14ac:dyDescent="0.3">
      <c r="A1300">
        <v>1299</v>
      </c>
      <c r="B1300" t="s">
        <v>20</v>
      </c>
      <c r="C1300">
        <v>2010</v>
      </c>
      <c r="D1300" t="s">
        <v>9</v>
      </c>
      <c r="E1300">
        <v>28500</v>
      </c>
      <c r="F1300">
        <v>0</v>
      </c>
    </row>
    <row r="1301" spans="1:6" hidden="1" x14ac:dyDescent="0.3">
      <c r="A1301">
        <v>1300</v>
      </c>
      <c r="B1301" t="s">
        <v>20</v>
      </c>
      <c r="C1301">
        <v>2010</v>
      </c>
      <c r="D1301" t="s">
        <v>9</v>
      </c>
      <c r="E1301">
        <v>0</v>
      </c>
      <c r="F1301">
        <v>0</v>
      </c>
    </row>
    <row r="1302" spans="1:6" hidden="1" x14ac:dyDescent="0.3">
      <c r="A1302">
        <v>1301</v>
      </c>
      <c r="B1302" t="s">
        <v>16</v>
      </c>
      <c r="C1302">
        <v>2010</v>
      </c>
      <c r="D1302" t="s">
        <v>11</v>
      </c>
      <c r="E1302">
        <v>5000</v>
      </c>
      <c r="F1302">
        <v>0</v>
      </c>
    </row>
    <row r="1303" spans="1:6" hidden="1" x14ac:dyDescent="0.3">
      <c r="A1303">
        <v>1302</v>
      </c>
      <c r="B1303" t="s">
        <v>16</v>
      </c>
      <c r="C1303">
        <v>2010</v>
      </c>
      <c r="D1303" t="s">
        <v>11</v>
      </c>
      <c r="E1303">
        <v>0</v>
      </c>
      <c r="F1303">
        <v>0</v>
      </c>
    </row>
    <row r="1304" spans="1:6" hidden="1" x14ac:dyDescent="0.3">
      <c r="A1304">
        <v>1303</v>
      </c>
      <c r="B1304" t="s">
        <v>16</v>
      </c>
      <c r="C1304">
        <v>2010</v>
      </c>
      <c r="D1304" t="s">
        <v>9</v>
      </c>
      <c r="E1304">
        <v>400000</v>
      </c>
      <c r="F1304">
        <v>447000000</v>
      </c>
    </row>
    <row r="1305" spans="1:6" hidden="1" x14ac:dyDescent="0.3">
      <c r="A1305">
        <v>1304</v>
      </c>
      <c r="B1305" t="s">
        <v>16</v>
      </c>
      <c r="C1305">
        <v>2010</v>
      </c>
      <c r="D1305" t="s">
        <v>9</v>
      </c>
      <c r="E1305">
        <v>50000</v>
      </c>
      <c r="F1305">
        <v>0</v>
      </c>
    </row>
    <row r="1306" spans="1:6" hidden="1" x14ac:dyDescent="0.3">
      <c r="A1306">
        <v>1305</v>
      </c>
      <c r="B1306" t="s">
        <v>16</v>
      </c>
      <c r="C1306">
        <v>2010</v>
      </c>
      <c r="D1306" t="s">
        <v>9</v>
      </c>
      <c r="E1306">
        <v>0</v>
      </c>
      <c r="F1306">
        <v>0</v>
      </c>
    </row>
    <row r="1307" spans="1:6" hidden="1" x14ac:dyDescent="0.3">
      <c r="A1307">
        <v>1306</v>
      </c>
      <c r="B1307" t="s">
        <v>16</v>
      </c>
      <c r="C1307">
        <v>2010</v>
      </c>
      <c r="D1307" t="s">
        <v>9</v>
      </c>
      <c r="E1307">
        <v>30000</v>
      </c>
      <c r="F1307">
        <v>0</v>
      </c>
    </row>
    <row r="1308" spans="1:6" hidden="1" x14ac:dyDescent="0.3">
      <c r="A1308">
        <v>1307</v>
      </c>
      <c r="B1308" t="s">
        <v>16</v>
      </c>
      <c r="C1308">
        <v>2010</v>
      </c>
      <c r="D1308" t="s">
        <v>9</v>
      </c>
      <c r="E1308">
        <v>12500</v>
      </c>
      <c r="F1308">
        <v>0</v>
      </c>
    </row>
    <row r="1309" spans="1:6" hidden="1" x14ac:dyDescent="0.3">
      <c r="A1309">
        <v>1308</v>
      </c>
      <c r="B1309" t="s">
        <v>16</v>
      </c>
      <c r="C1309">
        <v>2010</v>
      </c>
      <c r="D1309" t="s">
        <v>9</v>
      </c>
      <c r="E1309">
        <v>0</v>
      </c>
      <c r="F1309">
        <v>22000000</v>
      </c>
    </row>
    <row r="1310" spans="1:6" hidden="1" x14ac:dyDescent="0.3">
      <c r="A1310">
        <v>1309</v>
      </c>
      <c r="B1310" t="s">
        <v>16</v>
      </c>
      <c r="C1310">
        <v>2010</v>
      </c>
      <c r="D1310" t="s">
        <v>11</v>
      </c>
      <c r="E1310">
        <v>500000</v>
      </c>
      <c r="F1310">
        <v>0</v>
      </c>
    </row>
    <row r="1311" spans="1:6" hidden="1" x14ac:dyDescent="0.3">
      <c r="A1311">
        <v>1310</v>
      </c>
      <c r="B1311" t="s">
        <v>18</v>
      </c>
      <c r="C1311">
        <v>2010</v>
      </c>
      <c r="D1311" t="s">
        <v>14</v>
      </c>
      <c r="E1311">
        <v>750</v>
      </c>
      <c r="F1311">
        <v>0</v>
      </c>
    </row>
    <row r="1312" spans="1:6" hidden="1" x14ac:dyDescent="0.3">
      <c r="A1312">
        <v>1311</v>
      </c>
      <c r="B1312" t="s">
        <v>18</v>
      </c>
      <c r="C1312">
        <v>2010</v>
      </c>
      <c r="D1312" t="s">
        <v>14</v>
      </c>
      <c r="E1312">
        <v>274</v>
      </c>
      <c r="F1312">
        <v>0</v>
      </c>
    </row>
    <row r="1313" spans="1:6" hidden="1" x14ac:dyDescent="0.3">
      <c r="A1313">
        <v>1312</v>
      </c>
      <c r="B1313" t="s">
        <v>18</v>
      </c>
      <c r="C1313">
        <v>2010</v>
      </c>
      <c r="D1313" t="s">
        <v>14</v>
      </c>
      <c r="E1313">
        <v>32</v>
      </c>
      <c r="F1313">
        <v>0</v>
      </c>
    </row>
    <row r="1314" spans="1:6" hidden="1" x14ac:dyDescent="0.3">
      <c r="A1314">
        <v>1313</v>
      </c>
      <c r="B1314" t="s">
        <v>18</v>
      </c>
      <c r="C1314">
        <v>2010</v>
      </c>
      <c r="D1314" t="s">
        <v>14</v>
      </c>
      <c r="E1314">
        <v>104</v>
      </c>
      <c r="F1314">
        <v>0</v>
      </c>
    </row>
    <row r="1315" spans="1:6" hidden="1" x14ac:dyDescent="0.3">
      <c r="A1315">
        <v>1314</v>
      </c>
      <c r="B1315" t="s">
        <v>18</v>
      </c>
      <c r="C1315">
        <v>2010</v>
      </c>
      <c r="D1315" t="s">
        <v>14</v>
      </c>
      <c r="E1315">
        <v>25</v>
      </c>
      <c r="F1315">
        <v>0</v>
      </c>
    </row>
    <row r="1316" spans="1:6" hidden="1" x14ac:dyDescent="0.3">
      <c r="A1316">
        <v>1315</v>
      </c>
      <c r="B1316" t="s">
        <v>18</v>
      </c>
      <c r="C1316">
        <v>2010</v>
      </c>
      <c r="D1316" t="s">
        <v>14</v>
      </c>
      <c r="E1316">
        <v>3600</v>
      </c>
      <c r="F1316">
        <v>0</v>
      </c>
    </row>
    <row r="1317" spans="1:6" hidden="1" x14ac:dyDescent="0.3">
      <c r="A1317">
        <v>1316</v>
      </c>
      <c r="B1317" t="s">
        <v>27</v>
      </c>
      <c r="C1317">
        <v>2011</v>
      </c>
      <c r="D1317" t="s">
        <v>9</v>
      </c>
      <c r="E1317">
        <v>2358</v>
      </c>
      <c r="F1317">
        <v>0</v>
      </c>
    </row>
    <row r="1318" spans="1:6" hidden="1" x14ac:dyDescent="0.3">
      <c r="A1318">
        <v>1317</v>
      </c>
      <c r="B1318" t="s">
        <v>27</v>
      </c>
      <c r="C1318">
        <v>2011</v>
      </c>
      <c r="D1318" t="s">
        <v>11</v>
      </c>
      <c r="E1318">
        <v>1544</v>
      </c>
      <c r="F1318">
        <v>0</v>
      </c>
    </row>
    <row r="1319" spans="1:6" hidden="1" x14ac:dyDescent="0.3">
      <c r="A1319">
        <v>1318</v>
      </c>
      <c r="B1319" t="s">
        <v>20</v>
      </c>
      <c r="C1319">
        <v>2011</v>
      </c>
      <c r="D1319" t="s">
        <v>14</v>
      </c>
      <c r="E1319">
        <v>95</v>
      </c>
      <c r="F1319">
        <v>0</v>
      </c>
    </row>
    <row r="1320" spans="1:6" hidden="1" x14ac:dyDescent="0.3">
      <c r="A1320">
        <v>1319</v>
      </c>
      <c r="B1320" t="s">
        <v>6</v>
      </c>
      <c r="C1320">
        <v>2011</v>
      </c>
      <c r="D1320" t="s">
        <v>9</v>
      </c>
      <c r="E1320">
        <v>3065</v>
      </c>
      <c r="F1320">
        <v>0</v>
      </c>
    </row>
    <row r="1321" spans="1:6" hidden="1" x14ac:dyDescent="0.3">
      <c r="A1321">
        <v>1320</v>
      </c>
      <c r="B1321" t="s">
        <v>12</v>
      </c>
      <c r="C1321">
        <v>2011</v>
      </c>
      <c r="D1321" t="s">
        <v>9</v>
      </c>
      <c r="E1321">
        <v>0</v>
      </c>
      <c r="F1321">
        <v>0</v>
      </c>
    </row>
    <row r="1322" spans="1:6" hidden="1" x14ac:dyDescent="0.3">
      <c r="A1322">
        <v>1321</v>
      </c>
      <c r="B1322" t="s">
        <v>12</v>
      </c>
      <c r="C1322">
        <v>2011</v>
      </c>
      <c r="D1322" t="s">
        <v>9</v>
      </c>
      <c r="E1322">
        <v>65084</v>
      </c>
      <c r="F1322">
        <v>0</v>
      </c>
    </row>
    <row r="1323" spans="1:6" hidden="1" x14ac:dyDescent="0.3">
      <c r="A1323">
        <v>1322</v>
      </c>
      <c r="B1323" t="s">
        <v>8</v>
      </c>
      <c r="C1323">
        <v>2011</v>
      </c>
      <c r="D1323" t="s">
        <v>9</v>
      </c>
      <c r="E1323">
        <v>1570559</v>
      </c>
      <c r="F1323">
        <v>0</v>
      </c>
    </row>
    <row r="1324" spans="1:6" hidden="1" x14ac:dyDescent="0.3">
      <c r="A1324">
        <v>1323</v>
      </c>
      <c r="B1324" t="s">
        <v>19</v>
      </c>
      <c r="C1324">
        <v>2011</v>
      </c>
      <c r="D1324" t="s">
        <v>9</v>
      </c>
      <c r="E1324">
        <v>6075</v>
      </c>
      <c r="F1324">
        <v>0</v>
      </c>
    </row>
    <row r="1325" spans="1:6" hidden="1" x14ac:dyDescent="0.3">
      <c r="A1325">
        <v>1324</v>
      </c>
      <c r="B1325" t="s">
        <v>19</v>
      </c>
      <c r="C1325">
        <v>2011</v>
      </c>
      <c r="D1325" t="s">
        <v>11</v>
      </c>
      <c r="E1325">
        <v>0</v>
      </c>
      <c r="F1325">
        <v>0</v>
      </c>
    </row>
    <row r="1326" spans="1:6" hidden="1" x14ac:dyDescent="0.3">
      <c r="A1326">
        <v>1325</v>
      </c>
      <c r="B1326" t="s">
        <v>27</v>
      </c>
      <c r="C1326">
        <v>2011</v>
      </c>
      <c r="D1326" t="s">
        <v>11</v>
      </c>
      <c r="E1326">
        <v>1500</v>
      </c>
      <c r="F1326">
        <v>0</v>
      </c>
    </row>
    <row r="1327" spans="1:6" hidden="1" x14ac:dyDescent="0.3">
      <c r="A1327">
        <v>1326</v>
      </c>
      <c r="B1327" t="s">
        <v>20</v>
      </c>
      <c r="C1327">
        <v>2011</v>
      </c>
      <c r="D1327" t="s">
        <v>9</v>
      </c>
      <c r="E1327">
        <v>1060</v>
      </c>
      <c r="F1327">
        <v>0</v>
      </c>
    </row>
    <row r="1328" spans="1:6" hidden="1" x14ac:dyDescent="0.3">
      <c r="A1328">
        <v>1327</v>
      </c>
      <c r="B1328" t="s">
        <v>20</v>
      </c>
      <c r="C1328">
        <v>2011</v>
      </c>
      <c r="D1328" t="s">
        <v>9</v>
      </c>
      <c r="E1328">
        <v>12000</v>
      </c>
      <c r="F1328">
        <v>0</v>
      </c>
    </row>
    <row r="1329" spans="1:6" hidden="1" x14ac:dyDescent="0.3">
      <c r="A1329">
        <v>1328</v>
      </c>
      <c r="B1329" t="s">
        <v>20</v>
      </c>
      <c r="C1329">
        <v>2011</v>
      </c>
      <c r="D1329" t="s">
        <v>9</v>
      </c>
      <c r="E1329">
        <v>750</v>
      </c>
      <c r="F1329">
        <v>0</v>
      </c>
    </row>
    <row r="1330" spans="1:6" hidden="1" x14ac:dyDescent="0.3">
      <c r="A1330">
        <v>1329</v>
      </c>
      <c r="B1330" t="s">
        <v>16</v>
      </c>
      <c r="C1330">
        <v>2011</v>
      </c>
      <c r="D1330" t="s">
        <v>11</v>
      </c>
      <c r="E1330">
        <v>50</v>
      </c>
      <c r="F1330">
        <v>0</v>
      </c>
    </row>
    <row r="1331" spans="1:6" hidden="1" x14ac:dyDescent="0.3">
      <c r="A1331">
        <v>1330</v>
      </c>
      <c r="B1331" t="s">
        <v>16</v>
      </c>
      <c r="C1331">
        <v>2011</v>
      </c>
      <c r="D1331" t="s">
        <v>9</v>
      </c>
      <c r="E1331">
        <v>700000</v>
      </c>
      <c r="F1331">
        <v>275000000</v>
      </c>
    </row>
    <row r="1332" spans="1:6" hidden="1" x14ac:dyDescent="0.3">
      <c r="A1332">
        <v>1331</v>
      </c>
      <c r="B1332" t="s">
        <v>37</v>
      </c>
      <c r="C1332">
        <v>2009</v>
      </c>
      <c r="D1332" t="s">
        <v>11</v>
      </c>
      <c r="E1332">
        <v>388373</v>
      </c>
      <c r="F1332">
        <v>6303000</v>
      </c>
    </row>
    <row r="1333" spans="1:6" hidden="1" x14ac:dyDescent="0.3">
      <c r="A1333">
        <v>1332</v>
      </c>
      <c r="B1333" t="s">
        <v>37</v>
      </c>
      <c r="C1333">
        <v>2009</v>
      </c>
      <c r="D1333" t="s">
        <v>11</v>
      </c>
      <c r="E1333">
        <v>48333</v>
      </c>
      <c r="F1333">
        <v>0</v>
      </c>
    </row>
    <row r="1334" spans="1:6" hidden="1" x14ac:dyDescent="0.3">
      <c r="A1334">
        <v>1333</v>
      </c>
      <c r="B1334" t="s">
        <v>37</v>
      </c>
      <c r="C1334">
        <v>2009</v>
      </c>
      <c r="D1334" t="s">
        <v>11</v>
      </c>
      <c r="E1334">
        <v>4478491</v>
      </c>
      <c r="F1334">
        <v>585379000</v>
      </c>
    </row>
    <row r="1335" spans="1:6" hidden="1" x14ac:dyDescent="0.3">
      <c r="A1335">
        <v>1334</v>
      </c>
      <c r="B1335" t="s">
        <v>40</v>
      </c>
      <c r="C1335">
        <v>2009</v>
      </c>
      <c r="D1335" t="s">
        <v>11</v>
      </c>
      <c r="E1335">
        <v>90000</v>
      </c>
      <c r="F1335">
        <v>939000000</v>
      </c>
    </row>
    <row r="1336" spans="1:6" hidden="1" x14ac:dyDescent="0.3">
      <c r="A1336">
        <v>1335</v>
      </c>
      <c r="B1336" t="s">
        <v>21</v>
      </c>
      <c r="C1336">
        <v>2009</v>
      </c>
      <c r="D1336" t="s">
        <v>11</v>
      </c>
      <c r="E1336">
        <v>72000</v>
      </c>
      <c r="F1336">
        <v>40000000</v>
      </c>
    </row>
    <row r="1337" spans="1:6" hidden="1" x14ac:dyDescent="0.3">
      <c r="A1337">
        <v>1336</v>
      </c>
      <c r="B1337" t="s">
        <v>37</v>
      </c>
      <c r="C1337">
        <v>2009</v>
      </c>
      <c r="D1337" t="s">
        <v>11</v>
      </c>
      <c r="E1337">
        <v>94229</v>
      </c>
      <c r="F1337">
        <v>25000000</v>
      </c>
    </row>
    <row r="1338" spans="1:6" hidden="1" x14ac:dyDescent="0.3">
      <c r="A1338">
        <v>1337</v>
      </c>
      <c r="B1338" t="s">
        <v>37</v>
      </c>
      <c r="C1338">
        <v>2009</v>
      </c>
      <c r="D1338" t="s">
        <v>11</v>
      </c>
      <c r="E1338">
        <v>110405</v>
      </c>
      <c r="F1338">
        <v>4281000</v>
      </c>
    </row>
    <row r="1339" spans="1:6" hidden="1" x14ac:dyDescent="0.3">
      <c r="A1339">
        <v>1338</v>
      </c>
      <c r="B1339" t="s">
        <v>34</v>
      </c>
      <c r="C1339">
        <v>2009</v>
      </c>
      <c r="D1339" t="s">
        <v>9</v>
      </c>
      <c r="E1339">
        <v>44850</v>
      </c>
      <c r="F1339">
        <v>0</v>
      </c>
    </row>
    <row r="1340" spans="1:6" hidden="1" x14ac:dyDescent="0.3">
      <c r="A1340">
        <v>1339</v>
      </c>
      <c r="B1340" t="s">
        <v>34</v>
      </c>
      <c r="C1340">
        <v>2009</v>
      </c>
      <c r="D1340" t="s">
        <v>9</v>
      </c>
      <c r="E1340">
        <v>91350</v>
      </c>
      <c r="F1340">
        <v>0</v>
      </c>
    </row>
    <row r="1341" spans="1:6" hidden="1" x14ac:dyDescent="0.3">
      <c r="A1341">
        <v>1340</v>
      </c>
      <c r="B1341" t="s">
        <v>21</v>
      </c>
      <c r="C1341">
        <v>2009</v>
      </c>
      <c r="D1341" t="s">
        <v>9</v>
      </c>
      <c r="E1341">
        <v>18000</v>
      </c>
      <c r="F1341">
        <v>0</v>
      </c>
    </row>
    <row r="1342" spans="1:6" hidden="1" x14ac:dyDescent="0.3">
      <c r="A1342">
        <v>1341</v>
      </c>
      <c r="B1342" t="s">
        <v>33</v>
      </c>
      <c r="C1342">
        <v>2009</v>
      </c>
      <c r="D1342" t="s">
        <v>9</v>
      </c>
      <c r="E1342">
        <v>257786</v>
      </c>
      <c r="F1342">
        <v>60000000</v>
      </c>
    </row>
    <row r="1343" spans="1:6" hidden="1" x14ac:dyDescent="0.3">
      <c r="A1343">
        <v>1342</v>
      </c>
      <c r="B1343" t="s">
        <v>33</v>
      </c>
      <c r="C1343">
        <v>2009</v>
      </c>
      <c r="D1343" t="s">
        <v>9</v>
      </c>
      <c r="E1343">
        <v>0</v>
      </c>
      <c r="F1343">
        <v>0</v>
      </c>
    </row>
    <row r="1344" spans="1:6" hidden="1" x14ac:dyDescent="0.3">
      <c r="A1344">
        <v>1343</v>
      </c>
      <c r="B1344" t="s">
        <v>36</v>
      </c>
      <c r="C1344">
        <v>2009</v>
      </c>
      <c r="D1344" t="s">
        <v>9</v>
      </c>
      <c r="E1344">
        <v>236308</v>
      </c>
      <c r="F1344">
        <v>0</v>
      </c>
    </row>
    <row r="1345" spans="1:6" hidden="1" x14ac:dyDescent="0.3">
      <c r="A1345">
        <v>1344</v>
      </c>
      <c r="B1345" t="s">
        <v>37</v>
      </c>
      <c r="C1345">
        <v>2009</v>
      </c>
      <c r="D1345" t="s">
        <v>9</v>
      </c>
      <c r="E1345">
        <v>505102</v>
      </c>
      <c r="F1345">
        <v>22960000</v>
      </c>
    </row>
    <row r="1346" spans="1:6" hidden="1" x14ac:dyDescent="0.3">
      <c r="A1346">
        <v>1345</v>
      </c>
      <c r="B1346" t="s">
        <v>37</v>
      </c>
      <c r="C1346">
        <v>2009</v>
      </c>
      <c r="D1346" t="s">
        <v>11</v>
      </c>
      <c r="E1346">
        <v>95700</v>
      </c>
      <c r="F1346">
        <v>0</v>
      </c>
    </row>
    <row r="1347" spans="1:6" hidden="1" x14ac:dyDescent="0.3">
      <c r="A1347">
        <v>1346</v>
      </c>
      <c r="B1347" t="s">
        <v>37</v>
      </c>
      <c r="C1347">
        <v>2009</v>
      </c>
      <c r="D1347" t="s">
        <v>11</v>
      </c>
      <c r="E1347">
        <v>802175</v>
      </c>
      <c r="F1347">
        <v>15194000</v>
      </c>
    </row>
    <row r="1348" spans="1:6" hidden="1" x14ac:dyDescent="0.3">
      <c r="A1348">
        <v>1347</v>
      </c>
      <c r="B1348" t="s">
        <v>37</v>
      </c>
      <c r="C1348">
        <v>2009</v>
      </c>
      <c r="D1348" t="s">
        <v>11</v>
      </c>
      <c r="E1348">
        <v>48142</v>
      </c>
      <c r="F1348">
        <v>12000</v>
      </c>
    </row>
    <row r="1349" spans="1:6" hidden="1" x14ac:dyDescent="0.3">
      <c r="A1349">
        <v>1348</v>
      </c>
      <c r="B1349" t="s">
        <v>32</v>
      </c>
      <c r="C1349">
        <v>2009</v>
      </c>
      <c r="D1349" t="s">
        <v>9</v>
      </c>
      <c r="E1349">
        <v>79129</v>
      </c>
      <c r="F1349">
        <v>0</v>
      </c>
    </row>
    <row r="1350" spans="1:6" hidden="1" x14ac:dyDescent="0.3">
      <c r="A1350">
        <v>1349</v>
      </c>
      <c r="B1350" t="s">
        <v>24</v>
      </c>
      <c r="C1350">
        <v>2009</v>
      </c>
      <c r="D1350" t="s">
        <v>11</v>
      </c>
      <c r="E1350">
        <v>19897</v>
      </c>
      <c r="F1350">
        <v>0</v>
      </c>
    </row>
    <row r="1351" spans="1:6" hidden="1" x14ac:dyDescent="0.3">
      <c r="A1351">
        <v>1350</v>
      </c>
      <c r="B1351" t="s">
        <v>37</v>
      </c>
      <c r="C1351">
        <v>2009</v>
      </c>
      <c r="D1351" t="s">
        <v>11</v>
      </c>
      <c r="E1351">
        <v>4901763</v>
      </c>
      <c r="F1351">
        <v>237489000</v>
      </c>
    </row>
    <row r="1352" spans="1:6" hidden="1" x14ac:dyDescent="0.3">
      <c r="A1352">
        <v>1351</v>
      </c>
      <c r="B1352" t="s">
        <v>37</v>
      </c>
      <c r="C1352">
        <v>2009</v>
      </c>
      <c r="D1352" t="s">
        <v>11</v>
      </c>
      <c r="E1352">
        <v>221422</v>
      </c>
      <c r="F1352">
        <v>2888000</v>
      </c>
    </row>
    <row r="1353" spans="1:6" hidden="1" x14ac:dyDescent="0.3">
      <c r="A1353">
        <v>1352</v>
      </c>
      <c r="B1353" t="s">
        <v>43</v>
      </c>
      <c r="C1353">
        <v>2009</v>
      </c>
      <c r="D1353" t="s">
        <v>11</v>
      </c>
      <c r="E1353">
        <v>2477315</v>
      </c>
      <c r="F1353">
        <v>785000000</v>
      </c>
    </row>
    <row r="1354" spans="1:6" hidden="1" x14ac:dyDescent="0.3">
      <c r="A1354">
        <v>1353</v>
      </c>
      <c r="B1354" t="s">
        <v>43</v>
      </c>
      <c r="C1354">
        <v>2009</v>
      </c>
      <c r="D1354" t="s">
        <v>11</v>
      </c>
      <c r="E1354">
        <v>500145</v>
      </c>
      <c r="F1354">
        <v>280000000</v>
      </c>
    </row>
    <row r="1355" spans="1:6" hidden="1" x14ac:dyDescent="0.3">
      <c r="A1355">
        <v>1354</v>
      </c>
      <c r="B1355" t="s">
        <v>48</v>
      </c>
      <c r="C1355">
        <v>2009</v>
      </c>
      <c r="D1355" t="s">
        <v>7</v>
      </c>
      <c r="E1355">
        <v>2000000</v>
      </c>
      <c r="F1355">
        <v>0</v>
      </c>
    </row>
    <row r="1356" spans="1:6" hidden="1" x14ac:dyDescent="0.3">
      <c r="A1356">
        <v>1355</v>
      </c>
      <c r="B1356" t="s">
        <v>32</v>
      </c>
      <c r="C1356">
        <v>2009</v>
      </c>
      <c r="D1356" t="s">
        <v>7</v>
      </c>
      <c r="E1356">
        <v>7900000</v>
      </c>
      <c r="F1356">
        <v>0</v>
      </c>
    </row>
    <row r="1357" spans="1:6" hidden="1" x14ac:dyDescent="0.3">
      <c r="A1357">
        <v>1356</v>
      </c>
      <c r="B1357" t="s">
        <v>33</v>
      </c>
      <c r="C1357">
        <v>2009</v>
      </c>
      <c r="D1357" t="s">
        <v>7</v>
      </c>
      <c r="E1357">
        <v>303000</v>
      </c>
      <c r="F1357">
        <v>0</v>
      </c>
    </row>
    <row r="1358" spans="1:6" hidden="1" x14ac:dyDescent="0.3">
      <c r="A1358">
        <v>1357</v>
      </c>
      <c r="B1358" t="s">
        <v>17</v>
      </c>
      <c r="C1358">
        <v>2009</v>
      </c>
      <c r="D1358" t="s">
        <v>9</v>
      </c>
      <c r="E1358">
        <v>20000</v>
      </c>
      <c r="F1358">
        <v>0</v>
      </c>
    </row>
    <row r="1359" spans="1:6" hidden="1" x14ac:dyDescent="0.3">
      <c r="A1359">
        <v>1358</v>
      </c>
      <c r="B1359" t="s">
        <v>17</v>
      </c>
      <c r="C1359">
        <v>2009</v>
      </c>
      <c r="D1359" t="s">
        <v>9</v>
      </c>
      <c r="E1359">
        <v>60000</v>
      </c>
      <c r="F1359">
        <v>0</v>
      </c>
    </row>
    <row r="1360" spans="1:6" hidden="1" x14ac:dyDescent="0.3">
      <c r="A1360">
        <v>1359</v>
      </c>
      <c r="B1360" t="s">
        <v>17</v>
      </c>
      <c r="C1360">
        <v>2009</v>
      </c>
      <c r="D1360" t="s">
        <v>9</v>
      </c>
      <c r="E1360">
        <v>300000</v>
      </c>
      <c r="F1360">
        <v>0</v>
      </c>
    </row>
    <row r="1361" spans="1:6" hidden="1" x14ac:dyDescent="0.3">
      <c r="A1361">
        <v>1360</v>
      </c>
      <c r="B1361" t="s">
        <v>29</v>
      </c>
      <c r="C1361">
        <v>2009</v>
      </c>
      <c r="D1361" t="s">
        <v>9</v>
      </c>
      <c r="E1361">
        <v>7520</v>
      </c>
      <c r="F1361">
        <v>0</v>
      </c>
    </row>
    <row r="1362" spans="1:6" hidden="1" x14ac:dyDescent="0.3">
      <c r="A1362">
        <v>1361</v>
      </c>
      <c r="B1362" t="s">
        <v>21</v>
      </c>
      <c r="C1362">
        <v>2009</v>
      </c>
      <c r="D1362" t="s">
        <v>9</v>
      </c>
      <c r="E1362">
        <v>1500</v>
      </c>
      <c r="F1362">
        <v>0</v>
      </c>
    </row>
    <row r="1363" spans="1:6" hidden="1" x14ac:dyDescent="0.3">
      <c r="A1363">
        <v>1362</v>
      </c>
      <c r="B1363" t="s">
        <v>21</v>
      </c>
      <c r="C1363">
        <v>2009</v>
      </c>
      <c r="D1363" t="s">
        <v>9</v>
      </c>
      <c r="E1363">
        <v>107670</v>
      </c>
      <c r="F1363">
        <v>0</v>
      </c>
    </row>
    <row r="1364" spans="1:6" hidden="1" x14ac:dyDescent="0.3">
      <c r="A1364">
        <v>1363</v>
      </c>
      <c r="B1364" t="s">
        <v>21</v>
      </c>
      <c r="C1364">
        <v>2009</v>
      </c>
      <c r="D1364" t="s">
        <v>9</v>
      </c>
      <c r="E1364">
        <v>13014</v>
      </c>
      <c r="F1364">
        <v>0</v>
      </c>
    </row>
    <row r="1365" spans="1:6" hidden="1" x14ac:dyDescent="0.3">
      <c r="A1365">
        <v>1364</v>
      </c>
      <c r="B1365" t="s">
        <v>21</v>
      </c>
      <c r="C1365">
        <v>2009</v>
      </c>
      <c r="D1365" t="s">
        <v>9</v>
      </c>
      <c r="E1365">
        <v>0</v>
      </c>
      <c r="F1365">
        <v>0</v>
      </c>
    </row>
    <row r="1366" spans="1:6" hidden="1" x14ac:dyDescent="0.3">
      <c r="A1366">
        <v>1365</v>
      </c>
      <c r="B1366" t="s">
        <v>21</v>
      </c>
      <c r="C1366">
        <v>2009</v>
      </c>
      <c r="D1366" t="s">
        <v>11</v>
      </c>
      <c r="E1366">
        <v>40000</v>
      </c>
      <c r="F1366">
        <v>0</v>
      </c>
    </row>
    <row r="1367" spans="1:6" hidden="1" x14ac:dyDescent="0.3">
      <c r="A1367">
        <v>1366</v>
      </c>
      <c r="B1367" t="s">
        <v>24</v>
      </c>
      <c r="C1367">
        <v>2009</v>
      </c>
      <c r="D1367" t="s">
        <v>9</v>
      </c>
      <c r="E1367">
        <v>6821</v>
      </c>
      <c r="F1367">
        <v>0</v>
      </c>
    </row>
    <row r="1368" spans="1:6" hidden="1" x14ac:dyDescent="0.3">
      <c r="A1368">
        <v>1367</v>
      </c>
      <c r="B1368" t="s">
        <v>35</v>
      </c>
      <c r="C1368">
        <v>2009</v>
      </c>
      <c r="D1368" t="s">
        <v>9</v>
      </c>
      <c r="E1368">
        <v>75000</v>
      </c>
      <c r="F1368">
        <v>0</v>
      </c>
    </row>
    <row r="1369" spans="1:6" hidden="1" x14ac:dyDescent="0.3">
      <c r="A1369">
        <v>1368</v>
      </c>
      <c r="B1369" t="s">
        <v>35</v>
      </c>
      <c r="C1369">
        <v>2009</v>
      </c>
      <c r="D1369" t="s">
        <v>9</v>
      </c>
      <c r="E1369">
        <v>70</v>
      </c>
      <c r="F1369">
        <v>0</v>
      </c>
    </row>
    <row r="1370" spans="1:6" hidden="1" x14ac:dyDescent="0.3">
      <c r="A1370">
        <v>1369</v>
      </c>
      <c r="B1370" t="s">
        <v>37</v>
      </c>
      <c r="C1370">
        <v>2009</v>
      </c>
      <c r="D1370" t="s">
        <v>14</v>
      </c>
      <c r="E1370">
        <v>392</v>
      </c>
      <c r="F1370">
        <v>90000</v>
      </c>
    </row>
    <row r="1371" spans="1:6" hidden="1" x14ac:dyDescent="0.3">
      <c r="A1371">
        <v>1370</v>
      </c>
      <c r="B1371" t="s">
        <v>37</v>
      </c>
      <c r="C1371">
        <v>2009</v>
      </c>
      <c r="D1371" t="s">
        <v>9</v>
      </c>
      <c r="E1371">
        <v>920</v>
      </c>
      <c r="F1371">
        <v>0</v>
      </c>
    </row>
    <row r="1372" spans="1:6" hidden="1" x14ac:dyDescent="0.3">
      <c r="A1372">
        <v>1371</v>
      </c>
      <c r="B1372" t="s">
        <v>37</v>
      </c>
      <c r="C1372">
        <v>2009</v>
      </c>
      <c r="D1372" t="s">
        <v>9</v>
      </c>
      <c r="E1372">
        <v>1578</v>
      </c>
      <c r="F1372">
        <v>0</v>
      </c>
    </row>
    <row r="1373" spans="1:6" hidden="1" x14ac:dyDescent="0.3">
      <c r="A1373">
        <v>1372</v>
      </c>
      <c r="B1373" t="s">
        <v>37</v>
      </c>
      <c r="C1373">
        <v>2009</v>
      </c>
      <c r="D1373" t="s">
        <v>11</v>
      </c>
      <c r="E1373">
        <v>248058</v>
      </c>
      <c r="F1373">
        <v>0</v>
      </c>
    </row>
    <row r="1374" spans="1:6" hidden="1" x14ac:dyDescent="0.3">
      <c r="A1374">
        <v>1373</v>
      </c>
      <c r="B1374" t="s">
        <v>40</v>
      </c>
      <c r="C1374">
        <v>2009</v>
      </c>
      <c r="D1374" t="s">
        <v>7</v>
      </c>
      <c r="E1374">
        <v>0</v>
      </c>
      <c r="F1374">
        <v>27000000</v>
      </c>
    </row>
    <row r="1375" spans="1:6" hidden="1" x14ac:dyDescent="0.3">
      <c r="A1375">
        <v>1374</v>
      </c>
      <c r="B1375" t="s">
        <v>41</v>
      </c>
      <c r="C1375">
        <v>2009</v>
      </c>
      <c r="D1375" t="s">
        <v>9</v>
      </c>
      <c r="E1375">
        <v>1750</v>
      </c>
      <c r="F1375">
        <v>0</v>
      </c>
    </row>
    <row r="1376" spans="1:6" hidden="1" x14ac:dyDescent="0.3">
      <c r="A1376">
        <v>1375</v>
      </c>
      <c r="B1376" t="s">
        <v>43</v>
      </c>
      <c r="C1376">
        <v>2009</v>
      </c>
      <c r="D1376" t="s">
        <v>9</v>
      </c>
      <c r="E1376">
        <v>700000</v>
      </c>
      <c r="F1376">
        <v>0</v>
      </c>
    </row>
    <row r="1377" spans="1:6" hidden="1" x14ac:dyDescent="0.3">
      <c r="A1377">
        <v>1376</v>
      </c>
      <c r="B1377" t="s">
        <v>43</v>
      </c>
      <c r="C1377">
        <v>2009</v>
      </c>
      <c r="D1377" t="s">
        <v>9</v>
      </c>
      <c r="E1377">
        <v>40000</v>
      </c>
      <c r="F1377">
        <v>0</v>
      </c>
    </row>
    <row r="1378" spans="1:6" hidden="1" x14ac:dyDescent="0.3">
      <c r="A1378">
        <v>1377</v>
      </c>
      <c r="B1378" t="s">
        <v>43</v>
      </c>
      <c r="C1378">
        <v>2009</v>
      </c>
      <c r="D1378" t="s">
        <v>11</v>
      </c>
      <c r="E1378">
        <v>0</v>
      </c>
      <c r="F1378">
        <v>200000</v>
      </c>
    </row>
    <row r="1379" spans="1:6" hidden="1" x14ac:dyDescent="0.3">
      <c r="A1379">
        <v>1378</v>
      </c>
      <c r="B1379" t="s">
        <v>22</v>
      </c>
      <c r="C1379">
        <v>2010</v>
      </c>
      <c r="D1379" t="s">
        <v>11</v>
      </c>
      <c r="E1379">
        <v>192132</v>
      </c>
      <c r="F1379">
        <v>0</v>
      </c>
    </row>
    <row r="1380" spans="1:6" hidden="1" x14ac:dyDescent="0.3">
      <c r="A1380">
        <v>1379</v>
      </c>
      <c r="B1380" t="s">
        <v>21</v>
      </c>
      <c r="C1380">
        <v>2010</v>
      </c>
      <c r="D1380" t="s">
        <v>11</v>
      </c>
      <c r="E1380">
        <v>1075</v>
      </c>
      <c r="F1380">
        <v>0</v>
      </c>
    </row>
    <row r="1381" spans="1:6" hidden="1" x14ac:dyDescent="0.3">
      <c r="A1381">
        <v>1380</v>
      </c>
      <c r="B1381" t="s">
        <v>40</v>
      </c>
      <c r="C1381">
        <v>2010</v>
      </c>
      <c r="D1381" t="s">
        <v>11</v>
      </c>
      <c r="E1381">
        <v>11520</v>
      </c>
      <c r="F1381">
        <v>20000000</v>
      </c>
    </row>
    <row r="1382" spans="1:6" hidden="1" x14ac:dyDescent="0.3">
      <c r="A1382">
        <v>1381</v>
      </c>
      <c r="B1382" t="s">
        <v>33</v>
      </c>
      <c r="C1382">
        <v>2010</v>
      </c>
      <c r="D1382" t="s">
        <v>9</v>
      </c>
      <c r="E1382">
        <v>8000</v>
      </c>
      <c r="F1382">
        <v>0</v>
      </c>
    </row>
    <row r="1383" spans="1:6" hidden="1" x14ac:dyDescent="0.3">
      <c r="A1383">
        <v>1382</v>
      </c>
      <c r="B1383" t="s">
        <v>21</v>
      </c>
      <c r="C1383">
        <v>2010</v>
      </c>
      <c r="D1383" t="s">
        <v>9</v>
      </c>
      <c r="E1383">
        <v>20000</v>
      </c>
      <c r="F1383">
        <v>16000000</v>
      </c>
    </row>
    <row r="1384" spans="1:6" hidden="1" x14ac:dyDescent="0.3">
      <c r="A1384">
        <v>1383</v>
      </c>
      <c r="B1384" t="s">
        <v>21</v>
      </c>
      <c r="C1384">
        <v>2010</v>
      </c>
      <c r="D1384" t="s">
        <v>11</v>
      </c>
      <c r="E1384">
        <v>154000</v>
      </c>
      <c r="F1384">
        <v>0</v>
      </c>
    </row>
    <row r="1385" spans="1:6" hidden="1" x14ac:dyDescent="0.3">
      <c r="A1385">
        <v>1384</v>
      </c>
      <c r="B1385" t="s">
        <v>45</v>
      </c>
      <c r="C1385">
        <v>2010</v>
      </c>
      <c r="D1385" t="s">
        <v>11</v>
      </c>
      <c r="E1385">
        <v>260049</v>
      </c>
      <c r="F1385">
        <v>57000000</v>
      </c>
    </row>
    <row r="1386" spans="1:6" hidden="1" x14ac:dyDescent="0.3">
      <c r="A1386">
        <v>1385</v>
      </c>
      <c r="B1386" t="s">
        <v>34</v>
      </c>
      <c r="C1386">
        <v>2010</v>
      </c>
      <c r="D1386" t="s">
        <v>9</v>
      </c>
      <c r="E1386">
        <v>141164</v>
      </c>
      <c r="F1386">
        <v>0</v>
      </c>
    </row>
    <row r="1387" spans="1:6" hidden="1" x14ac:dyDescent="0.3">
      <c r="A1387">
        <v>1386</v>
      </c>
      <c r="B1387" t="s">
        <v>29</v>
      </c>
      <c r="C1387">
        <v>2010</v>
      </c>
      <c r="D1387" t="s">
        <v>9</v>
      </c>
      <c r="E1387">
        <v>2006</v>
      </c>
      <c r="F1387">
        <v>0</v>
      </c>
    </row>
    <row r="1388" spans="1:6" hidden="1" x14ac:dyDescent="0.3">
      <c r="A1388">
        <v>1387</v>
      </c>
      <c r="B1388" t="s">
        <v>21</v>
      </c>
      <c r="C1388">
        <v>2010</v>
      </c>
      <c r="D1388" t="s">
        <v>9</v>
      </c>
      <c r="E1388">
        <v>1000000</v>
      </c>
      <c r="F1388">
        <v>0</v>
      </c>
    </row>
    <row r="1389" spans="1:6" hidden="1" x14ac:dyDescent="0.3">
      <c r="A1389">
        <v>1388</v>
      </c>
      <c r="B1389" t="s">
        <v>33</v>
      </c>
      <c r="C1389">
        <v>2010</v>
      </c>
      <c r="D1389" t="s">
        <v>9</v>
      </c>
      <c r="E1389">
        <v>0</v>
      </c>
      <c r="F1389">
        <v>0</v>
      </c>
    </row>
    <row r="1390" spans="1:6" hidden="1" x14ac:dyDescent="0.3">
      <c r="A1390">
        <v>1389</v>
      </c>
      <c r="B1390" t="s">
        <v>35</v>
      </c>
      <c r="C1390">
        <v>2010</v>
      </c>
      <c r="D1390" t="s">
        <v>9</v>
      </c>
      <c r="E1390">
        <v>0</v>
      </c>
      <c r="F1390">
        <v>0</v>
      </c>
    </row>
    <row r="1391" spans="1:6" hidden="1" x14ac:dyDescent="0.3">
      <c r="A1391">
        <v>1390</v>
      </c>
      <c r="B1391" t="s">
        <v>37</v>
      </c>
      <c r="C1391">
        <v>2010</v>
      </c>
      <c r="D1391" t="s">
        <v>9</v>
      </c>
      <c r="E1391">
        <v>40198</v>
      </c>
      <c r="F1391">
        <v>22000</v>
      </c>
    </row>
    <row r="1392" spans="1:6" hidden="1" x14ac:dyDescent="0.3">
      <c r="A1392">
        <v>1391</v>
      </c>
      <c r="B1392" t="s">
        <v>37</v>
      </c>
      <c r="C1392">
        <v>2010</v>
      </c>
      <c r="D1392" t="s">
        <v>9</v>
      </c>
      <c r="E1392">
        <v>46713</v>
      </c>
      <c r="F1392">
        <v>3156000</v>
      </c>
    </row>
    <row r="1393" spans="1:6" hidden="1" x14ac:dyDescent="0.3">
      <c r="A1393">
        <v>1392</v>
      </c>
      <c r="B1393" t="s">
        <v>37</v>
      </c>
      <c r="C1393">
        <v>2010</v>
      </c>
      <c r="D1393" t="s">
        <v>9</v>
      </c>
      <c r="E1393">
        <v>1972446</v>
      </c>
      <c r="F1393">
        <v>47411000</v>
      </c>
    </row>
    <row r="1394" spans="1:6" hidden="1" x14ac:dyDescent="0.3">
      <c r="A1394">
        <v>1393</v>
      </c>
      <c r="B1394" t="s">
        <v>37</v>
      </c>
      <c r="C1394">
        <v>2010</v>
      </c>
      <c r="D1394" t="s">
        <v>9</v>
      </c>
      <c r="E1394">
        <v>450673</v>
      </c>
      <c r="F1394">
        <v>0</v>
      </c>
    </row>
    <row r="1395" spans="1:6" x14ac:dyDescent="0.3">
      <c r="A1395">
        <v>1394</v>
      </c>
      <c r="B1395" t="s">
        <v>42</v>
      </c>
      <c r="C1395">
        <v>2010</v>
      </c>
      <c r="D1395" t="s">
        <v>9</v>
      </c>
      <c r="E1395">
        <v>6708</v>
      </c>
      <c r="F1395">
        <v>204000000</v>
      </c>
    </row>
    <row r="1396" spans="1:6" hidden="1" x14ac:dyDescent="0.3">
      <c r="A1396">
        <v>1395</v>
      </c>
      <c r="B1396" t="s">
        <v>43</v>
      </c>
      <c r="C1396">
        <v>2010</v>
      </c>
      <c r="D1396" t="s">
        <v>11</v>
      </c>
      <c r="E1396">
        <v>12400</v>
      </c>
      <c r="F1396">
        <v>0</v>
      </c>
    </row>
    <row r="1397" spans="1:6" hidden="1" x14ac:dyDescent="0.3">
      <c r="A1397">
        <v>1396</v>
      </c>
      <c r="B1397" t="s">
        <v>40</v>
      </c>
      <c r="C1397">
        <v>2010</v>
      </c>
      <c r="D1397" t="s">
        <v>11</v>
      </c>
      <c r="E1397">
        <v>500</v>
      </c>
      <c r="F1397">
        <v>0</v>
      </c>
    </row>
    <row r="1398" spans="1:6" hidden="1" x14ac:dyDescent="0.3">
      <c r="A1398">
        <v>1397</v>
      </c>
      <c r="B1398" t="s">
        <v>21</v>
      </c>
      <c r="C1398">
        <v>2010</v>
      </c>
      <c r="D1398" t="s">
        <v>11</v>
      </c>
      <c r="E1398">
        <v>170000</v>
      </c>
      <c r="F1398">
        <v>2000000000</v>
      </c>
    </row>
    <row r="1399" spans="1:6" hidden="1" x14ac:dyDescent="0.3">
      <c r="A1399">
        <v>1398</v>
      </c>
      <c r="B1399" t="s">
        <v>21</v>
      </c>
      <c r="C1399">
        <v>2010</v>
      </c>
      <c r="D1399" t="s">
        <v>11</v>
      </c>
      <c r="E1399">
        <v>230000</v>
      </c>
      <c r="F1399">
        <v>3900000000</v>
      </c>
    </row>
    <row r="1400" spans="1:6" hidden="1" x14ac:dyDescent="0.3">
      <c r="A1400">
        <v>1399</v>
      </c>
      <c r="B1400" t="s">
        <v>35</v>
      </c>
      <c r="C1400">
        <v>2010</v>
      </c>
      <c r="D1400" t="s">
        <v>11</v>
      </c>
      <c r="E1400">
        <v>4000</v>
      </c>
      <c r="F1400">
        <v>80000000</v>
      </c>
    </row>
    <row r="1401" spans="1:6" hidden="1" x14ac:dyDescent="0.3">
      <c r="A1401">
        <v>1400</v>
      </c>
      <c r="B1401" t="s">
        <v>37</v>
      </c>
      <c r="C1401">
        <v>2010</v>
      </c>
      <c r="D1401" t="s">
        <v>11</v>
      </c>
      <c r="E1401">
        <v>585474</v>
      </c>
      <c r="F1401">
        <v>8675000</v>
      </c>
    </row>
    <row r="1402" spans="1:6" hidden="1" x14ac:dyDescent="0.3">
      <c r="A1402">
        <v>1401</v>
      </c>
      <c r="B1402" t="s">
        <v>30</v>
      </c>
      <c r="C1402">
        <v>2010</v>
      </c>
      <c r="D1402" t="s">
        <v>7</v>
      </c>
      <c r="E1402">
        <v>460000</v>
      </c>
      <c r="F1402">
        <v>0</v>
      </c>
    </row>
    <row r="1403" spans="1:6" hidden="1" x14ac:dyDescent="0.3">
      <c r="A1403">
        <v>1402</v>
      </c>
      <c r="B1403" t="s">
        <v>34</v>
      </c>
      <c r="C1403">
        <v>2010</v>
      </c>
      <c r="D1403" t="s">
        <v>7</v>
      </c>
      <c r="E1403">
        <v>4300000</v>
      </c>
      <c r="F1403">
        <v>0</v>
      </c>
    </row>
    <row r="1404" spans="1:6" hidden="1" x14ac:dyDescent="0.3">
      <c r="A1404">
        <v>1403</v>
      </c>
      <c r="B1404" t="s">
        <v>41</v>
      </c>
      <c r="C1404">
        <v>2010</v>
      </c>
      <c r="D1404" t="s">
        <v>7</v>
      </c>
      <c r="E1404">
        <v>4000000</v>
      </c>
      <c r="F1404">
        <v>0</v>
      </c>
    </row>
    <row r="1405" spans="1:6" hidden="1" x14ac:dyDescent="0.3">
      <c r="A1405">
        <v>1404</v>
      </c>
      <c r="B1405" t="s">
        <v>29</v>
      </c>
      <c r="C1405">
        <v>2010</v>
      </c>
      <c r="D1405" t="s">
        <v>9</v>
      </c>
      <c r="E1405">
        <v>75003</v>
      </c>
      <c r="F1405">
        <v>29000000</v>
      </c>
    </row>
    <row r="1406" spans="1:6" hidden="1" x14ac:dyDescent="0.3">
      <c r="A1406">
        <v>1405</v>
      </c>
      <c r="B1406" t="s">
        <v>37</v>
      </c>
      <c r="C1406">
        <v>2010</v>
      </c>
      <c r="D1406" t="s">
        <v>11</v>
      </c>
      <c r="E1406">
        <v>1045</v>
      </c>
      <c r="F1406">
        <v>0</v>
      </c>
    </row>
    <row r="1407" spans="1:6" hidden="1" x14ac:dyDescent="0.3">
      <c r="A1407">
        <v>1406</v>
      </c>
      <c r="B1407" t="s">
        <v>34</v>
      </c>
      <c r="C1407">
        <v>2010</v>
      </c>
      <c r="D1407" t="s">
        <v>9</v>
      </c>
      <c r="E1407">
        <v>70000</v>
      </c>
      <c r="F1407">
        <v>0</v>
      </c>
    </row>
    <row r="1408" spans="1:6" hidden="1" x14ac:dyDescent="0.3">
      <c r="A1408">
        <v>1407</v>
      </c>
      <c r="B1408" t="s">
        <v>17</v>
      </c>
      <c r="C1408">
        <v>2010</v>
      </c>
      <c r="D1408" t="s">
        <v>9</v>
      </c>
      <c r="E1408">
        <v>164193</v>
      </c>
      <c r="F1408">
        <v>0</v>
      </c>
    </row>
    <row r="1409" spans="1:6" hidden="1" x14ac:dyDescent="0.3">
      <c r="A1409">
        <v>1408</v>
      </c>
      <c r="B1409" t="s">
        <v>17</v>
      </c>
      <c r="C1409">
        <v>2010</v>
      </c>
      <c r="D1409" t="s">
        <v>9</v>
      </c>
      <c r="E1409">
        <v>606072</v>
      </c>
      <c r="F1409">
        <v>105000000</v>
      </c>
    </row>
    <row r="1410" spans="1:6" hidden="1" x14ac:dyDescent="0.3">
      <c r="A1410">
        <v>1409</v>
      </c>
      <c r="B1410" t="s">
        <v>21</v>
      </c>
      <c r="C1410">
        <v>2010</v>
      </c>
      <c r="D1410" t="s">
        <v>14</v>
      </c>
      <c r="E1410">
        <v>25232</v>
      </c>
      <c r="F1410">
        <v>1150000000</v>
      </c>
    </row>
    <row r="1411" spans="1:6" hidden="1" x14ac:dyDescent="0.3">
      <c r="A1411">
        <v>1410</v>
      </c>
      <c r="B1411" t="s">
        <v>30</v>
      </c>
      <c r="C1411">
        <v>2010</v>
      </c>
      <c r="D1411" t="s">
        <v>9</v>
      </c>
      <c r="E1411">
        <v>17000</v>
      </c>
      <c r="F1411">
        <v>0</v>
      </c>
    </row>
    <row r="1412" spans="1:6" hidden="1" x14ac:dyDescent="0.3">
      <c r="A1412">
        <v>1411</v>
      </c>
      <c r="B1412" t="s">
        <v>31</v>
      </c>
      <c r="C1412">
        <v>2010</v>
      </c>
      <c r="D1412" t="s">
        <v>9</v>
      </c>
      <c r="E1412">
        <v>110000</v>
      </c>
      <c r="F1412">
        <v>0</v>
      </c>
    </row>
    <row r="1413" spans="1:6" hidden="1" x14ac:dyDescent="0.3">
      <c r="A1413">
        <v>1412</v>
      </c>
      <c r="B1413" t="s">
        <v>32</v>
      </c>
      <c r="C1413">
        <v>2010</v>
      </c>
      <c r="D1413" t="s">
        <v>9</v>
      </c>
      <c r="E1413">
        <v>6615</v>
      </c>
      <c r="F1413">
        <v>0</v>
      </c>
    </row>
    <row r="1414" spans="1:6" hidden="1" x14ac:dyDescent="0.3">
      <c r="A1414">
        <v>1413</v>
      </c>
      <c r="B1414" t="s">
        <v>32</v>
      </c>
      <c r="C1414">
        <v>2010</v>
      </c>
      <c r="D1414" t="s">
        <v>9</v>
      </c>
      <c r="E1414">
        <v>226611</v>
      </c>
      <c r="F1414">
        <v>0</v>
      </c>
    </row>
    <row r="1415" spans="1:6" hidden="1" x14ac:dyDescent="0.3">
      <c r="A1415">
        <v>1414</v>
      </c>
      <c r="B1415" t="s">
        <v>24</v>
      </c>
      <c r="C1415">
        <v>2010</v>
      </c>
      <c r="D1415" t="s">
        <v>9</v>
      </c>
      <c r="E1415">
        <v>4860</v>
      </c>
      <c r="F1415">
        <v>0</v>
      </c>
    </row>
    <row r="1416" spans="1:6" hidden="1" x14ac:dyDescent="0.3">
      <c r="A1416">
        <v>1415</v>
      </c>
      <c r="B1416" t="s">
        <v>24</v>
      </c>
      <c r="C1416">
        <v>2010</v>
      </c>
      <c r="D1416" t="s">
        <v>9</v>
      </c>
      <c r="E1416">
        <v>71000</v>
      </c>
      <c r="F1416">
        <v>0</v>
      </c>
    </row>
    <row r="1417" spans="1:6" hidden="1" x14ac:dyDescent="0.3">
      <c r="A1417">
        <v>1416</v>
      </c>
      <c r="B1417" t="s">
        <v>24</v>
      </c>
      <c r="C1417">
        <v>2010</v>
      </c>
      <c r="D1417" t="s">
        <v>11</v>
      </c>
      <c r="E1417">
        <v>0</v>
      </c>
      <c r="F1417">
        <v>0</v>
      </c>
    </row>
    <row r="1418" spans="1:6" hidden="1" x14ac:dyDescent="0.3">
      <c r="A1418">
        <v>1417</v>
      </c>
      <c r="B1418" t="s">
        <v>24</v>
      </c>
      <c r="C1418">
        <v>2010</v>
      </c>
      <c r="D1418" t="s">
        <v>11</v>
      </c>
      <c r="E1418">
        <v>0</v>
      </c>
      <c r="F1418">
        <v>0</v>
      </c>
    </row>
    <row r="1419" spans="1:6" hidden="1" x14ac:dyDescent="0.3">
      <c r="A1419">
        <v>1418</v>
      </c>
      <c r="B1419" t="s">
        <v>35</v>
      </c>
      <c r="C1419">
        <v>2010</v>
      </c>
      <c r="D1419" t="s">
        <v>9</v>
      </c>
      <c r="E1419">
        <v>4000</v>
      </c>
      <c r="F1419">
        <v>0</v>
      </c>
    </row>
    <row r="1420" spans="1:6" hidden="1" x14ac:dyDescent="0.3">
      <c r="A1420">
        <v>1419</v>
      </c>
      <c r="B1420" t="s">
        <v>35</v>
      </c>
      <c r="C1420">
        <v>2010</v>
      </c>
      <c r="D1420" t="s">
        <v>9</v>
      </c>
      <c r="E1420">
        <v>20359496</v>
      </c>
      <c r="F1420">
        <v>9500000000</v>
      </c>
    </row>
    <row r="1421" spans="1:6" hidden="1" x14ac:dyDescent="0.3">
      <c r="A1421">
        <v>1420</v>
      </c>
      <c r="B1421" t="s">
        <v>35</v>
      </c>
      <c r="C1421">
        <v>2010</v>
      </c>
      <c r="D1421" t="s">
        <v>9</v>
      </c>
      <c r="E1421">
        <v>0</v>
      </c>
      <c r="F1421">
        <v>0</v>
      </c>
    </row>
    <row r="1422" spans="1:6" hidden="1" x14ac:dyDescent="0.3">
      <c r="A1422">
        <v>1421</v>
      </c>
      <c r="B1422" t="s">
        <v>36</v>
      </c>
      <c r="C1422">
        <v>2010</v>
      </c>
      <c r="D1422" t="s">
        <v>9</v>
      </c>
      <c r="E1422">
        <v>80000</v>
      </c>
      <c r="F1422">
        <v>0</v>
      </c>
    </row>
    <row r="1423" spans="1:6" hidden="1" x14ac:dyDescent="0.3">
      <c r="A1423">
        <v>1422</v>
      </c>
      <c r="B1423" t="s">
        <v>37</v>
      </c>
      <c r="C1423">
        <v>2010</v>
      </c>
      <c r="D1423" t="s">
        <v>9</v>
      </c>
      <c r="E1423">
        <v>505</v>
      </c>
      <c r="F1423">
        <v>0</v>
      </c>
    </row>
    <row r="1424" spans="1:6" hidden="1" x14ac:dyDescent="0.3">
      <c r="A1424">
        <v>1423</v>
      </c>
      <c r="B1424" t="s">
        <v>37</v>
      </c>
      <c r="C1424">
        <v>2010</v>
      </c>
      <c r="D1424" t="s">
        <v>9</v>
      </c>
      <c r="E1424">
        <v>15480</v>
      </c>
      <c r="F1424">
        <v>0</v>
      </c>
    </row>
    <row r="1425" spans="1:6" hidden="1" x14ac:dyDescent="0.3">
      <c r="A1425">
        <v>1424</v>
      </c>
      <c r="B1425" t="s">
        <v>37</v>
      </c>
      <c r="C1425">
        <v>2010</v>
      </c>
      <c r="D1425" t="s">
        <v>9</v>
      </c>
      <c r="E1425">
        <v>40000</v>
      </c>
      <c r="F1425">
        <v>0</v>
      </c>
    </row>
    <row r="1426" spans="1:6" hidden="1" x14ac:dyDescent="0.3">
      <c r="A1426">
        <v>1425</v>
      </c>
      <c r="B1426" t="s">
        <v>37</v>
      </c>
      <c r="C1426">
        <v>2010</v>
      </c>
      <c r="D1426" t="s">
        <v>9</v>
      </c>
      <c r="E1426">
        <v>200000</v>
      </c>
      <c r="F1426">
        <v>0</v>
      </c>
    </row>
    <row r="1427" spans="1:6" hidden="1" x14ac:dyDescent="0.3">
      <c r="A1427">
        <v>1426</v>
      </c>
      <c r="B1427" t="s">
        <v>37</v>
      </c>
      <c r="C1427">
        <v>2010</v>
      </c>
      <c r="D1427" t="s">
        <v>9</v>
      </c>
      <c r="E1427">
        <v>80920</v>
      </c>
      <c r="F1427">
        <v>0</v>
      </c>
    </row>
    <row r="1428" spans="1:6" hidden="1" x14ac:dyDescent="0.3">
      <c r="A1428">
        <v>1427</v>
      </c>
      <c r="B1428" t="s">
        <v>37</v>
      </c>
      <c r="C1428">
        <v>2010</v>
      </c>
      <c r="D1428" t="s">
        <v>11</v>
      </c>
      <c r="E1428">
        <v>2009026</v>
      </c>
      <c r="F1428">
        <v>275745000</v>
      </c>
    </row>
    <row r="1429" spans="1:6" hidden="1" x14ac:dyDescent="0.3">
      <c r="A1429">
        <v>1428</v>
      </c>
      <c r="B1429" t="s">
        <v>39</v>
      </c>
      <c r="C1429">
        <v>2010</v>
      </c>
      <c r="D1429" t="s">
        <v>9</v>
      </c>
      <c r="E1429">
        <v>12237</v>
      </c>
      <c r="F1429">
        <v>1111428000</v>
      </c>
    </row>
    <row r="1430" spans="1:6" hidden="1" x14ac:dyDescent="0.3">
      <c r="A1430">
        <v>1429</v>
      </c>
      <c r="B1430" t="s">
        <v>40</v>
      </c>
      <c r="C1430">
        <v>2010</v>
      </c>
      <c r="D1430" t="s">
        <v>11</v>
      </c>
      <c r="E1430">
        <v>0</v>
      </c>
      <c r="F1430">
        <v>0</v>
      </c>
    </row>
    <row r="1431" spans="1:6" hidden="1" x14ac:dyDescent="0.3">
      <c r="A1431">
        <v>1430</v>
      </c>
      <c r="B1431" t="s">
        <v>41</v>
      </c>
      <c r="C1431">
        <v>2010</v>
      </c>
      <c r="D1431" t="s">
        <v>9</v>
      </c>
      <c r="E1431">
        <v>16000</v>
      </c>
      <c r="F1431">
        <v>0</v>
      </c>
    </row>
    <row r="1432" spans="1:6" hidden="1" x14ac:dyDescent="0.3">
      <c r="A1432">
        <v>1431</v>
      </c>
      <c r="B1432" t="s">
        <v>41</v>
      </c>
      <c r="C1432">
        <v>2010</v>
      </c>
      <c r="D1432" t="s">
        <v>9</v>
      </c>
      <c r="E1432">
        <v>200</v>
      </c>
      <c r="F1432">
        <v>0</v>
      </c>
    </row>
    <row r="1433" spans="1:6" x14ac:dyDescent="0.3">
      <c r="A1433">
        <v>1432</v>
      </c>
      <c r="B1433" t="s">
        <v>42</v>
      </c>
      <c r="C1433">
        <v>2010</v>
      </c>
      <c r="D1433" t="s">
        <v>14</v>
      </c>
      <c r="E1433">
        <v>7840</v>
      </c>
      <c r="F1433">
        <v>1500000</v>
      </c>
    </row>
    <row r="1434" spans="1:6" x14ac:dyDescent="0.3">
      <c r="A1434">
        <v>1433</v>
      </c>
      <c r="B1434" t="s">
        <v>42</v>
      </c>
      <c r="C1434">
        <v>2010</v>
      </c>
      <c r="D1434" t="s">
        <v>9</v>
      </c>
      <c r="E1434">
        <v>1914</v>
      </c>
      <c r="F1434">
        <v>0</v>
      </c>
    </row>
    <row r="1435" spans="1:6" hidden="1" x14ac:dyDescent="0.3">
      <c r="A1435">
        <v>1434</v>
      </c>
      <c r="B1435" t="s">
        <v>43</v>
      </c>
      <c r="C1435">
        <v>2010</v>
      </c>
      <c r="D1435" t="s">
        <v>9</v>
      </c>
      <c r="E1435">
        <v>679825</v>
      </c>
      <c r="F1435">
        <v>142500000</v>
      </c>
    </row>
    <row r="1436" spans="1:6" hidden="1" x14ac:dyDescent="0.3">
      <c r="A1436">
        <v>1435</v>
      </c>
      <c r="B1436" t="s">
        <v>43</v>
      </c>
      <c r="C1436">
        <v>2010</v>
      </c>
      <c r="D1436" t="s">
        <v>9</v>
      </c>
      <c r="E1436">
        <v>761000</v>
      </c>
      <c r="F1436">
        <v>154000000</v>
      </c>
    </row>
    <row r="1437" spans="1:6" hidden="1" x14ac:dyDescent="0.3">
      <c r="A1437">
        <v>1436</v>
      </c>
      <c r="B1437" t="s">
        <v>43</v>
      </c>
      <c r="C1437">
        <v>2010</v>
      </c>
      <c r="D1437" t="s">
        <v>9</v>
      </c>
      <c r="E1437">
        <v>39008</v>
      </c>
      <c r="F1437">
        <v>107700000</v>
      </c>
    </row>
    <row r="1438" spans="1:6" hidden="1" x14ac:dyDescent="0.3">
      <c r="A1438">
        <v>1437</v>
      </c>
      <c r="B1438" t="s">
        <v>43</v>
      </c>
      <c r="C1438">
        <v>2010</v>
      </c>
      <c r="D1438" t="s">
        <v>9</v>
      </c>
      <c r="E1438">
        <v>10000</v>
      </c>
      <c r="F1438">
        <v>256000000</v>
      </c>
    </row>
    <row r="1439" spans="1:6" hidden="1" x14ac:dyDescent="0.3">
      <c r="A1439">
        <v>1438</v>
      </c>
      <c r="B1439" t="s">
        <v>43</v>
      </c>
      <c r="C1439">
        <v>2010</v>
      </c>
      <c r="D1439" t="s">
        <v>11</v>
      </c>
      <c r="E1439">
        <v>1500</v>
      </c>
      <c r="F1439">
        <v>500000</v>
      </c>
    </row>
    <row r="1440" spans="1:6" hidden="1" x14ac:dyDescent="0.3">
      <c r="A1440">
        <v>1439</v>
      </c>
      <c r="B1440" t="s">
        <v>43</v>
      </c>
      <c r="C1440">
        <v>2010</v>
      </c>
      <c r="D1440" t="s">
        <v>11</v>
      </c>
      <c r="E1440">
        <v>20700</v>
      </c>
      <c r="F1440">
        <v>44000000</v>
      </c>
    </row>
    <row r="1441" spans="1:6" hidden="1" x14ac:dyDescent="0.3">
      <c r="A1441">
        <v>1440</v>
      </c>
      <c r="B1441" t="s">
        <v>21</v>
      </c>
      <c r="C1441">
        <v>2011</v>
      </c>
      <c r="D1441" t="s">
        <v>11</v>
      </c>
      <c r="E1441">
        <v>450</v>
      </c>
      <c r="F1441">
        <v>0</v>
      </c>
    </row>
    <row r="1442" spans="1:6" hidden="1" x14ac:dyDescent="0.3">
      <c r="A1442">
        <v>1441</v>
      </c>
      <c r="B1442" t="s">
        <v>37</v>
      </c>
      <c r="C1442">
        <v>2011</v>
      </c>
      <c r="D1442" t="s">
        <v>11</v>
      </c>
      <c r="E1442">
        <v>430092</v>
      </c>
      <c r="F1442">
        <v>31259000</v>
      </c>
    </row>
    <row r="1443" spans="1:6" hidden="1" x14ac:dyDescent="0.3">
      <c r="A1443">
        <v>1442</v>
      </c>
      <c r="B1443" t="s">
        <v>37</v>
      </c>
      <c r="C1443">
        <v>2011</v>
      </c>
      <c r="D1443" t="s">
        <v>11</v>
      </c>
      <c r="E1443">
        <v>1152</v>
      </c>
      <c r="F1443">
        <v>0</v>
      </c>
    </row>
    <row r="1444" spans="1:6" hidden="1" x14ac:dyDescent="0.3">
      <c r="A1444">
        <v>1443</v>
      </c>
      <c r="B1444" t="s">
        <v>37</v>
      </c>
      <c r="C1444">
        <v>2011</v>
      </c>
      <c r="D1444" t="s">
        <v>11</v>
      </c>
      <c r="E1444">
        <v>1700089</v>
      </c>
      <c r="F1444">
        <v>12869000</v>
      </c>
    </row>
    <row r="1445" spans="1:6" hidden="1" x14ac:dyDescent="0.3">
      <c r="A1445">
        <v>1444</v>
      </c>
      <c r="B1445" t="s">
        <v>37</v>
      </c>
      <c r="C1445">
        <v>2011</v>
      </c>
      <c r="D1445" t="s">
        <v>11</v>
      </c>
      <c r="E1445">
        <v>1108224</v>
      </c>
      <c r="F1445">
        <v>63258000</v>
      </c>
    </row>
    <row r="1446" spans="1:6" hidden="1" x14ac:dyDescent="0.3">
      <c r="A1446">
        <v>1445</v>
      </c>
      <c r="B1446" t="s">
        <v>37</v>
      </c>
      <c r="C1446">
        <v>2011</v>
      </c>
      <c r="D1446" t="s">
        <v>11</v>
      </c>
      <c r="E1446">
        <v>8423</v>
      </c>
      <c r="F1446">
        <v>59000</v>
      </c>
    </row>
    <row r="1447" spans="1:6" hidden="1" x14ac:dyDescent="0.3">
      <c r="A1447">
        <v>1446</v>
      </c>
      <c r="B1447" t="s">
        <v>37</v>
      </c>
      <c r="C1447">
        <v>2011</v>
      </c>
      <c r="D1447" t="s">
        <v>9</v>
      </c>
      <c r="E1447">
        <v>241777</v>
      </c>
      <c r="F1447">
        <v>280000</v>
      </c>
    </row>
    <row r="1448" spans="1:6" hidden="1" x14ac:dyDescent="0.3">
      <c r="A1448">
        <v>1447</v>
      </c>
      <c r="B1448" t="s">
        <v>21</v>
      </c>
      <c r="C1448">
        <v>2011</v>
      </c>
      <c r="D1448" t="s">
        <v>11</v>
      </c>
      <c r="E1448">
        <v>300000</v>
      </c>
      <c r="F1448">
        <v>70000000</v>
      </c>
    </row>
    <row r="1449" spans="1:6" hidden="1" x14ac:dyDescent="0.3">
      <c r="A1449">
        <v>1448</v>
      </c>
      <c r="B1449" t="s">
        <v>17</v>
      </c>
      <c r="C1449">
        <v>2011</v>
      </c>
      <c r="D1449" t="s">
        <v>9</v>
      </c>
      <c r="E1449">
        <v>1060324</v>
      </c>
      <c r="F1449">
        <v>200000000</v>
      </c>
    </row>
    <row r="1450" spans="1:6" hidden="1" x14ac:dyDescent="0.3">
      <c r="A1450">
        <v>1449</v>
      </c>
      <c r="B1450" t="s">
        <v>33</v>
      </c>
      <c r="C1450">
        <v>2011</v>
      </c>
      <c r="D1450" t="s">
        <v>9</v>
      </c>
      <c r="E1450">
        <v>1858</v>
      </c>
      <c r="F1450">
        <v>0</v>
      </c>
    </row>
    <row r="1451" spans="1:6" hidden="1" x14ac:dyDescent="0.3">
      <c r="A1451">
        <v>1450</v>
      </c>
      <c r="B1451" t="s">
        <v>36</v>
      </c>
      <c r="C1451">
        <v>2011</v>
      </c>
      <c r="D1451" t="s">
        <v>9</v>
      </c>
      <c r="E1451">
        <v>10000</v>
      </c>
      <c r="F1451">
        <v>0</v>
      </c>
    </row>
    <row r="1452" spans="1:6" hidden="1" x14ac:dyDescent="0.3">
      <c r="A1452">
        <v>1451</v>
      </c>
      <c r="B1452" t="s">
        <v>37</v>
      </c>
      <c r="C1452">
        <v>2011</v>
      </c>
      <c r="D1452" t="s">
        <v>9</v>
      </c>
      <c r="E1452">
        <v>638418</v>
      </c>
      <c r="F1452">
        <v>12411000</v>
      </c>
    </row>
    <row r="1453" spans="1:6" hidden="1" x14ac:dyDescent="0.3">
      <c r="A1453">
        <v>1452</v>
      </c>
      <c r="B1453" t="s">
        <v>37</v>
      </c>
      <c r="C1453">
        <v>2011</v>
      </c>
      <c r="D1453" t="s">
        <v>9</v>
      </c>
      <c r="E1453">
        <v>944781</v>
      </c>
      <c r="F1453">
        <v>10666000</v>
      </c>
    </row>
    <row r="1454" spans="1:6" hidden="1" x14ac:dyDescent="0.3">
      <c r="A1454">
        <v>1453</v>
      </c>
      <c r="B1454" t="s">
        <v>22</v>
      </c>
      <c r="C1454">
        <v>2011</v>
      </c>
      <c r="D1454" t="s">
        <v>11</v>
      </c>
      <c r="E1454">
        <v>115215</v>
      </c>
      <c r="F1454">
        <v>0</v>
      </c>
    </row>
    <row r="1455" spans="1:6" hidden="1" x14ac:dyDescent="0.3">
      <c r="A1455">
        <v>1454</v>
      </c>
      <c r="B1455" t="s">
        <v>21</v>
      </c>
      <c r="C1455">
        <v>2011</v>
      </c>
      <c r="D1455" t="s">
        <v>11</v>
      </c>
      <c r="E1455">
        <v>200000</v>
      </c>
      <c r="F1455">
        <v>0</v>
      </c>
    </row>
    <row r="1456" spans="1:6" hidden="1" x14ac:dyDescent="0.3">
      <c r="A1456">
        <v>1455</v>
      </c>
      <c r="B1456" t="s">
        <v>43</v>
      </c>
      <c r="C1456">
        <v>2011</v>
      </c>
      <c r="D1456" t="s">
        <v>11</v>
      </c>
      <c r="E1456">
        <v>63</v>
      </c>
      <c r="F1456">
        <v>0</v>
      </c>
    </row>
    <row r="1457" spans="1:6" hidden="1" x14ac:dyDescent="0.3">
      <c r="A1457">
        <v>1456</v>
      </c>
      <c r="B1457" t="s">
        <v>48</v>
      </c>
      <c r="C1457">
        <v>2011</v>
      </c>
      <c r="D1457" t="s">
        <v>14</v>
      </c>
      <c r="E1457">
        <v>0</v>
      </c>
      <c r="F1457">
        <v>0</v>
      </c>
    </row>
    <row r="1458" spans="1:6" hidden="1" x14ac:dyDescent="0.3">
      <c r="A1458">
        <v>1457</v>
      </c>
      <c r="B1458" t="s">
        <v>17</v>
      </c>
      <c r="C1458">
        <v>2011</v>
      </c>
      <c r="D1458" t="s">
        <v>9</v>
      </c>
      <c r="E1458">
        <v>225000</v>
      </c>
      <c r="F1458">
        <v>300000000</v>
      </c>
    </row>
    <row r="1459" spans="1:6" hidden="1" x14ac:dyDescent="0.3">
      <c r="A1459">
        <v>1458</v>
      </c>
      <c r="B1459" t="s">
        <v>45</v>
      </c>
      <c r="C1459">
        <v>2011</v>
      </c>
      <c r="D1459" t="s">
        <v>14</v>
      </c>
      <c r="E1459">
        <v>21277</v>
      </c>
      <c r="F1459">
        <v>3600000</v>
      </c>
    </row>
    <row r="1460" spans="1:6" hidden="1" x14ac:dyDescent="0.3">
      <c r="A1460">
        <v>1459</v>
      </c>
      <c r="B1460" t="s">
        <v>30</v>
      </c>
      <c r="C1460">
        <v>2011</v>
      </c>
      <c r="D1460" t="s">
        <v>9</v>
      </c>
      <c r="E1460">
        <v>30000</v>
      </c>
      <c r="F1460">
        <v>0</v>
      </c>
    </row>
    <row r="1461" spans="1:6" hidden="1" x14ac:dyDescent="0.3">
      <c r="A1461">
        <v>1460</v>
      </c>
      <c r="B1461" t="s">
        <v>30</v>
      </c>
      <c r="C1461">
        <v>2011</v>
      </c>
      <c r="D1461" t="s">
        <v>9</v>
      </c>
      <c r="E1461">
        <v>33946</v>
      </c>
      <c r="F1461">
        <v>0</v>
      </c>
    </row>
    <row r="1462" spans="1:6" hidden="1" x14ac:dyDescent="0.3">
      <c r="A1462">
        <v>1461</v>
      </c>
      <c r="B1462" t="s">
        <v>30</v>
      </c>
      <c r="C1462">
        <v>2011</v>
      </c>
      <c r="D1462" t="s">
        <v>11</v>
      </c>
      <c r="E1462">
        <v>0</v>
      </c>
      <c r="F1462">
        <v>0</v>
      </c>
    </row>
    <row r="1463" spans="1:6" hidden="1" x14ac:dyDescent="0.3">
      <c r="A1463">
        <v>1462</v>
      </c>
      <c r="B1463" t="s">
        <v>31</v>
      </c>
      <c r="C1463">
        <v>2011</v>
      </c>
      <c r="D1463" t="s">
        <v>9</v>
      </c>
      <c r="E1463">
        <v>500000</v>
      </c>
      <c r="F1463">
        <v>12000000</v>
      </c>
    </row>
    <row r="1464" spans="1:6" hidden="1" x14ac:dyDescent="0.3">
      <c r="A1464">
        <v>1463</v>
      </c>
      <c r="B1464" t="s">
        <v>33</v>
      </c>
      <c r="C1464">
        <v>2011</v>
      </c>
      <c r="D1464" t="s">
        <v>9</v>
      </c>
      <c r="E1464">
        <v>0</v>
      </c>
      <c r="F1464">
        <v>0</v>
      </c>
    </row>
    <row r="1465" spans="1:6" hidden="1" x14ac:dyDescent="0.3">
      <c r="A1465">
        <v>1464</v>
      </c>
      <c r="B1465" t="s">
        <v>35</v>
      </c>
      <c r="C1465">
        <v>2011</v>
      </c>
      <c r="D1465" t="s">
        <v>14</v>
      </c>
      <c r="E1465">
        <v>1000</v>
      </c>
      <c r="F1465">
        <v>0</v>
      </c>
    </row>
    <row r="1466" spans="1:6" hidden="1" x14ac:dyDescent="0.3">
      <c r="A1466">
        <v>1465</v>
      </c>
      <c r="B1466" t="s">
        <v>35</v>
      </c>
      <c r="C1466">
        <v>2011</v>
      </c>
      <c r="D1466" t="s">
        <v>9</v>
      </c>
      <c r="E1466">
        <v>5400755</v>
      </c>
      <c r="F1466">
        <v>2500000000</v>
      </c>
    </row>
    <row r="1467" spans="1:6" hidden="1" x14ac:dyDescent="0.3">
      <c r="A1467">
        <v>1466</v>
      </c>
      <c r="B1467" t="s">
        <v>37</v>
      </c>
      <c r="C1467">
        <v>2011</v>
      </c>
      <c r="D1467" t="s">
        <v>9</v>
      </c>
      <c r="E1467">
        <v>121005</v>
      </c>
      <c r="F1467">
        <v>251000</v>
      </c>
    </row>
    <row r="1468" spans="1:6" hidden="1" x14ac:dyDescent="0.3">
      <c r="A1468">
        <v>1467</v>
      </c>
      <c r="B1468" t="s">
        <v>37</v>
      </c>
      <c r="C1468">
        <v>2011</v>
      </c>
      <c r="D1468" t="s">
        <v>9</v>
      </c>
      <c r="E1468">
        <v>2000</v>
      </c>
      <c r="F1468">
        <v>0</v>
      </c>
    </row>
    <row r="1469" spans="1:6" hidden="1" x14ac:dyDescent="0.3">
      <c r="A1469">
        <v>1468</v>
      </c>
      <c r="B1469" t="s">
        <v>37</v>
      </c>
      <c r="C1469">
        <v>2011</v>
      </c>
      <c r="D1469" t="s">
        <v>9</v>
      </c>
      <c r="E1469">
        <v>2060</v>
      </c>
      <c r="F1469">
        <v>0</v>
      </c>
    </row>
    <row r="1470" spans="1:6" hidden="1" x14ac:dyDescent="0.3">
      <c r="A1470">
        <v>1469</v>
      </c>
      <c r="B1470" t="s">
        <v>37</v>
      </c>
      <c r="C1470">
        <v>2011</v>
      </c>
      <c r="D1470" t="s">
        <v>11</v>
      </c>
      <c r="E1470">
        <v>403230</v>
      </c>
      <c r="F1470">
        <v>34452000</v>
      </c>
    </row>
    <row r="1471" spans="1:6" x14ac:dyDescent="0.3">
      <c r="A1471">
        <v>1470</v>
      </c>
      <c r="B1471" t="s">
        <v>42</v>
      </c>
      <c r="C1471">
        <v>2011</v>
      </c>
      <c r="D1471" t="s">
        <v>14</v>
      </c>
      <c r="E1471">
        <v>0</v>
      </c>
      <c r="F1471">
        <v>0</v>
      </c>
    </row>
    <row r="1472" spans="1:6" x14ac:dyDescent="0.3">
      <c r="A1472">
        <v>1471</v>
      </c>
      <c r="B1472" t="s">
        <v>42</v>
      </c>
      <c r="C1472">
        <v>2011</v>
      </c>
      <c r="D1472" t="s">
        <v>9</v>
      </c>
      <c r="E1472">
        <v>2130</v>
      </c>
      <c r="F1472">
        <v>0</v>
      </c>
    </row>
    <row r="1473" spans="1:6" hidden="1" x14ac:dyDescent="0.3">
      <c r="A1473">
        <v>1472</v>
      </c>
      <c r="B1473" t="s">
        <v>38</v>
      </c>
      <c r="C1473">
        <v>2009</v>
      </c>
      <c r="D1473" t="s">
        <v>11</v>
      </c>
      <c r="E1473">
        <v>0</v>
      </c>
      <c r="F1473">
        <v>15000000</v>
      </c>
    </row>
    <row r="1474" spans="1:6" hidden="1" x14ac:dyDescent="0.3">
      <c r="A1474">
        <v>1473</v>
      </c>
      <c r="B1474" t="s">
        <v>38</v>
      </c>
      <c r="C1474">
        <v>2009</v>
      </c>
      <c r="D1474" t="s">
        <v>9</v>
      </c>
      <c r="E1474">
        <v>20000</v>
      </c>
      <c r="F1474">
        <v>0</v>
      </c>
    </row>
    <row r="1475" spans="1:6" hidden="1" x14ac:dyDescent="0.3">
      <c r="A1475">
        <v>1474</v>
      </c>
      <c r="B1475" t="s">
        <v>46</v>
      </c>
      <c r="C1475">
        <v>2010</v>
      </c>
      <c r="D1475" t="s">
        <v>9</v>
      </c>
      <c r="E1475">
        <v>0</v>
      </c>
      <c r="F1475">
        <v>0</v>
      </c>
    </row>
    <row r="1476" spans="1:6" hidden="1" x14ac:dyDescent="0.3">
      <c r="A1476">
        <v>1475</v>
      </c>
      <c r="B1476" t="s">
        <v>38</v>
      </c>
      <c r="C1476">
        <v>2010</v>
      </c>
      <c r="D1476" t="s">
        <v>11</v>
      </c>
      <c r="E1476">
        <v>6000</v>
      </c>
      <c r="F1476">
        <v>0</v>
      </c>
    </row>
    <row r="1477" spans="1:6" hidden="1" x14ac:dyDescent="0.3">
      <c r="A1477">
        <v>1476</v>
      </c>
      <c r="B1477" t="s">
        <v>46</v>
      </c>
      <c r="C1477">
        <v>2010</v>
      </c>
      <c r="D1477" t="s">
        <v>9</v>
      </c>
      <c r="E1477">
        <v>1002</v>
      </c>
      <c r="F1477">
        <v>0</v>
      </c>
    </row>
    <row r="1478" spans="1:6" hidden="1" x14ac:dyDescent="0.3">
      <c r="A1478">
        <v>1477</v>
      </c>
      <c r="B1478" t="s">
        <v>44</v>
      </c>
      <c r="C1478">
        <v>2011</v>
      </c>
      <c r="D1478" t="s">
        <v>9</v>
      </c>
      <c r="E1478">
        <v>46695</v>
      </c>
      <c r="F1478">
        <v>0</v>
      </c>
    </row>
    <row r="1479" spans="1:6" hidden="1" x14ac:dyDescent="0.3">
      <c r="A1479">
        <v>1478</v>
      </c>
      <c r="B1479" t="s">
        <v>19</v>
      </c>
      <c r="C1479">
        <v>2011</v>
      </c>
      <c r="D1479" t="s">
        <v>9</v>
      </c>
      <c r="E1479">
        <v>528753</v>
      </c>
      <c r="F1479">
        <v>61913000</v>
      </c>
    </row>
    <row r="1480" spans="1:6" hidden="1" x14ac:dyDescent="0.3">
      <c r="A1480">
        <v>1479</v>
      </c>
      <c r="B1480" t="s">
        <v>23</v>
      </c>
      <c r="C1480">
        <v>2011</v>
      </c>
      <c r="D1480" t="s">
        <v>9</v>
      </c>
      <c r="E1480">
        <v>69798</v>
      </c>
      <c r="F1480">
        <v>0</v>
      </c>
    </row>
    <row r="1481" spans="1:6" hidden="1" x14ac:dyDescent="0.3">
      <c r="A1481">
        <v>1480</v>
      </c>
      <c r="B1481" t="s">
        <v>16</v>
      </c>
      <c r="C1481">
        <v>2011</v>
      </c>
      <c r="D1481" t="s">
        <v>14</v>
      </c>
      <c r="E1481">
        <v>575200</v>
      </c>
      <c r="F1481">
        <v>0</v>
      </c>
    </row>
    <row r="1482" spans="1:6" hidden="1" x14ac:dyDescent="0.3">
      <c r="A1482">
        <v>1481</v>
      </c>
      <c r="B1482" t="s">
        <v>8</v>
      </c>
      <c r="C1482">
        <v>2011</v>
      </c>
      <c r="D1482" t="s">
        <v>11</v>
      </c>
      <c r="E1482">
        <v>121</v>
      </c>
      <c r="F1482">
        <v>0</v>
      </c>
    </row>
    <row r="1483" spans="1:6" hidden="1" x14ac:dyDescent="0.3">
      <c r="A1483">
        <v>1482</v>
      </c>
      <c r="B1483" t="s">
        <v>6</v>
      </c>
      <c r="C1483">
        <v>2011</v>
      </c>
      <c r="D1483" t="s">
        <v>7</v>
      </c>
      <c r="E1483">
        <v>1750000</v>
      </c>
      <c r="F1483">
        <v>142000000</v>
      </c>
    </row>
    <row r="1484" spans="1:6" hidden="1" x14ac:dyDescent="0.3">
      <c r="A1484">
        <v>1483</v>
      </c>
      <c r="B1484" t="s">
        <v>26</v>
      </c>
      <c r="C1484">
        <v>2011</v>
      </c>
      <c r="D1484" t="s">
        <v>7</v>
      </c>
      <c r="E1484">
        <v>1000000</v>
      </c>
      <c r="F1484">
        <v>0</v>
      </c>
    </row>
    <row r="1485" spans="1:6" hidden="1" x14ac:dyDescent="0.3">
      <c r="A1485">
        <v>1484</v>
      </c>
      <c r="B1485" t="s">
        <v>6</v>
      </c>
      <c r="C1485">
        <v>2011</v>
      </c>
      <c r="D1485" t="s">
        <v>11</v>
      </c>
      <c r="E1485">
        <v>5</v>
      </c>
      <c r="F1485">
        <v>0</v>
      </c>
    </row>
    <row r="1486" spans="1:6" hidden="1" x14ac:dyDescent="0.3">
      <c r="A1486">
        <v>1485</v>
      </c>
      <c r="B1486" t="s">
        <v>38</v>
      </c>
      <c r="C1486">
        <v>2011</v>
      </c>
      <c r="D1486" t="s">
        <v>9</v>
      </c>
      <c r="E1486">
        <v>200321</v>
      </c>
      <c r="F1486">
        <v>211000000</v>
      </c>
    </row>
    <row r="1487" spans="1:6" hidden="1" x14ac:dyDescent="0.3">
      <c r="A1487">
        <v>1486</v>
      </c>
      <c r="B1487" t="s">
        <v>6</v>
      </c>
      <c r="C1487">
        <v>2011</v>
      </c>
      <c r="D1487" t="s">
        <v>9</v>
      </c>
      <c r="E1487">
        <v>9745</v>
      </c>
      <c r="F1487">
        <v>0</v>
      </c>
    </row>
    <row r="1488" spans="1:6" hidden="1" x14ac:dyDescent="0.3">
      <c r="A1488">
        <v>1487</v>
      </c>
      <c r="B1488" t="s">
        <v>12</v>
      </c>
      <c r="C1488">
        <v>2011</v>
      </c>
      <c r="D1488" t="s">
        <v>9</v>
      </c>
      <c r="E1488">
        <v>5500</v>
      </c>
      <c r="F1488">
        <v>0</v>
      </c>
    </row>
    <row r="1489" spans="1:6" hidden="1" x14ac:dyDescent="0.3">
      <c r="A1489">
        <v>1488</v>
      </c>
      <c r="B1489" t="s">
        <v>12</v>
      </c>
      <c r="C1489">
        <v>2011</v>
      </c>
      <c r="D1489" t="s">
        <v>9</v>
      </c>
      <c r="E1489">
        <v>20100</v>
      </c>
      <c r="F1489">
        <v>0</v>
      </c>
    </row>
    <row r="1490" spans="1:6" hidden="1" x14ac:dyDescent="0.3">
      <c r="A1490">
        <v>1489</v>
      </c>
      <c r="B1490" t="s">
        <v>25</v>
      </c>
      <c r="C1490">
        <v>2011</v>
      </c>
      <c r="D1490" t="s">
        <v>9</v>
      </c>
      <c r="E1490">
        <v>793</v>
      </c>
      <c r="F1490">
        <v>779000000</v>
      </c>
    </row>
    <row r="1491" spans="1:6" hidden="1" x14ac:dyDescent="0.3">
      <c r="A1491">
        <v>1490</v>
      </c>
      <c r="B1491" t="s">
        <v>26</v>
      </c>
      <c r="C1491">
        <v>2011</v>
      </c>
      <c r="D1491" t="s">
        <v>9</v>
      </c>
      <c r="E1491">
        <v>40200</v>
      </c>
      <c r="F1491">
        <v>0</v>
      </c>
    </row>
    <row r="1492" spans="1:6" hidden="1" x14ac:dyDescent="0.3">
      <c r="A1492">
        <v>1491</v>
      </c>
      <c r="B1492" t="s">
        <v>19</v>
      </c>
      <c r="C1492">
        <v>2011</v>
      </c>
      <c r="D1492" t="s">
        <v>14</v>
      </c>
      <c r="E1492">
        <v>400</v>
      </c>
      <c r="F1492">
        <v>0</v>
      </c>
    </row>
    <row r="1493" spans="1:6" hidden="1" x14ac:dyDescent="0.3">
      <c r="A1493">
        <v>1492</v>
      </c>
      <c r="B1493" t="s">
        <v>19</v>
      </c>
      <c r="C1493">
        <v>2011</v>
      </c>
      <c r="D1493" t="s">
        <v>9</v>
      </c>
      <c r="E1493">
        <v>0</v>
      </c>
      <c r="F1493">
        <v>0</v>
      </c>
    </row>
    <row r="1494" spans="1:6" hidden="1" x14ac:dyDescent="0.3">
      <c r="A1494">
        <v>1493</v>
      </c>
      <c r="B1494" t="s">
        <v>27</v>
      </c>
      <c r="C1494">
        <v>2011</v>
      </c>
      <c r="D1494" t="s">
        <v>9</v>
      </c>
      <c r="E1494">
        <v>2080</v>
      </c>
      <c r="F1494">
        <v>0</v>
      </c>
    </row>
    <row r="1495" spans="1:6" hidden="1" x14ac:dyDescent="0.3">
      <c r="A1495">
        <v>1494</v>
      </c>
      <c r="B1495" t="s">
        <v>20</v>
      </c>
      <c r="C1495">
        <v>2011</v>
      </c>
      <c r="D1495" t="s">
        <v>14</v>
      </c>
      <c r="E1495">
        <v>0</v>
      </c>
      <c r="F1495">
        <v>5850000</v>
      </c>
    </row>
    <row r="1496" spans="1:6" hidden="1" x14ac:dyDescent="0.3">
      <c r="A1496">
        <v>1495</v>
      </c>
      <c r="B1496" t="s">
        <v>20</v>
      </c>
      <c r="C1496">
        <v>2011</v>
      </c>
      <c r="D1496" t="s">
        <v>9</v>
      </c>
      <c r="E1496">
        <v>3000</v>
      </c>
      <c r="F1496">
        <v>0</v>
      </c>
    </row>
    <row r="1497" spans="1:6" hidden="1" x14ac:dyDescent="0.3">
      <c r="A1497">
        <v>1496</v>
      </c>
      <c r="B1497" t="s">
        <v>20</v>
      </c>
      <c r="C1497">
        <v>2011</v>
      </c>
      <c r="D1497" t="s">
        <v>9</v>
      </c>
      <c r="E1497">
        <v>54</v>
      </c>
      <c r="F1497">
        <v>0</v>
      </c>
    </row>
    <row r="1498" spans="1:6" hidden="1" x14ac:dyDescent="0.3">
      <c r="A1498">
        <v>1497</v>
      </c>
      <c r="B1498" t="s">
        <v>20</v>
      </c>
      <c r="C1498">
        <v>2011</v>
      </c>
      <c r="D1498" t="s">
        <v>9</v>
      </c>
      <c r="E1498">
        <v>3000</v>
      </c>
      <c r="F1498">
        <v>0</v>
      </c>
    </row>
    <row r="1499" spans="1:6" hidden="1" x14ac:dyDescent="0.3">
      <c r="A1499">
        <v>1498</v>
      </c>
      <c r="B1499" t="s">
        <v>16</v>
      </c>
      <c r="C1499">
        <v>2011</v>
      </c>
      <c r="D1499" t="s">
        <v>11</v>
      </c>
      <c r="E1499">
        <v>0</v>
      </c>
      <c r="F1499">
        <v>0</v>
      </c>
    </row>
    <row r="1500" spans="1:6" hidden="1" x14ac:dyDescent="0.3">
      <c r="A1500">
        <v>1499</v>
      </c>
      <c r="B1500" t="s">
        <v>16</v>
      </c>
      <c r="C1500">
        <v>2011</v>
      </c>
      <c r="D1500" t="s">
        <v>9</v>
      </c>
      <c r="E1500">
        <v>3443989</v>
      </c>
      <c r="F1500">
        <v>930000000</v>
      </c>
    </row>
    <row r="1501" spans="1:6" hidden="1" x14ac:dyDescent="0.3">
      <c r="A1501">
        <v>1500</v>
      </c>
      <c r="B1501" t="s">
        <v>16</v>
      </c>
      <c r="C1501">
        <v>2011</v>
      </c>
      <c r="D1501" t="s">
        <v>9</v>
      </c>
      <c r="E1501">
        <v>11000</v>
      </c>
      <c r="F1501">
        <v>0</v>
      </c>
    </row>
    <row r="1502" spans="1:6" hidden="1" x14ac:dyDescent="0.3">
      <c r="A1502">
        <v>1501</v>
      </c>
      <c r="B1502" t="s">
        <v>16</v>
      </c>
      <c r="C1502">
        <v>2011</v>
      </c>
      <c r="D1502" t="s">
        <v>9</v>
      </c>
      <c r="E1502">
        <v>5549080</v>
      </c>
      <c r="F1502">
        <v>0</v>
      </c>
    </row>
    <row r="1503" spans="1:6" hidden="1" x14ac:dyDescent="0.3">
      <c r="A1503">
        <v>1502</v>
      </c>
      <c r="B1503" t="s">
        <v>16</v>
      </c>
      <c r="C1503">
        <v>2011</v>
      </c>
      <c r="D1503" t="s">
        <v>9</v>
      </c>
      <c r="E1503">
        <v>200000</v>
      </c>
      <c r="F1503">
        <v>0</v>
      </c>
    </row>
    <row r="1504" spans="1:6" hidden="1" x14ac:dyDescent="0.3">
      <c r="A1504">
        <v>1503</v>
      </c>
      <c r="B1504" t="s">
        <v>16</v>
      </c>
      <c r="C1504">
        <v>2011</v>
      </c>
      <c r="D1504" t="s">
        <v>9</v>
      </c>
      <c r="E1504">
        <v>2100000</v>
      </c>
      <c r="F1504">
        <v>432000000</v>
      </c>
    </row>
    <row r="1505" spans="1:6" hidden="1" x14ac:dyDescent="0.3">
      <c r="A1505">
        <v>1504</v>
      </c>
      <c r="B1505" t="s">
        <v>16</v>
      </c>
      <c r="C1505">
        <v>2011</v>
      </c>
      <c r="D1505" t="s">
        <v>9</v>
      </c>
      <c r="E1505">
        <v>0</v>
      </c>
      <c r="F1505">
        <v>20000000</v>
      </c>
    </row>
    <row r="1506" spans="1:6" hidden="1" x14ac:dyDescent="0.3">
      <c r="A1506">
        <v>1505</v>
      </c>
      <c r="B1506" t="s">
        <v>16</v>
      </c>
      <c r="C1506">
        <v>2011</v>
      </c>
      <c r="D1506" t="s">
        <v>11</v>
      </c>
      <c r="E1506">
        <v>250000</v>
      </c>
      <c r="F1506">
        <v>375625000</v>
      </c>
    </row>
    <row r="1507" spans="1:6" hidden="1" x14ac:dyDescent="0.3">
      <c r="A1507">
        <v>1506</v>
      </c>
      <c r="B1507" t="s">
        <v>25</v>
      </c>
      <c r="C1507">
        <v>2012</v>
      </c>
      <c r="D1507" t="s">
        <v>9</v>
      </c>
      <c r="E1507">
        <v>45</v>
      </c>
      <c r="F1507">
        <v>0</v>
      </c>
    </row>
    <row r="1508" spans="1:6" hidden="1" x14ac:dyDescent="0.3">
      <c r="A1508">
        <v>1507</v>
      </c>
      <c r="B1508" t="s">
        <v>27</v>
      </c>
      <c r="C1508">
        <v>2012</v>
      </c>
      <c r="D1508" t="s">
        <v>11</v>
      </c>
      <c r="E1508">
        <v>201850</v>
      </c>
      <c r="F1508">
        <v>254000000</v>
      </c>
    </row>
    <row r="1509" spans="1:6" hidden="1" x14ac:dyDescent="0.3">
      <c r="A1509">
        <v>1508</v>
      </c>
      <c r="B1509" t="s">
        <v>20</v>
      </c>
      <c r="C1509">
        <v>2012</v>
      </c>
      <c r="D1509" t="s">
        <v>11</v>
      </c>
      <c r="E1509">
        <v>10060</v>
      </c>
      <c r="F1509">
        <v>1000000</v>
      </c>
    </row>
    <row r="1510" spans="1:6" hidden="1" x14ac:dyDescent="0.3">
      <c r="A1510">
        <v>1509</v>
      </c>
      <c r="B1510" t="s">
        <v>16</v>
      </c>
      <c r="C1510">
        <v>2012</v>
      </c>
      <c r="D1510" t="s">
        <v>11</v>
      </c>
      <c r="E1510">
        <v>70000</v>
      </c>
      <c r="F1510">
        <v>0</v>
      </c>
    </row>
    <row r="1511" spans="1:6" hidden="1" x14ac:dyDescent="0.3">
      <c r="A1511">
        <v>1510</v>
      </c>
      <c r="B1511" t="s">
        <v>25</v>
      </c>
      <c r="C1511">
        <v>2012</v>
      </c>
      <c r="D1511" t="s">
        <v>9</v>
      </c>
      <c r="E1511">
        <v>56</v>
      </c>
      <c r="F1511">
        <v>0</v>
      </c>
    </row>
    <row r="1512" spans="1:6" hidden="1" x14ac:dyDescent="0.3">
      <c r="A1512">
        <v>1511</v>
      </c>
      <c r="B1512" t="s">
        <v>6</v>
      </c>
      <c r="C1512">
        <v>2012</v>
      </c>
      <c r="D1512" t="s">
        <v>14</v>
      </c>
      <c r="E1512">
        <v>237</v>
      </c>
      <c r="F1512">
        <v>0</v>
      </c>
    </row>
    <row r="1513" spans="1:6" hidden="1" x14ac:dyDescent="0.3">
      <c r="A1513">
        <v>1512</v>
      </c>
      <c r="B1513" t="s">
        <v>6</v>
      </c>
      <c r="C1513">
        <v>2012</v>
      </c>
      <c r="D1513" t="s">
        <v>9</v>
      </c>
      <c r="E1513">
        <v>230</v>
      </c>
      <c r="F1513">
        <v>0</v>
      </c>
    </row>
    <row r="1514" spans="1:6" hidden="1" x14ac:dyDescent="0.3">
      <c r="A1514">
        <v>1513</v>
      </c>
      <c r="B1514" t="s">
        <v>6</v>
      </c>
      <c r="C1514">
        <v>2012</v>
      </c>
      <c r="D1514" t="s">
        <v>9</v>
      </c>
      <c r="E1514">
        <v>4300</v>
      </c>
      <c r="F1514">
        <v>0</v>
      </c>
    </row>
    <row r="1515" spans="1:6" hidden="1" x14ac:dyDescent="0.3">
      <c r="A1515">
        <v>1514</v>
      </c>
      <c r="B1515" t="s">
        <v>8</v>
      </c>
      <c r="C1515">
        <v>2012</v>
      </c>
      <c r="D1515" t="s">
        <v>9</v>
      </c>
      <c r="E1515">
        <v>5148475</v>
      </c>
      <c r="F1515">
        <v>0</v>
      </c>
    </row>
    <row r="1516" spans="1:6" hidden="1" x14ac:dyDescent="0.3">
      <c r="A1516">
        <v>1515</v>
      </c>
      <c r="B1516" t="s">
        <v>44</v>
      </c>
      <c r="C1516">
        <v>2012</v>
      </c>
      <c r="D1516" t="s">
        <v>9</v>
      </c>
      <c r="E1516">
        <v>9523</v>
      </c>
      <c r="F1516">
        <v>0</v>
      </c>
    </row>
    <row r="1517" spans="1:6" hidden="1" x14ac:dyDescent="0.3">
      <c r="A1517">
        <v>1516</v>
      </c>
      <c r="B1517" t="s">
        <v>27</v>
      </c>
      <c r="C1517">
        <v>2012</v>
      </c>
      <c r="D1517" t="s">
        <v>9</v>
      </c>
      <c r="E1517">
        <v>11000</v>
      </c>
      <c r="F1517">
        <v>0</v>
      </c>
    </row>
    <row r="1518" spans="1:6" hidden="1" x14ac:dyDescent="0.3">
      <c r="A1518">
        <v>1517</v>
      </c>
      <c r="B1518" t="s">
        <v>20</v>
      </c>
      <c r="C1518">
        <v>2012</v>
      </c>
      <c r="D1518" t="s">
        <v>9</v>
      </c>
      <c r="E1518">
        <v>3770</v>
      </c>
      <c r="F1518">
        <v>0</v>
      </c>
    </row>
    <row r="1519" spans="1:6" hidden="1" x14ac:dyDescent="0.3">
      <c r="A1519">
        <v>1518</v>
      </c>
      <c r="B1519" t="s">
        <v>20</v>
      </c>
      <c r="C1519">
        <v>2012</v>
      </c>
      <c r="D1519" t="s">
        <v>9</v>
      </c>
      <c r="E1519">
        <v>625</v>
      </c>
      <c r="F1519">
        <v>0</v>
      </c>
    </row>
    <row r="1520" spans="1:6" hidden="1" x14ac:dyDescent="0.3">
      <c r="A1520">
        <v>1519</v>
      </c>
      <c r="B1520" t="s">
        <v>20</v>
      </c>
      <c r="C1520">
        <v>2012</v>
      </c>
      <c r="D1520" t="s">
        <v>9</v>
      </c>
      <c r="E1520">
        <v>10500</v>
      </c>
      <c r="F1520">
        <v>0</v>
      </c>
    </row>
    <row r="1521" spans="1:6" hidden="1" x14ac:dyDescent="0.3">
      <c r="A1521">
        <v>1520</v>
      </c>
      <c r="B1521" t="s">
        <v>16</v>
      </c>
      <c r="C1521">
        <v>2012</v>
      </c>
      <c r="D1521" t="s">
        <v>9</v>
      </c>
      <c r="E1521">
        <v>2200000</v>
      </c>
      <c r="F1521">
        <v>0</v>
      </c>
    </row>
    <row r="1522" spans="1:6" hidden="1" x14ac:dyDescent="0.3">
      <c r="A1522">
        <v>1521</v>
      </c>
      <c r="B1522" t="s">
        <v>16</v>
      </c>
      <c r="C1522">
        <v>2012</v>
      </c>
      <c r="D1522" t="s">
        <v>9</v>
      </c>
      <c r="E1522">
        <v>1200</v>
      </c>
      <c r="F1522">
        <v>110000000</v>
      </c>
    </row>
    <row r="1523" spans="1:6" hidden="1" x14ac:dyDescent="0.3">
      <c r="A1523">
        <v>1522</v>
      </c>
      <c r="B1523" t="s">
        <v>16</v>
      </c>
      <c r="C1523">
        <v>2012</v>
      </c>
      <c r="D1523" t="s">
        <v>9</v>
      </c>
      <c r="E1523">
        <v>200</v>
      </c>
      <c r="F1523">
        <v>20000000</v>
      </c>
    </row>
    <row r="1524" spans="1:6" hidden="1" x14ac:dyDescent="0.3">
      <c r="A1524">
        <v>1523</v>
      </c>
      <c r="B1524" t="s">
        <v>16</v>
      </c>
      <c r="C1524">
        <v>2012</v>
      </c>
      <c r="D1524" t="s">
        <v>9</v>
      </c>
      <c r="E1524">
        <v>2000000</v>
      </c>
      <c r="F1524">
        <v>98000000</v>
      </c>
    </row>
    <row r="1525" spans="1:6" hidden="1" x14ac:dyDescent="0.3">
      <c r="A1525">
        <v>1524</v>
      </c>
      <c r="B1525" t="s">
        <v>16</v>
      </c>
      <c r="C1525">
        <v>2012</v>
      </c>
      <c r="D1525" t="s">
        <v>9</v>
      </c>
      <c r="E1525">
        <v>9460</v>
      </c>
      <c r="F1525">
        <v>16000000</v>
      </c>
    </row>
    <row r="1526" spans="1:6" hidden="1" x14ac:dyDescent="0.3">
      <c r="A1526">
        <v>1525</v>
      </c>
      <c r="B1526" t="s">
        <v>15</v>
      </c>
      <c r="C1526">
        <v>2012</v>
      </c>
      <c r="D1526" t="s">
        <v>9</v>
      </c>
      <c r="E1526">
        <v>37950</v>
      </c>
      <c r="F1526">
        <v>4400000</v>
      </c>
    </row>
    <row r="1527" spans="1:6" hidden="1" x14ac:dyDescent="0.3">
      <c r="A1527">
        <v>1526</v>
      </c>
      <c r="B1527" t="s">
        <v>8</v>
      </c>
      <c r="C1527">
        <v>2012</v>
      </c>
      <c r="D1527" t="s">
        <v>11</v>
      </c>
      <c r="E1527">
        <v>55121</v>
      </c>
      <c r="F1527">
        <v>0</v>
      </c>
    </row>
    <row r="1528" spans="1:6" hidden="1" x14ac:dyDescent="0.3">
      <c r="A1528">
        <v>1527</v>
      </c>
      <c r="B1528" t="s">
        <v>19</v>
      </c>
      <c r="C1528">
        <v>2012</v>
      </c>
      <c r="D1528" t="s">
        <v>7</v>
      </c>
      <c r="E1528">
        <v>266485</v>
      </c>
      <c r="F1528">
        <v>0</v>
      </c>
    </row>
    <row r="1529" spans="1:6" hidden="1" x14ac:dyDescent="0.3">
      <c r="A1529">
        <v>1528</v>
      </c>
      <c r="B1529" t="s">
        <v>12</v>
      </c>
      <c r="C1529">
        <v>2012</v>
      </c>
      <c r="D1529" t="s">
        <v>7</v>
      </c>
      <c r="E1529">
        <v>1833900</v>
      </c>
      <c r="F1529">
        <v>0</v>
      </c>
    </row>
    <row r="1530" spans="1:6" hidden="1" x14ac:dyDescent="0.3">
      <c r="A1530">
        <v>1529</v>
      </c>
      <c r="B1530" t="s">
        <v>6</v>
      </c>
      <c r="C1530">
        <v>2012</v>
      </c>
      <c r="D1530" t="s">
        <v>9</v>
      </c>
      <c r="E1530">
        <v>13151</v>
      </c>
      <c r="F1530">
        <v>0</v>
      </c>
    </row>
    <row r="1531" spans="1:6" hidden="1" x14ac:dyDescent="0.3">
      <c r="A1531">
        <v>1530</v>
      </c>
      <c r="B1531" t="s">
        <v>6</v>
      </c>
      <c r="C1531">
        <v>2012</v>
      </c>
      <c r="D1531" t="s">
        <v>9</v>
      </c>
      <c r="E1531">
        <v>27769</v>
      </c>
      <c r="F1531">
        <v>0</v>
      </c>
    </row>
    <row r="1532" spans="1:6" hidden="1" x14ac:dyDescent="0.3">
      <c r="A1532">
        <v>1531</v>
      </c>
      <c r="B1532" t="s">
        <v>6</v>
      </c>
      <c r="C1532">
        <v>2012</v>
      </c>
      <c r="D1532" t="s">
        <v>9</v>
      </c>
      <c r="E1532">
        <v>0</v>
      </c>
      <c r="F1532">
        <v>0</v>
      </c>
    </row>
    <row r="1533" spans="1:6" hidden="1" x14ac:dyDescent="0.3">
      <c r="A1533">
        <v>1532</v>
      </c>
      <c r="B1533" t="s">
        <v>6</v>
      </c>
      <c r="C1533">
        <v>2012</v>
      </c>
      <c r="D1533" t="s">
        <v>9</v>
      </c>
      <c r="E1533">
        <v>5700</v>
      </c>
      <c r="F1533">
        <v>0</v>
      </c>
    </row>
    <row r="1534" spans="1:6" hidden="1" x14ac:dyDescent="0.3">
      <c r="A1534">
        <v>1533</v>
      </c>
      <c r="B1534" t="s">
        <v>13</v>
      </c>
      <c r="C1534">
        <v>2012</v>
      </c>
      <c r="D1534" t="s">
        <v>14</v>
      </c>
      <c r="E1534">
        <v>15550</v>
      </c>
      <c r="F1534">
        <v>0</v>
      </c>
    </row>
    <row r="1535" spans="1:6" hidden="1" x14ac:dyDescent="0.3">
      <c r="A1535">
        <v>1534</v>
      </c>
      <c r="B1535" t="s">
        <v>13</v>
      </c>
      <c r="C1535">
        <v>2012</v>
      </c>
      <c r="D1535" t="s">
        <v>14</v>
      </c>
      <c r="E1535">
        <v>6949</v>
      </c>
      <c r="F1535">
        <v>0</v>
      </c>
    </row>
    <row r="1536" spans="1:6" hidden="1" x14ac:dyDescent="0.3">
      <c r="A1536">
        <v>1535</v>
      </c>
      <c r="B1536" t="s">
        <v>8</v>
      </c>
      <c r="C1536">
        <v>2012</v>
      </c>
      <c r="D1536" t="s">
        <v>9</v>
      </c>
      <c r="E1536">
        <v>250000</v>
      </c>
      <c r="F1536">
        <v>0</v>
      </c>
    </row>
    <row r="1537" spans="1:6" hidden="1" x14ac:dyDescent="0.3">
      <c r="A1537">
        <v>1536</v>
      </c>
      <c r="B1537" t="s">
        <v>8</v>
      </c>
      <c r="C1537">
        <v>2012</v>
      </c>
      <c r="D1537" t="s">
        <v>11</v>
      </c>
      <c r="E1537">
        <v>129558</v>
      </c>
      <c r="F1537">
        <v>0</v>
      </c>
    </row>
    <row r="1538" spans="1:6" hidden="1" x14ac:dyDescent="0.3">
      <c r="A1538">
        <v>1537</v>
      </c>
      <c r="B1538" t="s">
        <v>15</v>
      </c>
      <c r="C1538">
        <v>2012</v>
      </c>
      <c r="D1538" t="s">
        <v>14</v>
      </c>
      <c r="E1538">
        <v>210</v>
      </c>
      <c r="F1538">
        <v>0</v>
      </c>
    </row>
    <row r="1539" spans="1:6" hidden="1" x14ac:dyDescent="0.3">
      <c r="A1539">
        <v>1538</v>
      </c>
      <c r="B1539" t="s">
        <v>44</v>
      </c>
      <c r="C1539">
        <v>2012</v>
      </c>
      <c r="D1539" t="s">
        <v>14</v>
      </c>
      <c r="E1539">
        <v>762</v>
      </c>
      <c r="F1539">
        <v>45000000</v>
      </c>
    </row>
    <row r="1540" spans="1:6" hidden="1" x14ac:dyDescent="0.3">
      <c r="A1540">
        <v>1539</v>
      </c>
      <c r="B1540" t="s">
        <v>19</v>
      </c>
      <c r="C1540">
        <v>2012</v>
      </c>
      <c r="D1540" t="s">
        <v>14</v>
      </c>
      <c r="E1540">
        <v>1321742</v>
      </c>
      <c r="F1540">
        <v>210000000</v>
      </c>
    </row>
    <row r="1541" spans="1:6" hidden="1" x14ac:dyDescent="0.3">
      <c r="A1541">
        <v>1540</v>
      </c>
      <c r="B1541" t="s">
        <v>23</v>
      </c>
      <c r="C1541">
        <v>2012</v>
      </c>
      <c r="D1541" t="s">
        <v>7</v>
      </c>
      <c r="E1541">
        <v>125000</v>
      </c>
      <c r="F1541">
        <v>0</v>
      </c>
    </row>
    <row r="1542" spans="1:6" hidden="1" x14ac:dyDescent="0.3">
      <c r="A1542">
        <v>1541</v>
      </c>
      <c r="B1542" t="s">
        <v>27</v>
      </c>
      <c r="C1542">
        <v>2012</v>
      </c>
      <c r="D1542" t="s">
        <v>9</v>
      </c>
      <c r="E1542">
        <v>7600</v>
      </c>
      <c r="F1542">
        <v>0</v>
      </c>
    </row>
    <row r="1543" spans="1:6" hidden="1" x14ac:dyDescent="0.3">
      <c r="A1543">
        <v>1542</v>
      </c>
      <c r="B1543" t="s">
        <v>27</v>
      </c>
      <c r="C1543">
        <v>2012</v>
      </c>
      <c r="D1543" t="s">
        <v>9</v>
      </c>
      <c r="E1543">
        <v>7865</v>
      </c>
      <c r="F1543">
        <v>0</v>
      </c>
    </row>
    <row r="1544" spans="1:6" hidden="1" x14ac:dyDescent="0.3">
      <c r="A1544">
        <v>1543</v>
      </c>
      <c r="B1544" t="s">
        <v>27</v>
      </c>
      <c r="C1544">
        <v>2012</v>
      </c>
      <c r="D1544" t="s">
        <v>11</v>
      </c>
      <c r="E1544">
        <v>8007</v>
      </c>
      <c r="F1544">
        <v>0</v>
      </c>
    </row>
    <row r="1545" spans="1:6" hidden="1" x14ac:dyDescent="0.3">
      <c r="A1545">
        <v>1544</v>
      </c>
      <c r="B1545" t="s">
        <v>20</v>
      </c>
      <c r="C1545">
        <v>2012</v>
      </c>
      <c r="D1545" t="s">
        <v>11</v>
      </c>
      <c r="E1545">
        <v>490</v>
      </c>
      <c r="F1545">
        <v>0</v>
      </c>
    </row>
    <row r="1546" spans="1:6" hidden="1" x14ac:dyDescent="0.3">
      <c r="A1546">
        <v>1545</v>
      </c>
      <c r="B1546" t="s">
        <v>20</v>
      </c>
      <c r="C1546">
        <v>2012</v>
      </c>
      <c r="D1546" t="s">
        <v>14</v>
      </c>
      <c r="E1546">
        <v>107</v>
      </c>
      <c r="F1546">
        <v>0</v>
      </c>
    </row>
    <row r="1547" spans="1:6" hidden="1" x14ac:dyDescent="0.3">
      <c r="A1547">
        <v>1546</v>
      </c>
      <c r="B1547" t="s">
        <v>20</v>
      </c>
      <c r="C1547">
        <v>2012</v>
      </c>
      <c r="D1547" t="s">
        <v>14</v>
      </c>
      <c r="E1547">
        <v>7883</v>
      </c>
      <c r="F1547">
        <v>0</v>
      </c>
    </row>
    <row r="1548" spans="1:6" hidden="1" x14ac:dyDescent="0.3">
      <c r="A1548">
        <v>1547</v>
      </c>
      <c r="B1548" t="s">
        <v>20</v>
      </c>
      <c r="C1548">
        <v>2012</v>
      </c>
      <c r="D1548" t="s">
        <v>9</v>
      </c>
      <c r="E1548">
        <v>1150</v>
      </c>
      <c r="F1548">
        <v>0</v>
      </c>
    </row>
    <row r="1549" spans="1:6" hidden="1" x14ac:dyDescent="0.3">
      <c r="A1549">
        <v>1548</v>
      </c>
      <c r="B1549" t="s">
        <v>20</v>
      </c>
      <c r="C1549">
        <v>2012</v>
      </c>
      <c r="D1549" t="s">
        <v>9</v>
      </c>
      <c r="E1549">
        <v>1045</v>
      </c>
      <c r="F1549">
        <v>0</v>
      </c>
    </row>
    <row r="1550" spans="1:6" hidden="1" x14ac:dyDescent="0.3">
      <c r="A1550">
        <v>1549</v>
      </c>
      <c r="B1550" t="s">
        <v>20</v>
      </c>
      <c r="C1550">
        <v>2012</v>
      </c>
      <c r="D1550" t="s">
        <v>9</v>
      </c>
      <c r="E1550">
        <v>15210</v>
      </c>
      <c r="F1550">
        <v>0</v>
      </c>
    </row>
    <row r="1551" spans="1:6" hidden="1" x14ac:dyDescent="0.3">
      <c r="A1551">
        <v>1550</v>
      </c>
      <c r="B1551" t="s">
        <v>20</v>
      </c>
      <c r="C1551">
        <v>2012</v>
      </c>
      <c r="D1551" t="s">
        <v>9</v>
      </c>
      <c r="E1551">
        <v>1020</v>
      </c>
      <c r="F1551">
        <v>0</v>
      </c>
    </row>
    <row r="1552" spans="1:6" hidden="1" x14ac:dyDescent="0.3">
      <c r="A1552">
        <v>1551</v>
      </c>
      <c r="B1552" t="s">
        <v>16</v>
      </c>
      <c r="C1552">
        <v>2012</v>
      </c>
      <c r="D1552" t="s">
        <v>9</v>
      </c>
      <c r="E1552">
        <v>37500</v>
      </c>
      <c r="F1552">
        <v>0</v>
      </c>
    </row>
    <row r="1553" spans="1:6" hidden="1" x14ac:dyDescent="0.3">
      <c r="A1553">
        <v>1552</v>
      </c>
      <c r="B1553" t="s">
        <v>6</v>
      </c>
      <c r="C1553">
        <v>2013</v>
      </c>
      <c r="D1553" t="s">
        <v>9</v>
      </c>
      <c r="E1553">
        <v>5000</v>
      </c>
      <c r="F1553">
        <v>0</v>
      </c>
    </row>
    <row r="1554" spans="1:6" hidden="1" x14ac:dyDescent="0.3">
      <c r="A1554">
        <v>1553</v>
      </c>
      <c r="B1554" t="s">
        <v>20</v>
      </c>
      <c r="C1554">
        <v>2013</v>
      </c>
      <c r="D1554" t="s">
        <v>14</v>
      </c>
      <c r="E1554">
        <v>55935</v>
      </c>
      <c r="F1554">
        <v>130000000</v>
      </c>
    </row>
    <row r="1555" spans="1:6" hidden="1" x14ac:dyDescent="0.3">
      <c r="A1555">
        <v>1554</v>
      </c>
      <c r="B1555" t="s">
        <v>20</v>
      </c>
      <c r="C1555">
        <v>2013</v>
      </c>
      <c r="D1555" t="s">
        <v>9</v>
      </c>
      <c r="E1555">
        <v>58040</v>
      </c>
      <c r="F1555">
        <v>2000000</v>
      </c>
    </row>
    <row r="1556" spans="1:6" hidden="1" x14ac:dyDescent="0.3">
      <c r="A1556">
        <v>1555</v>
      </c>
      <c r="B1556" t="s">
        <v>20</v>
      </c>
      <c r="C1556">
        <v>2013</v>
      </c>
      <c r="D1556" t="s">
        <v>9</v>
      </c>
      <c r="E1556">
        <v>8140</v>
      </c>
      <c r="F1556">
        <v>0</v>
      </c>
    </row>
    <row r="1557" spans="1:6" hidden="1" x14ac:dyDescent="0.3">
      <c r="A1557">
        <v>1556</v>
      </c>
      <c r="B1557" t="s">
        <v>16</v>
      </c>
      <c r="C1557">
        <v>2013</v>
      </c>
      <c r="D1557" t="s">
        <v>9</v>
      </c>
      <c r="E1557">
        <v>504473</v>
      </c>
      <c r="F1557">
        <v>1100000000</v>
      </c>
    </row>
    <row r="1558" spans="1:6" hidden="1" x14ac:dyDescent="0.3">
      <c r="A1558">
        <v>1557</v>
      </c>
      <c r="B1558" t="s">
        <v>6</v>
      </c>
      <c r="C1558">
        <v>2013</v>
      </c>
      <c r="D1558" t="s">
        <v>14</v>
      </c>
      <c r="E1558">
        <v>3531</v>
      </c>
      <c r="F1558">
        <v>0</v>
      </c>
    </row>
    <row r="1559" spans="1:6" hidden="1" x14ac:dyDescent="0.3">
      <c r="A1559">
        <v>1558</v>
      </c>
      <c r="B1559" t="s">
        <v>6</v>
      </c>
      <c r="C1559">
        <v>2013</v>
      </c>
      <c r="D1559" t="s">
        <v>9</v>
      </c>
      <c r="E1559">
        <v>9500</v>
      </c>
      <c r="F1559">
        <v>0</v>
      </c>
    </row>
    <row r="1560" spans="1:6" hidden="1" x14ac:dyDescent="0.3">
      <c r="A1560">
        <v>1559</v>
      </c>
      <c r="B1560" t="s">
        <v>6</v>
      </c>
      <c r="C1560">
        <v>2013</v>
      </c>
      <c r="D1560" t="s">
        <v>9</v>
      </c>
      <c r="E1560">
        <v>2597</v>
      </c>
      <c r="F1560">
        <v>0</v>
      </c>
    </row>
    <row r="1561" spans="1:6" hidden="1" x14ac:dyDescent="0.3">
      <c r="A1561">
        <v>1560</v>
      </c>
      <c r="B1561" t="s">
        <v>6</v>
      </c>
      <c r="C1561">
        <v>2013</v>
      </c>
      <c r="D1561" t="s">
        <v>9</v>
      </c>
      <c r="E1561">
        <v>0</v>
      </c>
      <c r="F1561">
        <v>0</v>
      </c>
    </row>
    <row r="1562" spans="1:6" hidden="1" x14ac:dyDescent="0.3">
      <c r="A1562">
        <v>1561</v>
      </c>
      <c r="B1562" t="s">
        <v>12</v>
      </c>
      <c r="C1562">
        <v>2013</v>
      </c>
      <c r="D1562" t="s">
        <v>9</v>
      </c>
      <c r="E1562">
        <v>1000</v>
      </c>
      <c r="F1562">
        <v>0</v>
      </c>
    </row>
    <row r="1563" spans="1:6" hidden="1" x14ac:dyDescent="0.3">
      <c r="A1563">
        <v>1562</v>
      </c>
      <c r="B1563" t="s">
        <v>8</v>
      </c>
      <c r="C1563">
        <v>2013</v>
      </c>
      <c r="D1563" t="s">
        <v>11</v>
      </c>
      <c r="E1563">
        <v>25020</v>
      </c>
      <c r="F1563">
        <v>0</v>
      </c>
    </row>
    <row r="1564" spans="1:6" hidden="1" x14ac:dyDescent="0.3">
      <c r="A1564">
        <v>1563</v>
      </c>
      <c r="B1564" t="s">
        <v>8</v>
      </c>
      <c r="C1564">
        <v>2013</v>
      </c>
      <c r="D1564" t="s">
        <v>11</v>
      </c>
      <c r="E1564">
        <v>8543</v>
      </c>
      <c r="F1564">
        <v>20000000</v>
      </c>
    </row>
    <row r="1565" spans="1:6" hidden="1" x14ac:dyDescent="0.3">
      <c r="A1565">
        <v>1564</v>
      </c>
      <c r="B1565" t="s">
        <v>8</v>
      </c>
      <c r="C1565">
        <v>2013</v>
      </c>
      <c r="D1565" t="s">
        <v>11</v>
      </c>
      <c r="E1565">
        <v>1498644</v>
      </c>
      <c r="F1565">
        <v>0</v>
      </c>
    </row>
    <row r="1566" spans="1:6" hidden="1" x14ac:dyDescent="0.3">
      <c r="A1566">
        <v>1565</v>
      </c>
      <c r="B1566" t="s">
        <v>26</v>
      </c>
      <c r="C1566">
        <v>2013</v>
      </c>
      <c r="D1566" t="s">
        <v>9</v>
      </c>
      <c r="E1566">
        <v>51500</v>
      </c>
      <c r="F1566">
        <v>2200000</v>
      </c>
    </row>
    <row r="1567" spans="1:6" hidden="1" x14ac:dyDescent="0.3">
      <c r="A1567">
        <v>1566</v>
      </c>
      <c r="B1567" t="s">
        <v>19</v>
      </c>
      <c r="C1567">
        <v>2013</v>
      </c>
      <c r="D1567" t="s">
        <v>14</v>
      </c>
      <c r="E1567">
        <v>572</v>
      </c>
      <c r="F1567">
        <v>2000000</v>
      </c>
    </row>
    <row r="1568" spans="1:6" hidden="1" x14ac:dyDescent="0.3">
      <c r="A1568">
        <v>1567</v>
      </c>
      <c r="B1568" t="s">
        <v>27</v>
      </c>
      <c r="C1568">
        <v>2013</v>
      </c>
      <c r="D1568" t="s">
        <v>9</v>
      </c>
      <c r="E1568">
        <v>33265</v>
      </c>
      <c r="F1568">
        <v>0</v>
      </c>
    </row>
    <row r="1569" spans="1:6" hidden="1" x14ac:dyDescent="0.3">
      <c r="A1569">
        <v>1568</v>
      </c>
      <c r="B1569" t="s">
        <v>20</v>
      </c>
      <c r="C1569">
        <v>2013</v>
      </c>
      <c r="D1569" t="s">
        <v>14</v>
      </c>
      <c r="E1569">
        <v>515</v>
      </c>
      <c r="F1569">
        <v>0</v>
      </c>
    </row>
    <row r="1570" spans="1:6" hidden="1" x14ac:dyDescent="0.3">
      <c r="A1570">
        <v>1569</v>
      </c>
      <c r="B1570" t="s">
        <v>20</v>
      </c>
      <c r="C1570">
        <v>2013</v>
      </c>
      <c r="D1570" t="s">
        <v>14</v>
      </c>
      <c r="E1570">
        <v>2738</v>
      </c>
      <c r="F1570">
        <v>0</v>
      </c>
    </row>
    <row r="1571" spans="1:6" hidden="1" x14ac:dyDescent="0.3">
      <c r="A1571">
        <v>1570</v>
      </c>
      <c r="B1571" t="s">
        <v>20</v>
      </c>
      <c r="C1571">
        <v>2013</v>
      </c>
      <c r="D1571" t="s">
        <v>9</v>
      </c>
      <c r="E1571">
        <v>248846</v>
      </c>
      <c r="F1571">
        <v>3000000000</v>
      </c>
    </row>
    <row r="1572" spans="1:6" hidden="1" x14ac:dyDescent="0.3">
      <c r="A1572">
        <v>1571</v>
      </c>
      <c r="B1572" t="s">
        <v>20</v>
      </c>
      <c r="C1572">
        <v>2013</v>
      </c>
      <c r="D1572" t="s">
        <v>9</v>
      </c>
      <c r="E1572">
        <v>1000</v>
      </c>
      <c r="F1572">
        <v>0</v>
      </c>
    </row>
    <row r="1573" spans="1:6" hidden="1" x14ac:dyDescent="0.3">
      <c r="A1573">
        <v>1572</v>
      </c>
      <c r="B1573" t="s">
        <v>20</v>
      </c>
      <c r="C1573">
        <v>2013</v>
      </c>
      <c r="D1573" t="s">
        <v>9</v>
      </c>
      <c r="E1573">
        <v>115000</v>
      </c>
      <c r="F1573">
        <v>0</v>
      </c>
    </row>
    <row r="1574" spans="1:6" hidden="1" x14ac:dyDescent="0.3">
      <c r="A1574">
        <v>1573</v>
      </c>
      <c r="B1574" t="s">
        <v>20</v>
      </c>
      <c r="C1574">
        <v>2013</v>
      </c>
      <c r="D1574" t="s">
        <v>9</v>
      </c>
      <c r="E1574">
        <v>23640</v>
      </c>
      <c r="F1574">
        <v>0</v>
      </c>
    </row>
    <row r="1575" spans="1:6" hidden="1" x14ac:dyDescent="0.3">
      <c r="A1575">
        <v>1574</v>
      </c>
      <c r="B1575" t="s">
        <v>20</v>
      </c>
      <c r="C1575">
        <v>2013</v>
      </c>
      <c r="D1575" t="s">
        <v>9</v>
      </c>
      <c r="E1575">
        <v>16000</v>
      </c>
      <c r="F1575">
        <v>0</v>
      </c>
    </row>
    <row r="1576" spans="1:6" hidden="1" x14ac:dyDescent="0.3">
      <c r="A1576">
        <v>1575</v>
      </c>
      <c r="B1576" t="s">
        <v>20</v>
      </c>
      <c r="C1576">
        <v>2013</v>
      </c>
      <c r="D1576" t="s">
        <v>9</v>
      </c>
      <c r="E1576">
        <v>22500</v>
      </c>
      <c r="F1576">
        <v>2000000</v>
      </c>
    </row>
    <row r="1577" spans="1:6" hidden="1" x14ac:dyDescent="0.3">
      <c r="A1577">
        <v>1576</v>
      </c>
      <c r="B1577" t="s">
        <v>20</v>
      </c>
      <c r="C1577">
        <v>2013</v>
      </c>
      <c r="D1577" t="s">
        <v>9</v>
      </c>
      <c r="E1577">
        <v>84250</v>
      </c>
      <c r="F1577">
        <v>2000000</v>
      </c>
    </row>
    <row r="1578" spans="1:6" hidden="1" x14ac:dyDescent="0.3">
      <c r="A1578">
        <v>1577</v>
      </c>
      <c r="B1578" t="s">
        <v>20</v>
      </c>
      <c r="C1578">
        <v>2013</v>
      </c>
      <c r="D1578" t="s">
        <v>9</v>
      </c>
      <c r="E1578">
        <v>13860</v>
      </c>
      <c r="F1578">
        <v>0</v>
      </c>
    </row>
    <row r="1579" spans="1:6" hidden="1" x14ac:dyDescent="0.3">
      <c r="A1579">
        <v>1578</v>
      </c>
      <c r="B1579" t="s">
        <v>16</v>
      </c>
      <c r="C1579">
        <v>2013</v>
      </c>
      <c r="D1579" t="s">
        <v>11</v>
      </c>
      <c r="E1579">
        <v>0</v>
      </c>
      <c r="F1579">
        <v>0</v>
      </c>
    </row>
    <row r="1580" spans="1:6" hidden="1" x14ac:dyDescent="0.3">
      <c r="A1580">
        <v>1579</v>
      </c>
      <c r="B1580" t="s">
        <v>16</v>
      </c>
      <c r="C1580">
        <v>2013</v>
      </c>
      <c r="D1580" t="s">
        <v>11</v>
      </c>
      <c r="E1580">
        <v>0</v>
      </c>
      <c r="F1580">
        <v>0</v>
      </c>
    </row>
    <row r="1581" spans="1:6" hidden="1" x14ac:dyDescent="0.3">
      <c r="A1581">
        <v>1580</v>
      </c>
      <c r="B1581" t="s">
        <v>16</v>
      </c>
      <c r="C1581">
        <v>2013</v>
      </c>
      <c r="D1581" t="s">
        <v>14</v>
      </c>
      <c r="E1581">
        <v>59350</v>
      </c>
      <c r="F1581">
        <v>120000000</v>
      </c>
    </row>
    <row r="1582" spans="1:6" hidden="1" x14ac:dyDescent="0.3">
      <c r="A1582">
        <v>1581</v>
      </c>
      <c r="B1582" t="s">
        <v>16</v>
      </c>
      <c r="C1582">
        <v>2013</v>
      </c>
      <c r="D1582" t="s">
        <v>9</v>
      </c>
      <c r="E1582">
        <v>500000</v>
      </c>
      <c r="F1582">
        <v>2000000</v>
      </c>
    </row>
    <row r="1583" spans="1:6" hidden="1" x14ac:dyDescent="0.3">
      <c r="A1583">
        <v>1582</v>
      </c>
      <c r="B1583" t="s">
        <v>16</v>
      </c>
      <c r="C1583">
        <v>2013</v>
      </c>
      <c r="D1583" t="s">
        <v>9</v>
      </c>
      <c r="E1583">
        <v>40000</v>
      </c>
      <c r="F1583">
        <v>0</v>
      </c>
    </row>
    <row r="1584" spans="1:6" hidden="1" x14ac:dyDescent="0.3">
      <c r="A1584">
        <v>1583</v>
      </c>
      <c r="B1584" t="s">
        <v>16</v>
      </c>
      <c r="C1584">
        <v>2013</v>
      </c>
      <c r="D1584" t="s">
        <v>9</v>
      </c>
      <c r="E1584">
        <v>375000</v>
      </c>
      <c r="F1584">
        <v>260000000</v>
      </c>
    </row>
    <row r="1585" spans="1:6" hidden="1" x14ac:dyDescent="0.3">
      <c r="A1585">
        <v>1584</v>
      </c>
      <c r="B1585" t="s">
        <v>16</v>
      </c>
      <c r="C1585">
        <v>2013</v>
      </c>
      <c r="D1585" t="s">
        <v>11</v>
      </c>
      <c r="E1585">
        <v>4</v>
      </c>
      <c r="F1585">
        <v>0</v>
      </c>
    </row>
    <row r="1586" spans="1:6" hidden="1" x14ac:dyDescent="0.3">
      <c r="A1586">
        <v>1585</v>
      </c>
      <c r="B1586" t="s">
        <v>20</v>
      </c>
      <c r="C1586">
        <v>2014</v>
      </c>
      <c r="D1586" t="s">
        <v>9</v>
      </c>
      <c r="E1586">
        <v>128182</v>
      </c>
      <c r="F1586">
        <v>153000000</v>
      </c>
    </row>
    <row r="1587" spans="1:6" hidden="1" x14ac:dyDescent="0.3">
      <c r="A1587">
        <v>1586</v>
      </c>
      <c r="B1587" t="s">
        <v>23</v>
      </c>
      <c r="C1587">
        <v>2014</v>
      </c>
      <c r="D1587" t="s">
        <v>9</v>
      </c>
      <c r="E1587">
        <v>20000</v>
      </c>
      <c r="F1587">
        <v>0</v>
      </c>
    </row>
    <row r="1588" spans="1:6" hidden="1" x14ac:dyDescent="0.3">
      <c r="A1588">
        <v>1587</v>
      </c>
      <c r="B1588" t="s">
        <v>17</v>
      </c>
      <c r="C1588">
        <v>2011</v>
      </c>
      <c r="D1588" t="s">
        <v>11</v>
      </c>
      <c r="E1588">
        <v>35041</v>
      </c>
      <c r="F1588">
        <v>0</v>
      </c>
    </row>
    <row r="1589" spans="1:6" hidden="1" x14ac:dyDescent="0.3">
      <c r="A1589">
        <v>1588</v>
      </c>
      <c r="B1589" t="s">
        <v>21</v>
      </c>
      <c r="C1589">
        <v>2011</v>
      </c>
      <c r="D1589" t="s">
        <v>11</v>
      </c>
      <c r="E1589">
        <v>50000</v>
      </c>
      <c r="F1589">
        <v>27700000</v>
      </c>
    </row>
    <row r="1590" spans="1:6" hidden="1" x14ac:dyDescent="0.3">
      <c r="A1590">
        <v>1589</v>
      </c>
      <c r="B1590" t="s">
        <v>37</v>
      </c>
      <c r="C1590">
        <v>2011</v>
      </c>
      <c r="D1590" t="s">
        <v>11</v>
      </c>
      <c r="E1590">
        <v>1150300</v>
      </c>
      <c r="F1590">
        <v>38082000</v>
      </c>
    </row>
    <row r="1591" spans="1:6" hidden="1" x14ac:dyDescent="0.3">
      <c r="A1591">
        <v>1590</v>
      </c>
      <c r="B1591" t="s">
        <v>45</v>
      </c>
      <c r="C1591">
        <v>2011</v>
      </c>
      <c r="D1591" t="s">
        <v>9</v>
      </c>
      <c r="E1591">
        <v>35734</v>
      </c>
      <c r="F1591">
        <v>1700000</v>
      </c>
    </row>
    <row r="1592" spans="1:6" hidden="1" x14ac:dyDescent="0.3">
      <c r="A1592">
        <v>1591</v>
      </c>
      <c r="B1592" t="s">
        <v>24</v>
      </c>
      <c r="C1592">
        <v>2011</v>
      </c>
      <c r="D1592" t="s">
        <v>9</v>
      </c>
      <c r="E1592">
        <v>143018</v>
      </c>
      <c r="F1592">
        <v>0</v>
      </c>
    </row>
    <row r="1593" spans="1:6" hidden="1" x14ac:dyDescent="0.3">
      <c r="A1593">
        <v>1592</v>
      </c>
      <c r="B1593" t="s">
        <v>36</v>
      </c>
      <c r="C1593">
        <v>2011</v>
      </c>
      <c r="D1593" t="s">
        <v>9</v>
      </c>
      <c r="E1593">
        <v>809945</v>
      </c>
      <c r="F1593">
        <v>0</v>
      </c>
    </row>
    <row r="1594" spans="1:6" hidden="1" x14ac:dyDescent="0.3">
      <c r="A1594">
        <v>1593</v>
      </c>
      <c r="B1594" t="s">
        <v>37</v>
      </c>
      <c r="C1594">
        <v>2011</v>
      </c>
      <c r="D1594" t="s">
        <v>9</v>
      </c>
      <c r="E1594">
        <v>871</v>
      </c>
      <c r="F1594">
        <v>0</v>
      </c>
    </row>
    <row r="1595" spans="1:6" hidden="1" x14ac:dyDescent="0.3">
      <c r="A1595">
        <v>1594</v>
      </c>
      <c r="B1595" t="s">
        <v>37</v>
      </c>
      <c r="C1595">
        <v>2011</v>
      </c>
      <c r="D1595" t="s">
        <v>9</v>
      </c>
      <c r="E1595">
        <v>16191</v>
      </c>
      <c r="F1595">
        <v>183000</v>
      </c>
    </row>
    <row r="1596" spans="1:6" hidden="1" x14ac:dyDescent="0.3">
      <c r="A1596">
        <v>1595</v>
      </c>
      <c r="B1596" t="s">
        <v>37</v>
      </c>
      <c r="C1596">
        <v>2011</v>
      </c>
      <c r="D1596" t="s">
        <v>11</v>
      </c>
      <c r="E1596">
        <v>1113775</v>
      </c>
      <c r="F1596">
        <v>2655000</v>
      </c>
    </row>
    <row r="1597" spans="1:6" hidden="1" x14ac:dyDescent="0.3">
      <c r="A1597">
        <v>1596</v>
      </c>
      <c r="B1597" t="s">
        <v>40</v>
      </c>
      <c r="C1597">
        <v>2011</v>
      </c>
      <c r="D1597" t="s">
        <v>9</v>
      </c>
      <c r="E1597">
        <v>300000</v>
      </c>
      <c r="F1597">
        <v>1000000000</v>
      </c>
    </row>
    <row r="1598" spans="1:6" hidden="1" x14ac:dyDescent="0.3">
      <c r="A1598">
        <v>1597</v>
      </c>
      <c r="B1598" t="s">
        <v>37</v>
      </c>
      <c r="C1598">
        <v>2011</v>
      </c>
      <c r="D1598" t="s">
        <v>11</v>
      </c>
      <c r="E1598">
        <v>446907</v>
      </c>
      <c r="F1598">
        <v>431000</v>
      </c>
    </row>
    <row r="1599" spans="1:6" hidden="1" x14ac:dyDescent="0.3">
      <c r="A1599">
        <v>1598</v>
      </c>
      <c r="B1599" t="s">
        <v>34</v>
      </c>
      <c r="C1599">
        <v>2011</v>
      </c>
      <c r="D1599" t="s">
        <v>7</v>
      </c>
      <c r="E1599">
        <v>3750000</v>
      </c>
      <c r="F1599">
        <v>0</v>
      </c>
    </row>
    <row r="1600" spans="1:6" hidden="1" x14ac:dyDescent="0.3">
      <c r="A1600">
        <v>1599</v>
      </c>
      <c r="B1600" t="s">
        <v>32</v>
      </c>
      <c r="C1600">
        <v>2011</v>
      </c>
      <c r="D1600" t="s">
        <v>7</v>
      </c>
      <c r="E1600">
        <v>3000000</v>
      </c>
      <c r="F1600">
        <v>0</v>
      </c>
    </row>
    <row r="1601" spans="1:6" hidden="1" x14ac:dyDescent="0.3">
      <c r="A1601">
        <v>1600</v>
      </c>
      <c r="B1601" t="s">
        <v>41</v>
      </c>
      <c r="C1601">
        <v>2011</v>
      </c>
      <c r="D1601" t="s">
        <v>7</v>
      </c>
      <c r="E1601">
        <v>3000000</v>
      </c>
      <c r="F1601">
        <v>0</v>
      </c>
    </row>
    <row r="1602" spans="1:6" hidden="1" x14ac:dyDescent="0.3">
      <c r="A1602">
        <v>1601</v>
      </c>
      <c r="B1602" t="s">
        <v>21</v>
      </c>
      <c r="C1602">
        <v>2011</v>
      </c>
      <c r="D1602" t="s">
        <v>11</v>
      </c>
      <c r="E1602">
        <v>0</v>
      </c>
      <c r="F1602">
        <v>0</v>
      </c>
    </row>
    <row r="1603" spans="1:6" hidden="1" x14ac:dyDescent="0.3">
      <c r="A1603">
        <v>1602</v>
      </c>
      <c r="B1603" t="s">
        <v>34</v>
      </c>
      <c r="C1603">
        <v>2011</v>
      </c>
      <c r="D1603" t="s">
        <v>9</v>
      </c>
      <c r="E1603">
        <v>4000</v>
      </c>
      <c r="F1603">
        <v>0</v>
      </c>
    </row>
    <row r="1604" spans="1:6" hidden="1" x14ac:dyDescent="0.3">
      <c r="A1604">
        <v>1603</v>
      </c>
      <c r="B1604" t="s">
        <v>34</v>
      </c>
      <c r="C1604">
        <v>2011</v>
      </c>
      <c r="D1604" t="s">
        <v>9</v>
      </c>
      <c r="E1604">
        <v>5000</v>
      </c>
      <c r="F1604">
        <v>0</v>
      </c>
    </row>
    <row r="1605" spans="1:6" hidden="1" x14ac:dyDescent="0.3">
      <c r="A1605">
        <v>1604</v>
      </c>
      <c r="B1605" t="s">
        <v>34</v>
      </c>
      <c r="C1605">
        <v>2011</v>
      </c>
      <c r="D1605" t="s">
        <v>9</v>
      </c>
      <c r="E1605">
        <v>91692</v>
      </c>
      <c r="F1605">
        <v>0</v>
      </c>
    </row>
    <row r="1606" spans="1:6" hidden="1" x14ac:dyDescent="0.3">
      <c r="A1606">
        <v>1605</v>
      </c>
      <c r="B1606" t="s">
        <v>17</v>
      </c>
      <c r="C1606">
        <v>2011</v>
      </c>
      <c r="D1606" t="s">
        <v>9</v>
      </c>
      <c r="E1606">
        <v>8600</v>
      </c>
      <c r="F1606">
        <v>0</v>
      </c>
    </row>
    <row r="1607" spans="1:6" hidden="1" x14ac:dyDescent="0.3">
      <c r="A1607">
        <v>1606</v>
      </c>
      <c r="B1607" t="s">
        <v>21</v>
      </c>
      <c r="C1607">
        <v>2011</v>
      </c>
      <c r="D1607" t="s">
        <v>14</v>
      </c>
      <c r="E1607">
        <v>152</v>
      </c>
      <c r="F1607">
        <v>0</v>
      </c>
    </row>
    <row r="1608" spans="1:6" hidden="1" x14ac:dyDescent="0.3">
      <c r="A1608">
        <v>1607</v>
      </c>
      <c r="B1608" t="s">
        <v>21</v>
      </c>
      <c r="C1608">
        <v>2011</v>
      </c>
      <c r="D1608" t="s">
        <v>9</v>
      </c>
      <c r="E1608">
        <v>250000</v>
      </c>
      <c r="F1608">
        <v>0</v>
      </c>
    </row>
    <row r="1609" spans="1:6" hidden="1" x14ac:dyDescent="0.3">
      <c r="A1609">
        <v>1608</v>
      </c>
      <c r="B1609" t="s">
        <v>21</v>
      </c>
      <c r="C1609">
        <v>2011</v>
      </c>
      <c r="D1609" t="s">
        <v>9</v>
      </c>
      <c r="E1609">
        <v>190000</v>
      </c>
      <c r="F1609">
        <v>0</v>
      </c>
    </row>
    <row r="1610" spans="1:6" hidden="1" x14ac:dyDescent="0.3">
      <c r="A1610">
        <v>1609</v>
      </c>
      <c r="B1610" t="s">
        <v>21</v>
      </c>
      <c r="C1610">
        <v>2011</v>
      </c>
      <c r="D1610" t="s">
        <v>9</v>
      </c>
      <c r="E1610">
        <v>40000</v>
      </c>
      <c r="F1610">
        <v>0</v>
      </c>
    </row>
    <row r="1611" spans="1:6" hidden="1" x14ac:dyDescent="0.3">
      <c r="A1611">
        <v>1610</v>
      </c>
      <c r="B1611" t="s">
        <v>21</v>
      </c>
      <c r="C1611">
        <v>2011</v>
      </c>
      <c r="D1611" t="s">
        <v>7</v>
      </c>
      <c r="E1611">
        <v>2500000</v>
      </c>
      <c r="F1611">
        <v>0</v>
      </c>
    </row>
    <row r="1612" spans="1:6" hidden="1" x14ac:dyDescent="0.3">
      <c r="A1612">
        <v>1611</v>
      </c>
      <c r="B1612" t="s">
        <v>32</v>
      </c>
      <c r="C1612">
        <v>2011</v>
      </c>
      <c r="D1612" t="s">
        <v>9</v>
      </c>
      <c r="E1612">
        <v>13000</v>
      </c>
      <c r="F1612">
        <v>0</v>
      </c>
    </row>
    <row r="1613" spans="1:6" hidden="1" x14ac:dyDescent="0.3">
      <c r="A1613">
        <v>1612</v>
      </c>
      <c r="B1613" t="s">
        <v>32</v>
      </c>
      <c r="C1613">
        <v>2011</v>
      </c>
      <c r="D1613" t="s">
        <v>9</v>
      </c>
      <c r="E1613">
        <v>28175</v>
      </c>
      <c r="F1613">
        <v>0</v>
      </c>
    </row>
    <row r="1614" spans="1:6" hidden="1" x14ac:dyDescent="0.3">
      <c r="A1614">
        <v>1613</v>
      </c>
      <c r="B1614" t="s">
        <v>33</v>
      </c>
      <c r="C1614">
        <v>2011</v>
      </c>
      <c r="D1614" t="s">
        <v>14</v>
      </c>
      <c r="E1614">
        <v>167949</v>
      </c>
      <c r="F1614">
        <v>0</v>
      </c>
    </row>
    <row r="1615" spans="1:6" hidden="1" x14ac:dyDescent="0.3">
      <c r="A1615">
        <v>1614</v>
      </c>
      <c r="B1615" t="s">
        <v>36</v>
      </c>
      <c r="C1615">
        <v>2011</v>
      </c>
      <c r="D1615" t="s">
        <v>11</v>
      </c>
      <c r="E1615">
        <v>0</v>
      </c>
      <c r="F1615">
        <v>0</v>
      </c>
    </row>
    <row r="1616" spans="1:6" hidden="1" x14ac:dyDescent="0.3">
      <c r="A1616">
        <v>1615</v>
      </c>
      <c r="B1616" t="s">
        <v>36</v>
      </c>
      <c r="C1616">
        <v>2011</v>
      </c>
      <c r="D1616" t="s">
        <v>14</v>
      </c>
      <c r="E1616">
        <v>2681</v>
      </c>
      <c r="F1616">
        <v>0</v>
      </c>
    </row>
    <row r="1617" spans="1:6" hidden="1" x14ac:dyDescent="0.3">
      <c r="A1617">
        <v>1616</v>
      </c>
      <c r="B1617" t="s">
        <v>36</v>
      </c>
      <c r="C1617">
        <v>2011</v>
      </c>
      <c r="D1617" t="s">
        <v>9</v>
      </c>
      <c r="E1617">
        <v>3000</v>
      </c>
      <c r="F1617">
        <v>0</v>
      </c>
    </row>
    <row r="1618" spans="1:6" hidden="1" x14ac:dyDescent="0.3">
      <c r="A1618">
        <v>1617</v>
      </c>
      <c r="B1618" t="s">
        <v>37</v>
      </c>
      <c r="C1618">
        <v>2011</v>
      </c>
      <c r="D1618" t="s">
        <v>14</v>
      </c>
      <c r="E1618">
        <v>28</v>
      </c>
      <c r="F1618">
        <v>0</v>
      </c>
    </row>
    <row r="1619" spans="1:6" hidden="1" x14ac:dyDescent="0.3">
      <c r="A1619">
        <v>1618</v>
      </c>
      <c r="B1619" t="s">
        <v>37</v>
      </c>
      <c r="C1619">
        <v>2011</v>
      </c>
      <c r="D1619" t="s">
        <v>9</v>
      </c>
      <c r="E1619">
        <v>274</v>
      </c>
      <c r="F1619">
        <v>115000</v>
      </c>
    </row>
    <row r="1620" spans="1:6" hidden="1" x14ac:dyDescent="0.3">
      <c r="A1620">
        <v>1619</v>
      </c>
      <c r="B1620" t="s">
        <v>37</v>
      </c>
      <c r="C1620">
        <v>2011</v>
      </c>
      <c r="D1620" t="s">
        <v>9</v>
      </c>
      <c r="E1620">
        <v>185</v>
      </c>
      <c r="F1620">
        <v>0</v>
      </c>
    </row>
    <row r="1621" spans="1:6" hidden="1" x14ac:dyDescent="0.3">
      <c r="A1621">
        <v>1620</v>
      </c>
      <c r="B1621" t="s">
        <v>37</v>
      </c>
      <c r="C1621">
        <v>2011</v>
      </c>
      <c r="D1621" t="s">
        <v>9</v>
      </c>
      <c r="E1621">
        <v>8610</v>
      </c>
      <c r="F1621">
        <v>178881000</v>
      </c>
    </row>
    <row r="1622" spans="1:6" hidden="1" x14ac:dyDescent="0.3">
      <c r="A1622">
        <v>1621</v>
      </c>
      <c r="B1622" t="s">
        <v>37</v>
      </c>
      <c r="C1622">
        <v>2011</v>
      </c>
      <c r="D1622" t="s">
        <v>9</v>
      </c>
      <c r="E1622">
        <v>30858</v>
      </c>
      <c r="F1622">
        <v>0</v>
      </c>
    </row>
    <row r="1623" spans="1:6" hidden="1" x14ac:dyDescent="0.3">
      <c r="A1623">
        <v>1622</v>
      </c>
      <c r="B1623" t="s">
        <v>37</v>
      </c>
      <c r="C1623">
        <v>2011</v>
      </c>
      <c r="D1623" t="s">
        <v>9</v>
      </c>
      <c r="E1623">
        <v>469</v>
      </c>
      <c r="F1623">
        <v>0</v>
      </c>
    </row>
    <row r="1624" spans="1:6" hidden="1" x14ac:dyDescent="0.3">
      <c r="A1624">
        <v>1623</v>
      </c>
      <c r="B1624" t="s">
        <v>37</v>
      </c>
      <c r="C1624">
        <v>2011</v>
      </c>
      <c r="D1624" t="s">
        <v>9</v>
      </c>
      <c r="E1624">
        <v>171809</v>
      </c>
      <c r="F1624">
        <v>0</v>
      </c>
    </row>
    <row r="1625" spans="1:6" hidden="1" x14ac:dyDescent="0.3">
      <c r="A1625">
        <v>1624</v>
      </c>
      <c r="B1625" t="s">
        <v>37</v>
      </c>
      <c r="C1625">
        <v>2011</v>
      </c>
      <c r="D1625" t="s">
        <v>9</v>
      </c>
      <c r="E1625">
        <v>39520</v>
      </c>
      <c r="F1625">
        <v>0</v>
      </c>
    </row>
    <row r="1626" spans="1:6" hidden="1" x14ac:dyDescent="0.3">
      <c r="A1626">
        <v>1625</v>
      </c>
      <c r="B1626" t="s">
        <v>37</v>
      </c>
      <c r="C1626">
        <v>2011</v>
      </c>
      <c r="D1626" t="s">
        <v>11</v>
      </c>
      <c r="E1626">
        <v>3030846</v>
      </c>
      <c r="F1626">
        <v>344173000</v>
      </c>
    </row>
    <row r="1627" spans="1:6" hidden="1" x14ac:dyDescent="0.3">
      <c r="A1627">
        <v>1626</v>
      </c>
      <c r="B1627" t="s">
        <v>37</v>
      </c>
      <c r="C1627">
        <v>2011</v>
      </c>
      <c r="D1627" t="s">
        <v>11</v>
      </c>
      <c r="E1627">
        <v>75638</v>
      </c>
      <c r="F1627">
        <v>0</v>
      </c>
    </row>
    <row r="1628" spans="1:6" hidden="1" x14ac:dyDescent="0.3">
      <c r="A1628">
        <v>1627</v>
      </c>
      <c r="B1628" t="s">
        <v>37</v>
      </c>
      <c r="C1628">
        <v>2011</v>
      </c>
      <c r="D1628" t="s">
        <v>11</v>
      </c>
      <c r="E1628">
        <v>0</v>
      </c>
      <c r="F1628">
        <v>0</v>
      </c>
    </row>
    <row r="1629" spans="1:6" hidden="1" x14ac:dyDescent="0.3">
      <c r="A1629">
        <v>1628</v>
      </c>
      <c r="B1629" t="s">
        <v>41</v>
      </c>
      <c r="C1629">
        <v>2011</v>
      </c>
      <c r="D1629" t="s">
        <v>9</v>
      </c>
      <c r="E1629">
        <v>2800</v>
      </c>
      <c r="F1629">
        <v>0</v>
      </c>
    </row>
    <row r="1630" spans="1:6" hidden="1" x14ac:dyDescent="0.3">
      <c r="A1630">
        <v>1629</v>
      </c>
      <c r="B1630" t="s">
        <v>22</v>
      </c>
      <c r="C1630">
        <v>2012</v>
      </c>
      <c r="D1630" t="s">
        <v>11</v>
      </c>
      <c r="E1630">
        <v>85015</v>
      </c>
      <c r="F1630">
        <v>0</v>
      </c>
    </row>
    <row r="1631" spans="1:6" hidden="1" x14ac:dyDescent="0.3">
      <c r="A1631">
        <v>1630</v>
      </c>
      <c r="B1631" t="s">
        <v>36</v>
      </c>
      <c r="C1631">
        <v>2012</v>
      </c>
      <c r="D1631" t="s">
        <v>9</v>
      </c>
      <c r="E1631">
        <v>50029</v>
      </c>
      <c r="F1631">
        <v>0</v>
      </c>
    </row>
    <row r="1632" spans="1:6" hidden="1" x14ac:dyDescent="0.3">
      <c r="A1632">
        <v>1631</v>
      </c>
      <c r="B1632" t="s">
        <v>37</v>
      </c>
      <c r="C1632">
        <v>2012</v>
      </c>
      <c r="D1632" t="s">
        <v>11</v>
      </c>
      <c r="E1632">
        <v>108040</v>
      </c>
      <c r="F1632">
        <v>1339000</v>
      </c>
    </row>
    <row r="1633" spans="1:6" hidden="1" x14ac:dyDescent="0.3">
      <c r="A1633">
        <v>1632</v>
      </c>
      <c r="B1633" t="s">
        <v>37</v>
      </c>
      <c r="C1633">
        <v>2012</v>
      </c>
      <c r="D1633" t="s">
        <v>11</v>
      </c>
      <c r="E1633">
        <v>241606</v>
      </c>
      <c r="F1633">
        <v>5526000</v>
      </c>
    </row>
    <row r="1634" spans="1:6" hidden="1" x14ac:dyDescent="0.3">
      <c r="A1634">
        <v>1633</v>
      </c>
      <c r="B1634" t="s">
        <v>48</v>
      </c>
      <c r="C1634">
        <v>2012</v>
      </c>
      <c r="D1634" t="s">
        <v>9</v>
      </c>
      <c r="E1634">
        <v>11000</v>
      </c>
      <c r="F1634">
        <v>0</v>
      </c>
    </row>
    <row r="1635" spans="1:6" hidden="1" x14ac:dyDescent="0.3">
      <c r="A1635">
        <v>1634</v>
      </c>
      <c r="B1635" t="s">
        <v>17</v>
      </c>
      <c r="C1635">
        <v>2012</v>
      </c>
      <c r="D1635" t="s">
        <v>9</v>
      </c>
      <c r="E1635">
        <v>447021</v>
      </c>
      <c r="F1635">
        <v>1200000</v>
      </c>
    </row>
    <row r="1636" spans="1:6" hidden="1" x14ac:dyDescent="0.3">
      <c r="A1636">
        <v>1635</v>
      </c>
      <c r="B1636" t="s">
        <v>45</v>
      </c>
      <c r="C1636">
        <v>2012</v>
      </c>
      <c r="D1636" t="s">
        <v>14</v>
      </c>
      <c r="E1636">
        <v>1486</v>
      </c>
      <c r="F1636">
        <v>1170000</v>
      </c>
    </row>
    <row r="1637" spans="1:6" hidden="1" x14ac:dyDescent="0.3">
      <c r="A1637">
        <v>1636</v>
      </c>
      <c r="B1637" t="s">
        <v>37</v>
      </c>
      <c r="C1637">
        <v>2012</v>
      </c>
      <c r="D1637" t="s">
        <v>14</v>
      </c>
      <c r="E1637">
        <v>320277</v>
      </c>
      <c r="F1637">
        <v>8900000</v>
      </c>
    </row>
    <row r="1638" spans="1:6" x14ac:dyDescent="0.3">
      <c r="A1638">
        <v>1637</v>
      </c>
      <c r="B1638" t="s">
        <v>42</v>
      </c>
      <c r="C1638">
        <v>2012</v>
      </c>
      <c r="D1638" t="s">
        <v>9</v>
      </c>
      <c r="E1638">
        <v>5556</v>
      </c>
      <c r="F1638">
        <v>760000</v>
      </c>
    </row>
    <row r="1639" spans="1:6" hidden="1" x14ac:dyDescent="0.3">
      <c r="A1639">
        <v>1638</v>
      </c>
      <c r="B1639" t="s">
        <v>30</v>
      </c>
      <c r="C1639">
        <v>2012</v>
      </c>
      <c r="D1639" t="s">
        <v>11</v>
      </c>
      <c r="E1639">
        <v>4958</v>
      </c>
      <c r="F1639">
        <v>0</v>
      </c>
    </row>
    <row r="1640" spans="1:6" hidden="1" x14ac:dyDescent="0.3">
      <c r="A1640">
        <v>1639</v>
      </c>
      <c r="B1640" t="s">
        <v>22</v>
      </c>
      <c r="C1640">
        <v>2012</v>
      </c>
      <c r="D1640" t="s">
        <v>11</v>
      </c>
      <c r="E1640">
        <v>300</v>
      </c>
      <c r="F1640">
        <v>0</v>
      </c>
    </row>
    <row r="1641" spans="1:6" hidden="1" x14ac:dyDescent="0.3">
      <c r="A1641">
        <v>1640</v>
      </c>
      <c r="B1641" t="s">
        <v>22</v>
      </c>
      <c r="C1641">
        <v>2012</v>
      </c>
      <c r="D1641" t="s">
        <v>11</v>
      </c>
      <c r="E1641">
        <v>250284</v>
      </c>
      <c r="F1641">
        <v>100000000</v>
      </c>
    </row>
    <row r="1642" spans="1:6" hidden="1" x14ac:dyDescent="0.3">
      <c r="A1642">
        <v>1641</v>
      </c>
      <c r="B1642" t="s">
        <v>30</v>
      </c>
      <c r="C1642">
        <v>2012</v>
      </c>
      <c r="D1642" t="s">
        <v>11</v>
      </c>
      <c r="E1642">
        <v>65000</v>
      </c>
      <c r="F1642">
        <v>0</v>
      </c>
    </row>
    <row r="1643" spans="1:6" hidden="1" x14ac:dyDescent="0.3">
      <c r="A1643">
        <v>1642</v>
      </c>
      <c r="B1643" t="s">
        <v>30</v>
      </c>
      <c r="C1643">
        <v>2012</v>
      </c>
      <c r="D1643" t="s">
        <v>11</v>
      </c>
      <c r="E1643">
        <v>40042</v>
      </c>
      <c r="F1643">
        <v>0</v>
      </c>
    </row>
    <row r="1644" spans="1:6" hidden="1" x14ac:dyDescent="0.3">
      <c r="A1644">
        <v>1643</v>
      </c>
      <c r="B1644" t="s">
        <v>37</v>
      </c>
      <c r="C1644">
        <v>2012</v>
      </c>
      <c r="D1644" t="s">
        <v>11</v>
      </c>
      <c r="E1644">
        <v>949086</v>
      </c>
      <c r="F1644">
        <v>9821000</v>
      </c>
    </row>
    <row r="1645" spans="1:6" hidden="1" x14ac:dyDescent="0.3">
      <c r="A1645">
        <v>1644</v>
      </c>
      <c r="B1645" t="s">
        <v>37</v>
      </c>
      <c r="C1645">
        <v>2012</v>
      </c>
      <c r="D1645" t="s">
        <v>11</v>
      </c>
      <c r="E1645">
        <v>5607</v>
      </c>
      <c r="F1645">
        <v>99000</v>
      </c>
    </row>
    <row r="1646" spans="1:6" hidden="1" x14ac:dyDescent="0.3">
      <c r="A1646">
        <v>1645</v>
      </c>
      <c r="B1646" t="s">
        <v>37</v>
      </c>
      <c r="C1646">
        <v>2012</v>
      </c>
      <c r="D1646" t="s">
        <v>11</v>
      </c>
      <c r="E1646">
        <v>7921</v>
      </c>
      <c r="F1646">
        <v>0</v>
      </c>
    </row>
    <row r="1647" spans="1:6" hidden="1" x14ac:dyDescent="0.3">
      <c r="A1647">
        <v>1646</v>
      </c>
      <c r="B1647" t="s">
        <v>18</v>
      </c>
      <c r="C1647">
        <v>2012</v>
      </c>
      <c r="D1647" t="s">
        <v>14</v>
      </c>
      <c r="E1647">
        <v>61546</v>
      </c>
      <c r="F1647">
        <v>500000000</v>
      </c>
    </row>
    <row r="1648" spans="1:6" hidden="1" x14ac:dyDescent="0.3">
      <c r="A1648">
        <v>1647</v>
      </c>
      <c r="B1648" t="s">
        <v>18</v>
      </c>
      <c r="C1648">
        <v>2012</v>
      </c>
      <c r="D1648" t="s">
        <v>14</v>
      </c>
      <c r="E1648">
        <v>5523</v>
      </c>
      <c r="F1648">
        <v>0</v>
      </c>
    </row>
    <row r="1649" spans="1:6" hidden="1" x14ac:dyDescent="0.3">
      <c r="A1649">
        <v>1648</v>
      </c>
      <c r="B1649" t="s">
        <v>18</v>
      </c>
      <c r="C1649">
        <v>2012</v>
      </c>
      <c r="D1649" t="s">
        <v>14</v>
      </c>
      <c r="E1649">
        <v>238</v>
      </c>
      <c r="F1649">
        <v>0</v>
      </c>
    </row>
    <row r="1650" spans="1:6" hidden="1" x14ac:dyDescent="0.3">
      <c r="A1650">
        <v>1649</v>
      </c>
      <c r="B1650" t="s">
        <v>18</v>
      </c>
      <c r="C1650">
        <v>2012</v>
      </c>
      <c r="D1650" t="s">
        <v>9</v>
      </c>
      <c r="E1650">
        <v>1000</v>
      </c>
      <c r="F1650">
        <v>0</v>
      </c>
    </row>
    <row r="1651" spans="1:6" hidden="1" x14ac:dyDescent="0.3">
      <c r="A1651">
        <v>1650</v>
      </c>
      <c r="B1651" t="s">
        <v>28</v>
      </c>
      <c r="C1651">
        <v>2012</v>
      </c>
      <c r="D1651" t="s">
        <v>11</v>
      </c>
      <c r="E1651">
        <v>215850</v>
      </c>
      <c r="F1651">
        <v>16542000</v>
      </c>
    </row>
    <row r="1652" spans="1:6" hidden="1" x14ac:dyDescent="0.3">
      <c r="A1652">
        <v>1651</v>
      </c>
      <c r="B1652" t="s">
        <v>34</v>
      </c>
      <c r="C1652">
        <v>2012</v>
      </c>
      <c r="D1652" t="s">
        <v>9</v>
      </c>
      <c r="E1652">
        <v>280670</v>
      </c>
      <c r="F1652">
        <v>100000000</v>
      </c>
    </row>
    <row r="1653" spans="1:6" hidden="1" x14ac:dyDescent="0.3">
      <c r="A1653">
        <v>1652</v>
      </c>
      <c r="B1653" t="s">
        <v>17</v>
      </c>
      <c r="C1653">
        <v>2012</v>
      </c>
      <c r="D1653" t="s">
        <v>11</v>
      </c>
      <c r="E1653">
        <v>69000</v>
      </c>
      <c r="F1653">
        <v>57000000</v>
      </c>
    </row>
    <row r="1654" spans="1:6" hidden="1" x14ac:dyDescent="0.3">
      <c r="A1654">
        <v>1653</v>
      </c>
      <c r="B1654" t="s">
        <v>17</v>
      </c>
      <c r="C1654">
        <v>2012</v>
      </c>
      <c r="D1654" t="s">
        <v>7</v>
      </c>
      <c r="E1654">
        <v>1800000</v>
      </c>
      <c r="F1654">
        <v>0</v>
      </c>
    </row>
    <row r="1655" spans="1:6" hidden="1" x14ac:dyDescent="0.3">
      <c r="A1655">
        <v>1654</v>
      </c>
      <c r="B1655" t="s">
        <v>21</v>
      </c>
      <c r="C1655">
        <v>2012</v>
      </c>
      <c r="D1655" t="s">
        <v>14</v>
      </c>
      <c r="E1655">
        <v>49011</v>
      </c>
      <c r="F1655">
        <v>320000000</v>
      </c>
    </row>
    <row r="1656" spans="1:6" hidden="1" x14ac:dyDescent="0.3">
      <c r="A1656">
        <v>1655</v>
      </c>
      <c r="B1656" t="s">
        <v>21</v>
      </c>
      <c r="C1656">
        <v>2012</v>
      </c>
      <c r="D1656" t="s">
        <v>11</v>
      </c>
      <c r="E1656">
        <v>0</v>
      </c>
      <c r="F1656">
        <v>300000000</v>
      </c>
    </row>
    <row r="1657" spans="1:6" hidden="1" x14ac:dyDescent="0.3">
      <c r="A1657">
        <v>1656</v>
      </c>
      <c r="B1657" t="s">
        <v>21</v>
      </c>
      <c r="C1657">
        <v>2012</v>
      </c>
      <c r="D1657" t="s">
        <v>11</v>
      </c>
      <c r="E1657">
        <v>87000</v>
      </c>
      <c r="F1657">
        <v>555000000</v>
      </c>
    </row>
    <row r="1658" spans="1:6" hidden="1" x14ac:dyDescent="0.3">
      <c r="A1658">
        <v>1657</v>
      </c>
      <c r="B1658" t="s">
        <v>45</v>
      </c>
      <c r="C1658">
        <v>2012</v>
      </c>
      <c r="D1658" t="s">
        <v>9</v>
      </c>
      <c r="E1658">
        <v>85000</v>
      </c>
      <c r="F1658">
        <v>0</v>
      </c>
    </row>
    <row r="1659" spans="1:6" hidden="1" x14ac:dyDescent="0.3">
      <c r="A1659">
        <v>1658</v>
      </c>
      <c r="B1659" t="s">
        <v>31</v>
      </c>
      <c r="C1659">
        <v>2012</v>
      </c>
      <c r="D1659" t="s">
        <v>9</v>
      </c>
      <c r="E1659">
        <v>650</v>
      </c>
      <c r="F1659">
        <v>0</v>
      </c>
    </row>
    <row r="1660" spans="1:6" hidden="1" x14ac:dyDescent="0.3">
      <c r="A1660">
        <v>1659</v>
      </c>
      <c r="B1660" t="s">
        <v>32</v>
      </c>
      <c r="C1660">
        <v>2012</v>
      </c>
      <c r="D1660" t="s">
        <v>9</v>
      </c>
      <c r="E1660">
        <v>530952</v>
      </c>
      <c r="F1660">
        <v>184115000</v>
      </c>
    </row>
    <row r="1661" spans="1:6" hidden="1" x14ac:dyDescent="0.3">
      <c r="A1661">
        <v>1660</v>
      </c>
      <c r="B1661" t="s">
        <v>24</v>
      </c>
      <c r="C1661">
        <v>2012</v>
      </c>
      <c r="D1661" t="s">
        <v>9</v>
      </c>
      <c r="E1661">
        <v>29500</v>
      </c>
      <c r="F1661">
        <v>0</v>
      </c>
    </row>
    <row r="1662" spans="1:6" hidden="1" x14ac:dyDescent="0.3">
      <c r="A1662">
        <v>1661</v>
      </c>
      <c r="B1662" t="s">
        <v>33</v>
      </c>
      <c r="C1662">
        <v>2012</v>
      </c>
      <c r="D1662" t="s">
        <v>9</v>
      </c>
      <c r="E1662">
        <v>5</v>
      </c>
      <c r="F1662">
        <v>1000000</v>
      </c>
    </row>
    <row r="1663" spans="1:6" hidden="1" x14ac:dyDescent="0.3">
      <c r="A1663">
        <v>1662</v>
      </c>
      <c r="B1663" t="s">
        <v>35</v>
      </c>
      <c r="C1663">
        <v>2012</v>
      </c>
      <c r="D1663" t="s">
        <v>9</v>
      </c>
      <c r="E1663">
        <v>0</v>
      </c>
      <c r="F1663">
        <v>0</v>
      </c>
    </row>
    <row r="1664" spans="1:6" hidden="1" x14ac:dyDescent="0.3">
      <c r="A1664">
        <v>1663</v>
      </c>
      <c r="B1664" t="s">
        <v>35</v>
      </c>
      <c r="C1664">
        <v>2012</v>
      </c>
      <c r="D1664" t="s">
        <v>9</v>
      </c>
      <c r="E1664">
        <v>5049364</v>
      </c>
      <c r="F1664">
        <v>2500000000</v>
      </c>
    </row>
    <row r="1665" spans="1:6" hidden="1" x14ac:dyDescent="0.3">
      <c r="A1665">
        <v>1664</v>
      </c>
      <c r="B1665" t="s">
        <v>35</v>
      </c>
      <c r="C1665">
        <v>2012</v>
      </c>
      <c r="D1665" t="s">
        <v>9</v>
      </c>
      <c r="E1665">
        <v>1200</v>
      </c>
      <c r="F1665">
        <v>0</v>
      </c>
    </row>
    <row r="1666" spans="1:6" hidden="1" x14ac:dyDescent="0.3">
      <c r="A1666">
        <v>1665</v>
      </c>
      <c r="B1666" t="s">
        <v>36</v>
      </c>
      <c r="C1666">
        <v>2012</v>
      </c>
      <c r="D1666" t="s">
        <v>14</v>
      </c>
      <c r="E1666">
        <v>4435</v>
      </c>
      <c r="F1666">
        <v>0</v>
      </c>
    </row>
    <row r="1667" spans="1:6" hidden="1" x14ac:dyDescent="0.3">
      <c r="A1667">
        <v>1666</v>
      </c>
      <c r="B1667" t="s">
        <v>37</v>
      </c>
      <c r="C1667">
        <v>2012</v>
      </c>
      <c r="D1667" t="s">
        <v>14</v>
      </c>
      <c r="E1667">
        <v>4001</v>
      </c>
      <c r="F1667">
        <v>0</v>
      </c>
    </row>
    <row r="1668" spans="1:6" hidden="1" x14ac:dyDescent="0.3">
      <c r="A1668">
        <v>1667</v>
      </c>
      <c r="B1668" t="s">
        <v>37</v>
      </c>
      <c r="C1668">
        <v>2012</v>
      </c>
      <c r="D1668" t="s">
        <v>14</v>
      </c>
      <c r="E1668">
        <v>28879</v>
      </c>
      <c r="F1668">
        <v>3244000</v>
      </c>
    </row>
    <row r="1669" spans="1:6" hidden="1" x14ac:dyDescent="0.3">
      <c r="A1669">
        <v>1668</v>
      </c>
      <c r="B1669" t="s">
        <v>37</v>
      </c>
      <c r="C1669">
        <v>2012</v>
      </c>
      <c r="D1669" t="s">
        <v>9</v>
      </c>
      <c r="E1669">
        <v>12300</v>
      </c>
      <c r="F1669">
        <v>0</v>
      </c>
    </row>
    <row r="1670" spans="1:6" hidden="1" x14ac:dyDescent="0.3">
      <c r="A1670">
        <v>1669</v>
      </c>
      <c r="B1670" t="s">
        <v>37</v>
      </c>
      <c r="C1670">
        <v>2012</v>
      </c>
      <c r="D1670" t="s">
        <v>9</v>
      </c>
      <c r="E1670">
        <v>700</v>
      </c>
      <c r="F1670">
        <v>0</v>
      </c>
    </row>
    <row r="1671" spans="1:6" hidden="1" x14ac:dyDescent="0.3">
      <c r="A1671">
        <v>1670</v>
      </c>
      <c r="B1671" t="s">
        <v>37</v>
      </c>
      <c r="C1671">
        <v>2012</v>
      </c>
      <c r="D1671" t="s">
        <v>9</v>
      </c>
      <c r="E1671">
        <v>88570</v>
      </c>
      <c r="F1671">
        <v>0</v>
      </c>
    </row>
    <row r="1672" spans="1:6" hidden="1" x14ac:dyDescent="0.3">
      <c r="A1672">
        <v>1671</v>
      </c>
      <c r="B1672" t="s">
        <v>37</v>
      </c>
      <c r="C1672">
        <v>2012</v>
      </c>
      <c r="D1672" t="s">
        <v>9</v>
      </c>
      <c r="E1672">
        <v>569</v>
      </c>
      <c r="F1672">
        <v>0</v>
      </c>
    </row>
    <row r="1673" spans="1:6" hidden="1" x14ac:dyDescent="0.3">
      <c r="A1673">
        <v>1672</v>
      </c>
      <c r="B1673" t="s">
        <v>37</v>
      </c>
      <c r="C1673">
        <v>2012</v>
      </c>
      <c r="D1673" t="s">
        <v>9</v>
      </c>
      <c r="E1673">
        <v>25000</v>
      </c>
      <c r="F1673">
        <v>0</v>
      </c>
    </row>
    <row r="1674" spans="1:6" hidden="1" x14ac:dyDescent="0.3">
      <c r="A1674">
        <v>1673</v>
      </c>
      <c r="B1674" t="s">
        <v>37</v>
      </c>
      <c r="C1674">
        <v>2012</v>
      </c>
      <c r="D1674" t="s">
        <v>9</v>
      </c>
      <c r="E1674">
        <v>4451725</v>
      </c>
      <c r="F1674">
        <v>72330000</v>
      </c>
    </row>
    <row r="1675" spans="1:6" hidden="1" x14ac:dyDescent="0.3">
      <c r="A1675">
        <v>1674</v>
      </c>
      <c r="B1675" t="s">
        <v>37</v>
      </c>
      <c r="C1675">
        <v>2012</v>
      </c>
      <c r="D1675" t="s">
        <v>9</v>
      </c>
      <c r="E1675">
        <v>4835</v>
      </c>
      <c r="F1675">
        <v>2000000</v>
      </c>
    </row>
    <row r="1676" spans="1:6" hidden="1" x14ac:dyDescent="0.3">
      <c r="A1676">
        <v>1675</v>
      </c>
      <c r="B1676" t="s">
        <v>37</v>
      </c>
      <c r="C1676">
        <v>2012</v>
      </c>
      <c r="D1676" t="s">
        <v>9</v>
      </c>
      <c r="E1676">
        <v>30929</v>
      </c>
      <c r="F1676">
        <v>1000000</v>
      </c>
    </row>
    <row r="1677" spans="1:6" hidden="1" x14ac:dyDescent="0.3">
      <c r="A1677">
        <v>1676</v>
      </c>
      <c r="B1677" t="s">
        <v>37</v>
      </c>
      <c r="C1677">
        <v>2012</v>
      </c>
      <c r="D1677" t="s">
        <v>11</v>
      </c>
      <c r="E1677">
        <v>0</v>
      </c>
      <c r="F1677">
        <v>3000000</v>
      </c>
    </row>
    <row r="1678" spans="1:6" hidden="1" x14ac:dyDescent="0.3">
      <c r="A1678">
        <v>1677</v>
      </c>
      <c r="B1678" t="s">
        <v>37</v>
      </c>
      <c r="C1678">
        <v>2012</v>
      </c>
      <c r="D1678" t="s">
        <v>11</v>
      </c>
      <c r="E1678">
        <v>1234</v>
      </c>
      <c r="F1678">
        <v>0</v>
      </c>
    </row>
    <row r="1679" spans="1:6" hidden="1" x14ac:dyDescent="0.3">
      <c r="A1679">
        <v>1678</v>
      </c>
      <c r="B1679" t="s">
        <v>37</v>
      </c>
      <c r="C1679">
        <v>2012</v>
      </c>
      <c r="D1679" t="s">
        <v>11</v>
      </c>
      <c r="E1679">
        <v>322</v>
      </c>
      <c r="F1679">
        <v>0</v>
      </c>
    </row>
    <row r="1680" spans="1:6" hidden="1" x14ac:dyDescent="0.3">
      <c r="A1680">
        <v>1679</v>
      </c>
      <c r="B1680" t="s">
        <v>37</v>
      </c>
      <c r="C1680">
        <v>2012</v>
      </c>
      <c r="D1680" t="s">
        <v>11</v>
      </c>
      <c r="E1680">
        <v>6246664</v>
      </c>
      <c r="F1680">
        <v>898352000</v>
      </c>
    </row>
    <row r="1681" spans="1:6" hidden="1" x14ac:dyDescent="0.3">
      <c r="A1681">
        <v>1680</v>
      </c>
      <c r="B1681" t="s">
        <v>41</v>
      </c>
      <c r="C1681">
        <v>2012</v>
      </c>
      <c r="D1681" t="s">
        <v>9</v>
      </c>
      <c r="E1681">
        <v>12200</v>
      </c>
      <c r="F1681">
        <v>0</v>
      </c>
    </row>
    <row r="1682" spans="1:6" hidden="1" x14ac:dyDescent="0.3">
      <c r="A1682">
        <v>1681</v>
      </c>
      <c r="B1682" t="s">
        <v>41</v>
      </c>
      <c r="C1682">
        <v>2012</v>
      </c>
      <c r="D1682" t="s">
        <v>9</v>
      </c>
      <c r="E1682">
        <v>20000</v>
      </c>
      <c r="F1682">
        <v>0</v>
      </c>
    </row>
    <row r="1683" spans="1:6" x14ac:dyDescent="0.3">
      <c r="A1683">
        <v>1682</v>
      </c>
      <c r="B1683" t="s">
        <v>42</v>
      </c>
      <c r="C1683">
        <v>2012</v>
      </c>
      <c r="D1683" t="s">
        <v>14</v>
      </c>
      <c r="E1683">
        <v>2531</v>
      </c>
      <c r="F1683">
        <v>0</v>
      </c>
    </row>
    <row r="1684" spans="1:6" hidden="1" x14ac:dyDescent="0.3">
      <c r="A1684">
        <v>1683</v>
      </c>
      <c r="B1684" t="s">
        <v>21</v>
      </c>
      <c r="C1684">
        <v>2013</v>
      </c>
      <c r="D1684" t="s">
        <v>11</v>
      </c>
      <c r="E1684">
        <v>5000</v>
      </c>
      <c r="F1684">
        <v>2000000</v>
      </c>
    </row>
    <row r="1685" spans="1:6" hidden="1" x14ac:dyDescent="0.3">
      <c r="A1685">
        <v>1684</v>
      </c>
      <c r="B1685" t="s">
        <v>21</v>
      </c>
      <c r="C1685">
        <v>2013</v>
      </c>
      <c r="D1685" t="s">
        <v>11</v>
      </c>
      <c r="E1685">
        <v>105000</v>
      </c>
      <c r="F1685">
        <v>4200000000</v>
      </c>
    </row>
    <row r="1686" spans="1:6" hidden="1" x14ac:dyDescent="0.3">
      <c r="A1686">
        <v>1685</v>
      </c>
      <c r="B1686" t="s">
        <v>21</v>
      </c>
      <c r="C1686">
        <v>2013</v>
      </c>
      <c r="D1686" t="s">
        <v>11</v>
      </c>
      <c r="E1686">
        <v>50000</v>
      </c>
      <c r="F1686">
        <v>1500000000</v>
      </c>
    </row>
    <row r="1687" spans="1:6" hidden="1" x14ac:dyDescent="0.3">
      <c r="A1687">
        <v>1686</v>
      </c>
      <c r="B1687" t="s">
        <v>37</v>
      </c>
      <c r="C1687">
        <v>2013</v>
      </c>
      <c r="D1687" t="s">
        <v>11</v>
      </c>
      <c r="E1687">
        <v>72696</v>
      </c>
      <c r="F1687">
        <v>0</v>
      </c>
    </row>
    <row r="1688" spans="1:6" hidden="1" x14ac:dyDescent="0.3">
      <c r="A1688">
        <v>1687</v>
      </c>
      <c r="B1688" t="s">
        <v>16</v>
      </c>
      <c r="C1688">
        <v>2013</v>
      </c>
      <c r="D1688" t="s">
        <v>11</v>
      </c>
      <c r="E1688">
        <v>13230000</v>
      </c>
      <c r="F1688">
        <v>633471000</v>
      </c>
    </row>
    <row r="1689" spans="1:6" hidden="1" x14ac:dyDescent="0.3">
      <c r="A1689">
        <v>1688</v>
      </c>
      <c r="B1689" t="s">
        <v>41</v>
      </c>
      <c r="C1689">
        <v>2013</v>
      </c>
      <c r="D1689" t="s">
        <v>11</v>
      </c>
      <c r="E1689">
        <v>142380</v>
      </c>
      <c r="F1689">
        <v>2000000</v>
      </c>
    </row>
    <row r="1690" spans="1:6" hidden="1" x14ac:dyDescent="0.3">
      <c r="A1690">
        <v>1689</v>
      </c>
      <c r="B1690" t="s">
        <v>34</v>
      </c>
      <c r="C1690">
        <v>2013</v>
      </c>
      <c r="D1690" t="s">
        <v>9</v>
      </c>
      <c r="E1690">
        <v>100020</v>
      </c>
      <c r="F1690">
        <v>36000000</v>
      </c>
    </row>
    <row r="1691" spans="1:6" hidden="1" x14ac:dyDescent="0.3">
      <c r="A1691">
        <v>1690</v>
      </c>
      <c r="B1691" t="s">
        <v>21</v>
      </c>
      <c r="C1691">
        <v>2013</v>
      </c>
      <c r="D1691" t="s">
        <v>9</v>
      </c>
      <c r="E1691">
        <v>0</v>
      </c>
      <c r="F1691">
        <v>0</v>
      </c>
    </row>
    <row r="1692" spans="1:6" hidden="1" x14ac:dyDescent="0.3">
      <c r="A1692">
        <v>1691</v>
      </c>
      <c r="B1692" t="s">
        <v>33</v>
      </c>
      <c r="C1692">
        <v>2013</v>
      </c>
      <c r="D1692" t="s">
        <v>9</v>
      </c>
      <c r="E1692">
        <v>12503</v>
      </c>
      <c r="F1692">
        <v>0</v>
      </c>
    </row>
    <row r="1693" spans="1:6" hidden="1" x14ac:dyDescent="0.3">
      <c r="A1693">
        <v>1692</v>
      </c>
      <c r="B1693" t="s">
        <v>37</v>
      </c>
      <c r="C1693">
        <v>2013</v>
      </c>
      <c r="D1693" t="s">
        <v>9</v>
      </c>
      <c r="E1693">
        <v>507769</v>
      </c>
      <c r="F1693">
        <v>2800000</v>
      </c>
    </row>
    <row r="1694" spans="1:6" hidden="1" x14ac:dyDescent="0.3">
      <c r="A1694">
        <v>1693</v>
      </c>
      <c r="B1694" t="s">
        <v>37</v>
      </c>
      <c r="C1694">
        <v>2013</v>
      </c>
      <c r="D1694" t="s">
        <v>9</v>
      </c>
      <c r="E1694">
        <v>3096422</v>
      </c>
      <c r="F1694">
        <v>2190000000</v>
      </c>
    </row>
    <row r="1695" spans="1:6" hidden="1" x14ac:dyDescent="0.3">
      <c r="A1695">
        <v>1694</v>
      </c>
      <c r="B1695" t="s">
        <v>37</v>
      </c>
      <c r="C1695">
        <v>2013</v>
      </c>
      <c r="D1695" t="s">
        <v>9</v>
      </c>
      <c r="E1695">
        <v>100021</v>
      </c>
      <c r="F1695">
        <v>36000000</v>
      </c>
    </row>
    <row r="1696" spans="1:6" hidden="1" x14ac:dyDescent="0.3">
      <c r="A1696">
        <v>1695</v>
      </c>
      <c r="B1696" t="s">
        <v>36</v>
      </c>
      <c r="C1696">
        <v>2013</v>
      </c>
      <c r="D1696" t="s">
        <v>9</v>
      </c>
      <c r="E1696">
        <v>355</v>
      </c>
      <c r="F1696">
        <v>0</v>
      </c>
    </row>
    <row r="1697" spans="1:6" hidden="1" x14ac:dyDescent="0.3">
      <c r="A1697">
        <v>1696</v>
      </c>
      <c r="B1697" t="s">
        <v>16</v>
      </c>
      <c r="C1697">
        <v>2013</v>
      </c>
      <c r="D1697" t="s">
        <v>11</v>
      </c>
      <c r="E1697">
        <v>0</v>
      </c>
      <c r="F1697">
        <v>262000000</v>
      </c>
    </row>
    <row r="1698" spans="1:6" hidden="1" x14ac:dyDescent="0.3">
      <c r="A1698">
        <v>1697</v>
      </c>
      <c r="B1698" t="s">
        <v>22</v>
      </c>
      <c r="C1698">
        <v>2013</v>
      </c>
      <c r="D1698" t="s">
        <v>11</v>
      </c>
      <c r="E1698">
        <v>40281</v>
      </c>
      <c r="F1698">
        <v>25000000</v>
      </c>
    </row>
    <row r="1699" spans="1:6" hidden="1" x14ac:dyDescent="0.3">
      <c r="A1699">
        <v>1698</v>
      </c>
      <c r="B1699" t="s">
        <v>37</v>
      </c>
      <c r="C1699">
        <v>2013</v>
      </c>
      <c r="D1699" t="s">
        <v>11</v>
      </c>
      <c r="E1699">
        <v>10597</v>
      </c>
      <c r="F1699">
        <v>0</v>
      </c>
    </row>
    <row r="1700" spans="1:6" hidden="1" x14ac:dyDescent="0.3">
      <c r="A1700">
        <v>1699</v>
      </c>
      <c r="B1700" t="s">
        <v>37</v>
      </c>
      <c r="C1700">
        <v>2013</v>
      </c>
      <c r="D1700" t="s">
        <v>11</v>
      </c>
      <c r="E1700">
        <v>871755</v>
      </c>
      <c r="F1700">
        <v>96723000</v>
      </c>
    </row>
    <row r="1701" spans="1:6" hidden="1" x14ac:dyDescent="0.3">
      <c r="A1701">
        <v>1700</v>
      </c>
      <c r="B1701" t="s">
        <v>37</v>
      </c>
      <c r="C1701">
        <v>2013</v>
      </c>
      <c r="D1701" t="s">
        <v>11</v>
      </c>
      <c r="E1701">
        <v>220443</v>
      </c>
      <c r="F1701">
        <v>4729000</v>
      </c>
    </row>
    <row r="1702" spans="1:6" hidden="1" x14ac:dyDescent="0.3">
      <c r="A1702">
        <v>1701</v>
      </c>
      <c r="B1702" t="s">
        <v>31</v>
      </c>
      <c r="C1702">
        <v>2013</v>
      </c>
      <c r="D1702" t="s">
        <v>7</v>
      </c>
      <c r="E1702">
        <v>780000</v>
      </c>
      <c r="F1702">
        <v>64000000</v>
      </c>
    </row>
    <row r="1703" spans="1:6" hidden="1" x14ac:dyDescent="0.3">
      <c r="A1703">
        <v>1702</v>
      </c>
      <c r="B1703" t="s">
        <v>37</v>
      </c>
      <c r="C1703">
        <v>2013</v>
      </c>
      <c r="D1703" t="s">
        <v>11</v>
      </c>
      <c r="E1703">
        <v>16106870</v>
      </c>
      <c r="F1703">
        <v>10000000000</v>
      </c>
    </row>
    <row r="1704" spans="1:6" hidden="1" x14ac:dyDescent="0.3">
      <c r="A1704">
        <v>1703</v>
      </c>
      <c r="B1704" t="s">
        <v>37</v>
      </c>
      <c r="C1704">
        <v>2013</v>
      </c>
      <c r="D1704" t="s">
        <v>9</v>
      </c>
      <c r="E1704">
        <v>207971</v>
      </c>
      <c r="F1704">
        <v>1988000</v>
      </c>
    </row>
    <row r="1705" spans="1:6" hidden="1" x14ac:dyDescent="0.3">
      <c r="A1705">
        <v>1704</v>
      </c>
      <c r="B1705" t="s">
        <v>16</v>
      </c>
      <c r="C1705">
        <v>2013</v>
      </c>
      <c r="D1705" t="s">
        <v>9</v>
      </c>
      <c r="E1705">
        <v>2000000</v>
      </c>
      <c r="F1705">
        <v>0</v>
      </c>
    </row>
    <row r="1706" spans="1:6" hidden="1" x14ac:dyDescent="0.3">
      <c r="A1706">
        <v>1705</v>
      </c>
      <c r="B1706" t="s">
        <v>18</v>
      </c>
      <c r="C1706">
        <v>2013</v>
      </c>
      <c r="D1706" t="s">
        <v>14</v>
      </c>
      <c r="E1706">
        <v>4350</v>
      </c>
      <c r="F1706">
        <v>600000000</v>
      </c>
    </row>
    <row r="1707" spans="1:6" hidden="1" x14ac:dyDescent="0.3">
      <c r="A1707">
        <v>1706</v>
      </c>
      <c r="B1707" t="s">
        <v>18</v>
      </c>
      <c r="C1707">
        <v>2013</v>
      </c>
      <c r="D1707" t="s">
        <v>14</v>
      </c>
      <c r="E1707">
        <v>27</v>
      </c>
      <c r="F1707">
        <v>0</v>
      </c>
    </row>
    <row r="1708" spans="1:6" hidden="1" x14ac:dyDescent="0.3">
      <c r="A1708">
        <v>1707</v>
      </c>
      <c r="B1708" t="s">
        <v>18</v>
      </c>
      <c r="C1708">
        <v>2013</v>
      </c>
      <c r="D1708" t="s">
        <v>14</v>
      </c>
      <c r="E1708">
        <v>1620</v>
      </c>
      <c r="F1708">
        <v>0</v>
      </c>
    </row>
    <row r="1709" spans="1:6" hidden="1" x14ac:dyDescent="0.3">
      <c r="A1709">
        <v>1708</v>
      </c>
      <c r="B1709" t="s">
        <v>34</v>
      </c>
      <c r="C1709">
        <v>2013</v>
      </c>
      <c r="D1709" t="s">
        <v>9</v>
      </c>
      <c r="E1709">
        <v>5000</v>
      </c>
      <c r="F1709">
        <v>0</v>
      </c>
    </row>
    <row r="1710" spans="1:6" hidden="1" x14ac:dyDescent="0.3">
      <c r="A1710">
        <v>1709</v>
      </c>
      <c r="B1710" t="s">
        <v>34</v>
      </c>
      <c r="C1710">
        <v>2013</v>
      </c>
      <c r="D1710" t="s">
        <v>9</v>
      </c>
      <c r="E1710">
        <v>10780</v>
      </c>
      <c r="F1710">
        <v>0</v>
      </c>
    </row>
    <row r="1711" spans="1:6" hidden="1" x14ac:dyDescent="0.3">
      <c r="A1711">
        <v>1710</v>
      </c>
      <c r="B1711" t="s">
        <v>34</v>
      </c>
      <c r="C1711">
        <v>2013</v>
      </c>
      <c r="D1711" t="s">
        <v>9</v>
      </c>
      <c r="E1711">
        <v>0</v>
      </c>
      <c r="F1711">
        <v>0</v>
      </c>
    </row>
    <row r="1712" spans="1:6" hidden="1" x14ac:dyDescent="0.3">
      <c r="A1712">
        <v>1711</v>
      </c>
      <c r="B1712" t="s">
        <v>17</v>
      </c>
      <c r="C1712">
        <v>2013</v>
      </c>
      <c r="D1712" t="s">
        <v>9</v>
      </c>
      <c r="E1712">
        <v>56747</v>
      </c>
      <c r="F1712">
        <v>0</v>
      </c>
    </row>
    <row r="1713" spans="1:6" hidden="1" x14ac:dyDescent="0.3">
      <c r="A1713">
        <v>1712</v>
      </c>
      <c r="B1713" t="s">
        <v>17</v>
      </c>
      <c r="C1713">
        <v>2013</v>
      </c>
      <c r="D1713" t="s">
        <v>9</v>
      </c>
      <c r="E1713">
        <v>17214</v>
      </c>
      <c r="F1713">
        <v>2000000</v>
      </c>
    </row>
    <row r="1714" spans="1:6" hidden="1" x14ac:dyDescent="0.3">
      <c r="A1714">
        <v>1713</v>
      </c>
      <c r="B1714" t="s">
        <v>17</v>
      </c>
      <c r="C1714">
        <v>2013</v>
      </c>
      <c r="D1714" t="s">
        <v>11</v>
      </c>
      <c r="E1714">
        <v>7339</v>
      </c>
      <c r="F1714">
        <v>0</v>
      </c>
    </row>
    <row r="1715" spans="1:6" hidden="1" x14ac:dyDescent="0.3">
      <c r="A1715">
        <v>1714</v>
      </c>
      <c r="B1715" t="s">
        <v>22</v>
      </c>
      <c r="C1715">
        <v>2013</v>
      </c>
      <c r="D1715" t="s">
        <v>11</v>
      </c>
      <c r="E1715">
        <v>4598</v>
      </c>
      <c r="F1715">
        <v>0</v>
      </c>
    </row>
    <row r="1716" spans="1:6" hidden="1" x14ac:dyDescent="0.3">
      <c r="A1716">
        <v>1715</v>
      </c>
      <c r="B1716" t="s">
        <v>21</v>
      </c>
      <c r="C1716">
        <v>2013</v>
      </c>
      <c r="D1716" t="s">
        <v>11</v>
      </c>
      <c r="E1716">
        <v>12000</v>
      </c>
      <c r="F1716">
        <v>0</v>
      </c>
    </row>
    <row r="1717" spans="1:6" hidden="1" x14ac:dyDescent="0.3">
      <c r="A1717">
        <v>1716</v>
      </c>
      <c r="B1717" t="s">
        <v>45</v>
      </c>
      <c r="C1717">
        <v>2013</v>
      </c>
      <c r="D1717" t="s">
        <v>9</v>
      </c>
      <c r="E1717">
        <v>73300</v>
      </c>
      <c r="F1717">
        <v>0</v>
      </c>
    </row>
    <row r="1718" spans="1:6" hidden="1" x14ac:dyDescent="0.3">
      <c r="A1718">
        <v>1717</v>
      </c>
      <c r="B1718" t="s">
        <v>30</v>
      </c>
      <c r="C1718">
        <v>2013</v>
      </c>
      <c r="D1718" t="s">
        <v>9</v>
      </c>
      <c r="E1718">
        <v>240000</v>
      </c>
      <c r="F1718">
        <v>30000000</v>
      </c>
    </row>
    <row r="1719" spans="1:6" hidden="1" x14ac:dyDescent="0.3">
      <c r="A1719">
        <v>1718</v>
      </c>
      <c r="B1719" t="s">
        <v>31</v>
      </c>
      <c r="C1719">
        <v>2013</v>
      </c>
      <c r="D1719" t="s">
        <v>9</v>
      </c>
      <c r="E1719">
        <v>14500</v>
      </c>
      <c r="F1719">
        <v>0</v>
      </c>
    </row>
    <row r="1720" spans="1:6" hidden="1" x14ac:dyDescent="0.3">
      <c r="A1720">
        <v>1719</v>
      </c>
      <c r="B1720" t="s">
        <v>32</v>
      </c>
      <c r="C1720">
        <v>2013</v>
      </c>
      <c r="D1720" t="s">
        <v>9</v>
      </c>
      <c r="E1720">
        <v>165943</v>
      </c>
      <c r="F1720">
        <v>64724000</v>
      </c>
    </row>
    <row r="1721" spans="1:6" hidden="1" x14ac:dyDescent="0.3">
      <c r="A1721">
        <v>1720</v>
      </c>
      <c r="B1721" t="s">
        <v>32</v>
      </c>
      <c r="C1721">
        <v>2013</v>
      </c>
      <c r="D1721" t="s">
        <v>9</v>
      </c>
      <c r="E1721">
        <v>15086</v>
      </c>
      <c r="F1721">
        <v>0</v>
      </c>
    </row>
    <row r="1722" spans="1:6" hidden="1" x14ac:dyDescent="0.3">
      <c r="A1722">
        <v>1721</v>
      </c>
      <c r="B1722" t="s">
        <v>24</v>
      </c>
      <c r="C1722">
        <v>2013</v>
      </c>
      <c r="D1722" t="s">
        <v>9</v>
      </c>
      <c r="E1722">
        <v>14149</v>
      </c>
      <c r="F1722">
        <v>0</v>
      </c>
    </row>
    <row r="1723" spans="1:6" hidden="1" x14ac:dyDescent="0.3">
      <c r="A1723">
        <v>1722</v>
      </c>
      <c r="B1723" t="s">
        <v>33</v>
      </c>
      <c r="C1723">
        <v>2013</v>
      </c>
      <c r="D1723" t="s">
        <v>9</v>
      </c>
      <c r="E1723">
        <v>4320</v>
      </c>
      <c r="F1723">
        <v>0</v>
      </c>
    </row>
    <row r="1724" spans="1:6" hidden="1" x14ac:dyDescent="0.3">
      <c r="A1724">
        <v>1723</v>
      </c>
      <c r="B1724" t="s">
        <v>35</v>
      </c>
      <c r="C1724">
        <v>2013</v>
      </c>
      <c r="D1724" t="s">
        <v>14</v>
      </c>
      <c r="E1724">
        <v>15175</v>
      </c>
      <c r="F1724">
        <v>0</v>
      </c>
    </row>
    <row r="1725" spans="1:6" hidden="1" x14ac:dyDescent="0.3">
      <c r="A1725">
        <v>1724</v>
      </c>
      <c r="B1725" t="s">
        <v>35</v>
      </c>
      <c r="C1725">
        <v>2013</v>
      </c>
      <c r="D1725" t="s">
        <v>14</v>
      </c>
      <c r="E1725">
        <v>185749</v>
      </c>
      <c r="F1725">
        <v>100000000</v>
      </c>
    </row>
    <row r="1726" spans="1:6" hidden="1" x14ac:dyDescent="0.3">
      <c r="A1726">
        <v>1725</v>
      </c>
      <c r="B1726" t="s">
        <v>35</v>
      </c>
      <c r="C1726">
        <v>2013</v>
      </c>
      <c r="D1726" t="s">
        <v>14</v>
      </c>
      <c r="E1726">
        <v>50</v>
      </c>
      <c r="F1726">
        <v>0</v>
      </c>
    </row>
    <row r="1727" spans="1:6" hidden="1" x14ac:dyDescent="0.3">
      <c r="A1727">
        <v>1726</v>
      </c>
      <c r="B1727" t="s">
        <v>35</v>
      </c>
      <c r="C1727">
        <v>2013</v>
      </c>
      <c r="D1727" t="s">
        <v>9</v>
      </c>
      <c r="E1727">
        <v>57</v>
      </c>
      <c r="F1727">
        <v>0</v>
      </c>
    </row>
    <row r="1728" spans="1:6" hidden="1" x14ac:dyDescent="0.3">
      <c r="A1728">
        <v>1727</v>
      </c>
      <c r="B1728" t="s">
        <v>35</v>
      </c>
      <c r="C1728">
        <v>2013</v>
      </c>
      <c r="D1728" t="s">
        <v>9</v>
      </c>
      <c r="E1728">
        <v>1497725</v>
      </c>
      <c r="F1728">
        <v>1500000000</v>
      </c>
    </row>
    <row r="1729" spans="1:6" hidden="1" x14ac:dyDescent="0.3">
      <c r="A1729">
        <v>1728</v>
      </c>
      <c r="B1729" t="s">
        <v>36</v>
      </c>
      <c r="C1729">
        <v>2013</v>
      </c>
      <c r="D1729" t="s">
        <v>14</v>
      </c>
      <c r="E1729">
        <v>7084</v>
      </c>
      <c r="F1729">
        <v>0</v>
      </c>
    </row>
    <row r="1730" spans="1:6" hidden="1" x14ac:dyDescent="0.3">
      <c r="A1730">
        <v>1729</v>
      </c>
      <c r="B1730" t="s">
        <v>36</v>
      </c>
      <c r="C1730">
        <v>2013</v>
      </c>
      <c r="D1730" t="s">
        <v>9</v>
      </c>
      <c r="E1730">
        <v>180766</v>
      </c>
      <c r="F1730">
        <v>0</v>
      </c>
    </row>
    <row r="1731" spans="1:6" hidden="1" x14ac:dyDescent="0.3">
      <c r="A1731">
        <v>1730</v>
      </c>
      <c r="B1731" t="s">
        <v>37</v>
      </c>
      <c r="C1731">
        <v>2013</v>
      </c>
      <c r="D1731" t="s">
        <v>14</v>
      </c>
      <c r="E1731">
        <v>3222224</v>
      </c>
      <c r="F1731">
        <v>51459000</v>
      </c>
    </row>
    <row r="1732" spans="1:6" hidden="1" x14ac:dyDescent="0.3">
      <c r="A1732">
        <v>1731</v>
      </c>
      <c r="B1732" t="s">
        <v>37</v>
      </c>
      <c r="C1732">
        <v>2013</v>
      </c>
      <c r="D1732" t="s">
        <v>9</v>
      </c>
      <c r="E1732">
        <v>588155</v>
      </c>
      <c r="F1732">
        <v>4000000</v>
      </c>
    </row>
    <row r="1733" spans="1:6" hidden="1" x14ac:dyDescent="0.3">
      <c r="A1733">
        <v>1732</v>
      </c>
      <c r="B1733" t="s">
        <v>37</v>
      </c>
      <c r="C1733">
        <v>2013</v>
      </c>
      <c r="D1733" t="s">
        <v>11</v>
      </c>
      <c r="E1733">
        <v>3596</v>
      </c>
      <c r="F1733">
        <v>1000000</v>
      </c>
    </row>
    <row r="1734" spans="1:6" hidden="1" x14ac:dyDescent="0.3">
      <c r="A1734">
        <v>1733</v>
      </c>
      <c r="B1734" t="s">
        <v>37</v>
      </c>
      <c r="C1734">
        <v>2013</v>
      </c>
      <c r="D1734" t="s">
        <v>11</v>
      </c>
      <c r="E1734">
        <v>395730</v>
      </c>
      <c r="F1734">
        <v>32431000</v>
      </c>
    </row>
    <row r="1735" spans="1:6" hidden="1" x14ac:dyDescent="0.3">
      <c r="A1735">
        <v>1734</v>
      </c>
      <c r="B1735" t="s">
        <v>37</v>
      </c>
      <c r="C1735">
        <v>2013</v>
      </c>
      <c r="D1735" t="s">
        <v>11</v>
      </c>
      <c r="E1735">
        <v>262884</v>
      </c>
      <c r="F1735">
        <v>1680000</v>
      </c>
    </row>
    <row r="1736" spans="1:6" hidden="1" x14ac:dyDescent="0.3">
      <c r="A1736">
        <v>1735</v>
      </c>
      <c r="B1736" t="s">
        <v>39</v>
      </c>
      <c r="C1736">
        <v>2013</v>
      </c>
      <c r="D1736" t="s">
        <v>9</v>
      </c>
      <c r="E1736">
        <v>5400</v>
      </c>
      <c r="F1736">
        <v>11000000</v>
      </c>
    </row>
    <row r="1737" spans="1:6" hidden="1" x14ac:dyDescent="0.3">
      <c r="A1737">
        <v>1736</v>
      </c>
      <c r="B1737" t="s">
        <v>41</v>
      </c>
      <c r="C1737">
        <v>2013</v>
      </c>
      <c r="D1737" t="s">
        <v>9</v>
      </c>
      <c r="E1737">
        <v>50000</v>
      </c>
      <c r="F1737">
        <v>0</v>
      </c>
    </row>
    <row r="1738" spans="1:6" hidden="1" x14ac:dyDescent="0.3">
      <c r="A1738">
        <v>1737</v>
      </c>
      <c r="B1738" t="s">
        <v>41</v>
      </c>
      <c r="C1738">
        <v>2013</v>
      </c>
      <c r="D1738" t="s">
        <v>9</v>
      </c>
      <c r="E1738">
        <v>55000</v>
      </c>
      <c r="F1738">
        <v>0</v>
      </c>
    </row>
    <row r="1739" spans="1:6" hidden="1" x14ac:dyDescent="0.3">
      <c r="A1739">
        <v>1738</v>
      </c>
      <c r="B1739" t="s">
        <v>37</v>
      </c>
      <c r="C1739">
        <v>2014</v>
      </c>
      <c r="D1739" t="s">
        <v>11</v>
      </c>
      <c r="E1739">
        <v>1148707</v>
      </c>
      <c r="F1739">
        <v>12591000</v>
      </c>
    </row>
    <row r="1740" spans="1:6" hidden="1" x14ac:dyDescent="0.3">
      <c r="A1740">
        <v>1739</v>
      </c>
      <c r="B1740" t="s">
        <v>29</v>
      </c>
      <c r="C1740">
        <v>2014</v>
      </c>
      <c r="D1740" t="s">
        <v>11</v>
      </c>
      <c r="E1740">
        <v>0</v>
      </c>
      <c r="F1740">
        <v>0</v>
      </c>
    </row>
    <row r="1741" spans="1:6" hidden="1" x14ac:dyDescent="0.3">
      <c r="A1741">
        <v>1740</v>
      </c>
      <c r="B1741" t="s">
        <v>38</v>
      </c>
      <c r="C1741">
        <v>2011</v>
      </c>
      <c r="D1741" t="s">
        <v>11</v>
      </c>
      <c r="E1741">
        <v>3550</v>
      </c>
      <c r="F1741">
        <v>10000000</v>
      </c>
    </row>
    <row r="1742" spans="1:6" hidden="1" x14ac:dyDescent="0.3">
      <c r="A1742">
        <v>1741</v>
      </c>
      <c r="B1742" t="s">
        <v>43</v>
      </c>
      <c r="C1742">
        <v>2011</v>
      </c>
      <c r="D1742" t="s">
        <v>9</v>
      </c>
      <c r="E1742">
        <v>300000</v>
      </c>
      <c r="F1742">
        <v>44000000</v>
      </c>
    </row>
    <row r="1743" spans="1:6" hidden="1" x14ac:dyDescent="0.3">
      <c r="A1743">
        <v>1742</v>
      </c>
      <c r="B1743" t="s">
        <v>43</v>
      </c>
      <c r="C1743">
        <v>2011</v>
      </c>
      <c r="D1743" t="s">
        <v>9</v>
      </c>
      <c r="E1743">
        <v>600000</v>
      </c>
      <c r="F1743">
        <v>175002000</v>
      </c>
    </row>
    <row r="1744" spans="1:6" hidden="1" x14ac:dyDescent="0.3">
      <c r="A1744">
        <v>1743</v>
      </c>
      <c r="B1744" t="s">
        <v>43</v>
      </c>
      <c r="C1744">
        <v>2011</v>
      </c>
      <c r="D1744" t="s">
        <v>9</v>
      </c>
      <c r="E1744">
        <v>461584</v>
      </c>
      <c r="F1744">
        <v>0</v>
      </c>
    </row>
    <row r="1745" spans="1:6" hidden="1" x14ac:dyDescent="0.3">
      <c r="A1745">
        <v>1744</v>
      </c>
      <c r="B1745" t="s">
        <v>43</v>
      </c>
      <c r="C1745">
        <v>2011</v>
      </c>
      <c r="D1745" t="s">
        <v>11</v>
      </c>
      <c r="E1745">
        <v>0</v>
      </c>
      <c r="F1745">
        <v>0</v>
      </c>
    </row>
    <row r="1746" spans="1:6" hidden="1" x14ac:dyDescent="0.3">
      <c r="A1746">
        <v>1745</v>
      </c>
      <c r="B1746" t="s">
        <v>38</v>
      </c>
      <c r="C1746">
        <v>2011</v>
      </c>
      <c r="D1746" t="s">
        <v>11</v>
      </c>
      <c r="E1746">
        <v>2773</v>
      </c>
      <c r="F1746">
        <v>0</v>
      </c>
    </row>
    <row r="1747" spans="1:6" hidden="1" x14ac:dyDescent="0.3">
      <c r="A1747">
        <v>1746</v>
      </c>
      <c r="B1747" t="s">
        <v>43</v>
      </c>
      <c r="C1747">
        <v>2012</v>
      </c>
      <c r="D1747" t="s">
        <v>11</v>
      </c>
      <c r="E1747">
        <v>3</v>
      </c>
      <c r="F1747">
        <v>0</v>
      </c>
    </row>
    <row r="1748" spans="1:6" hidden="1" x14ac:dyDescent="0.3">
      <c r="A1748">
        <v>1747</v>
      </c>
      <c r="B1748" t="s">
        <v>43</v>
      </c>
      <c r="C1748">
        <v>2012</v>
      </c>
      <c r="D1748" t="s">
        <v>11</v>
      </c>
      <c r="E1748">
        <v>60479</v>
      </c>
      <c r="F1748">
        <v>6800000</v>
      </c>
    </row>
    <row r="1749" spans="1:6" hidden="1" x14ac:dyDescent="0.3">
      <c r="A1749">
        <v>1748</v>
      </c>
      <c r="B1749" t="s">
        <v>43</v>
      </c>
      <c r="C1749">
        <v>2012</v>
      </c>
      <c r="D1749" t="s">
        <v>11</v>
      </c>
      <c r="E1749">
        <v>278490</v>
      </c>
      <c r="F1749">
        <v>336000000</v>
      </c>
    </row>
    <row r="1750" spans="1:6" hidden="1" x14ac:dyDescent="0.3">
      <c r="A1750">
        <v>1749</v>
      </c>
      <c r="B1750" t="s">
        <v>38</v>
      </c>
      <c r="C1750">
        <v>2012</v>
      </c>
      <c r="D1750" t="s">
        <v>11</v>
      </c>
      <c r="E1750">
        <v>1350</v>
      </c>
      <c r="F1750">
        <v>0</v>
      </c>
    </row>
    <row r="1751" spans="1:6" hidden="1" x14ac:dyDescent="0.3">
      <c r="A1751">
        <v>1750</v>
      </c>
      <c r="B1751" t="s">
        <v>43</v>
      </c>
      <c r="C1751">
        <v>2012</v>
      </c>
      <c r="D1751" t="s">
        <v>9</v>
      </c>
      <c r="E1751">
        <v>17540</v>
      </c>
      <c r="F1751">
        <v>30000000</v>
      </c>
    </row>
    <row r="1752" spans="1:6" hidden="1" x14ac:dyDescent="0.3">
      <c r="A1752">
        <v>1751</v>
      </c>
      <c r="B1752" t="s">
        <v>38</v>
      </c>
      <c r="C1752">
        <v>2012</v>
      </c>
      <c r="D1752" t="s">
        <v>9</v>
      </c>
      <c r="E1752">
        <v>125000</v>
      </c>
      <c r="F1752">
        <v>200000000</v>
      </c>
    </row>
    <row r="1753" spans="1:6" hidden="1" x14ac:dyDescent="0.3">
      <c r="A1753">
        <v>1752</v>
      </c>
      <c r="B1753" t="s">
        <v>38</v>
      </c>
      <c r="C1753">
        <v>2013</v>
      </c>
      <c r="D1753" t="s">
        <v>11</v>
      </c>
      <c r="E1753">
        <v>2870</v>
      </c>
      <c r="F1753">
        <v>0</v>
      </c>
    </row>
    <row r="1754" spans="1:6" hidden="1" x14ac:dyDescent="0.3">
      <c r="A1754">
        <v>1753</v>
      </c>
      <c r="B1754" t="s">
        <v>43</v>
      </c>
      <c r="C1754">
        <v>2013</v>
      </c>
      <c r="D1754" t="s">
        <v>9</v>
      </c>
      <c r="E1754">
        <v>0</v>
      </c>
      <c r="F1754">
        <v>0</v>
      </c>
    </row>
    <row r="1755" spans="1:6" hidden="1" x14ac:dyDescent="0.3">
      <c r="A1755">
        <v>1754</v>
      </c>
      <c r="B1755" t="s">
        <v>43</v>
      </c>
      <c r="C1755">
        <v>2013</v>
      </c>
      <c r="D1755" t="s">
        <v>9</v>
      </c>
      <c r="E1755">
        <v>1000</v>
      </c>
      <c r="F1755">
        <v>0</v>
      </c>
    </row>
    <row r="1756" spans="1:6" hidden="1" x14ac:dyDescent="0.3">
      <c r="A1756">
        <v>1755</v>
      </c>
      <c r="B1756" t="s">
        <v>46</v>
      </c>
      <c r="C1756">
        <v>2013</v>
      </c>
      <c r="D1756" t="s">
        <v>9</v>
      </c>
      <c r="E1756">
        <v>49092</v>
      </c>
      <c r="F1756">
        <v>0</v>
      </c>
    </row>
    <row r="1757" spans="1:6" hidden="1" x14ac:dyDescent="0.3">
      <c r="A1757">
        <v>1756</v>
      </c>
      <c r="B1757" t="s">
        <v>43</v>
      </c>
      <c r="C1757">
        <v>2013</v>
      </c>
      <c r="D1757" t="s">
        <v>9</v>
      </c>
      <c r="E1757">
        <v>5000</v>
      </c>
      <c r="F1757">
        <v>6500000</v>
      </c>
    </row>
    <row r="1758" spans="1:6" hidden="1" x14ac:dyDescent="0.3">
      <c r="A1758">
        <v>1757</v>
      </c>
      <c r="B1758" t="s">
        <v>43</v>
      </c>
      <c r="C1758">
        <v>2013</v>
      </c>
      <c r="D1758" t="s">
        <v>9</v>
      </c>
      <c r="E1758">
        <v>0</v>
      </c>
      <c r="F1758">
        <v>0</v>
      </c>
    </row>
    <row r="1759" spans="1:6" hidden="1" x14ac:dyDescent="0.3">
      <c r="A1759">
        <v>1758</v>
      </c>
      <c r="B1759" t="s">
        <v>43</v>
      </c>
      <c r="C1759">
        <v>2013</v>
      </c>
      <c r="D1759" t="s">
        <v>9</v>
      </c>
      <c r="E1759">
        <v>25000</v>
      </c>
      <c r="F1759">
        <v>0</v>
      </c>
    </row>
    <row r="1760" spans="1:6" hidden="1" x14ac:dyDescent="0.3">
      <c r="A1760">
        <v>1759</v>
      </c>
      <c r="B1760" t="s">
        <v>43</v>
      </c>
      <c r="C1760">
        <v>2013</v>
      </c>
      <c r="D1760" t="s">
        <v>9</v>
      </c>
      <c r="E1760">
        <v>2130001</v>
      </c>
      <c r="F1760">
        <v>72000000</v>
      </c>
    </row>
    <row r="1761" spans="1:6" hidden="1" x14ac:dyDescent="0.3">
      <c r="A1761">
        <v>1760</v>
      </c>
      <c r="B1761" t="s">
        <v>43</v>
      </c>
      <c r="C1761">
        <v>2013</v>
      </c>
      <c r="D1761" t="s">
        <v>11</v>
      </c>
      <c r="E1761">
        <v>5011</v>
      </c>
      <c r="F1761">
        <v>1000000</v>
      </c>
    </row>
    <row r="1762" spans="1:6" hidden="1" x14ac:dyDescent="0.3">
      <c r="A1762">
        <v>1761</v>
      </c>
      <c r="B1762" t="s">
        <v>43</v>
      </c>
      <c r="C1762">
        <v>2013</v>
      </c>
      <c r="D1762" t="s">
        <v>11</v>
      </c>
      <c r="E1762">
        <v>1835585</v>
      </c>
      <c r="F1762">
        <v>663230000</v>
      </c>
    </row>
    <row r="1763" spans="1:6" hidden="1" x14ac:dyDescent="0.3">
      <c r="A1763">
        <v>1762</v>
      </c>
      <c r="B1763" t="s">
        <v>43</v>
      </c>
      <c r="C1763">
        <v>2013</v>
      </c>
      <c r="D1763" t="s">
        <v>11</v>
      </c>
      <c r="E1763">
        <v>109754</v>
      </c>
      <c r="F1763">
        <v>76000000</v>
      </c>
    </row>
    <row r="1764" spans="1:6" hidden="1" x14ac:dyDescent="0.3">
      <c r="A1764">
        <v>1763</v>
      </c>
      <c r="B1764" t="s">
        <v>43</v>
      </c>
      <c r="C1764">
        <v>2013</v>
      </c>
      <c r="D1764" t="s">
        <v>11</v>
      </c>
      <c r="E1764">
        <v>13094</v>
      </c>
      <c r="F1764">
        <v>734000000</v>
      </c>
    </row>
    <row r="1765" spans="1:6" hidden="1" x14ac:dyDescent="0.3">
      <c r="A1765">
        <v>1764</v>
      </c>
      <c r="B1765" t="s">
        <v>19</v>
      </c>
      <c r="C1765">
        <v>2014</v>
      </c>
      <c r="D1765" t="s">
        <v>11</v>
      </c>
      <c r="E1765">
        <v>100000</v>
      </c>
      <c r="F1765">
        <v>0</v>
      </c>
    </row>
    <row r="1766" spans="1:6" hidden="1" x14ac:dyDescent="0.3">
      <c r="A1766">
        <v>1765</v>
      </c>
      <c r="B1766" t="s">
        <v>15</v>
      </c>
      <c r="C1766">
        <v>2014</v>
      </c>
      <c r="D1766" t="s">
        <v>9</v>
      </c>
      <c r="E1766">
        <v>1260</v>
      </c>
      <c r="F1766">
        <v>377000000</v>
      </c>
    </row>
    <row r="1767" spans="1:6" hidden="1" x14ac:dyDescent="0.3">
      <c r="A1767">
        <v>1766</v>
      </c>
      <c r="B1767" t="s">
        <v>6</v>
      </c>
      <c r="C1767">
        <v>2014</v>
      </c>
      <c r="D1767" t="s">
        <v>9</v>
      </c>
      <c r="E1767">
        <v>10035</v>
      </c>
      <c r="F1767">
        <v>3000000</v>
      </c>
    </row>
    <row r="1768" spans="1:6" hidden="1" x14ac:dyDescent="0.3">
      <c r="A1768">
        <v>1767</v>
      </c>
      <c r="B1768" t="s">
        <v>6</v>
      </c>
      <c r="C1768">
        <v>2014</v>
      </c>
      <c r="D1768" t="s">
        <v>9</v>
      </c>
      <c r="E1768">
        <v>140100</v>
      </c>
      <c r="F1768">
        <v>0</v>
      </c>
    </row>
    <row r="1769" spans="1:6" hidden="1" x14ac:dyDescent="0.3">
      <c r="A1769">
        <v>1768</v>
      </c>
      <c r="B1769" t="s">
        <v>10</v>
      </c>
      <c r="C1769">
        <v>2014</v>
      </c>
      <c r="D1769" t="s">
        <v>9</v>
      </c>
      <c r="E1769">
        <v>1000000</v>
      </c>
      <c r="F1769">
        <v>436580000</v>
      </c>
    </row>
    <row r="1770" spans="1:6" hidden="1" x14ac:dyDescent="0.3">
      <c r="A1770">
        <v>1769</v>
      </c>
      <c r="B1770" t="s">
        <v>19</v>
      </c>
      <c r="C1770">
        <v>2014</v>
      </c>
      <c r="D1770" t="s">
        <v>9</v>
      </c>
      <c r="E1770">
        <v>0</v>
      </c>
      <c r="F1770">
        <v>0</v>
      </c>
    </row>
    <row r="1771" spans="1:6" hidden="1" x14ac:dyDescent="0.3">
      <c r="A1771">
        <v>1770</v>
      </c>
      <c r="B1771" t="s">
        <v>23</v>
      </c>
      <c r="C1771">
        <v>2014</v>
      </c>
      <c r="D1771" t="s">
        <v>9</v>
      </c>
      <c r="E1771">
        <v>3000</v>
      </c>
      <c r="F1771">
        <v>1400000</v>
      </c>
    </row>
    <row r="1772" spans="1:6" hidden="1" x14ac:dyDescent="0.3">
      <c r="A1772">
        <v>1771</v>
      </c>
      <c r="B1772" t="s">
        <v>27</v>
      </c>
      <c r="C1772">
        <v>2014</v>
      </c>
      <c r="D1772" t="s">
        <v>9</v>
      </c>
      <c r="E1772">
        <v>30000</v>
      </c>
      <c r="F1772">
        <v>0</v>
      </c>
    </row>
    <row r="1773" spans="1:6" hidden="1" x14ac:dyDescent="0.3">
      <c r="A1773">
        <v>1772</v>
      </c>
      <c r="B1773" t="s">
        <v>8</v>
      </c>
      <c r="C1773">
        <v>2014</v>
      </c>
      <c r="D1773" t="s">
        <v>9</v>
      </c>
      <c r="E1773">
        <v>2800447</v>
      </c>
      <c r="F1773">
        <v>160000000</v>
      </c>
    </row>
    <row r="1774" spans="1:6" hidden="1" x14ac:dyDescent="0.3">
      <c r="A1774">
        <v>1773</v>
      </c>
      <c r="B1774" t="s">
        <v>15</v>
      </c>
      <c r="C1774">
        <v>2014</v>
      </c>
      <c r="D1774" t="s">
        <v>9</v>
      </c>
      <c r="E1774">
        <v>7247</v>
      </c>
      <c r="F1774">
        <v>0</v>
      </c>
    </row>
    <row r="1775" spans="1:6" hidden="1" x14ac:dyDescent="0.3">
      <c r="A1775">
        <v>1774</v>
      </c>
      <c r="B1775" t="s">
        <v>6</v>
      </c>
      <c r="C1775">
        <v>2014</v>
      </c>
      <c r="D1775" t="s">
        <v>11</v>
      </c>
      <c r="E1775">
        <v>0</v>
      </c>
      <c r="F1775">
        <v>0</v>
      </c>
    </row>
    <row r="1776" spans="1:6" hidden="1" x14ac:dyDescent="0.3">
      <c r="A1776">
        <v>1775</v>
      </c>
      <c r="B1776" t="s">
        <v>23</v>
      </c>
      <c r="C1776">
        <v>2014</v>
      </c>
      <c r="D1776" t="s">
        <v>7</v>
      </c>
      <c r="E1776">
        <v>2023000</v>
      </c>
      <c r="F1776">
        <v>0</v>
      </c>
    </row>
    <row r="1777" spans="1:6" hidden="1" x14ac:dyDescent="0.3">
      <c r="A1777">
        <v>1776</v>
      </c>
      <c r="B1777" t="s">
        <v>27</v>
      </c>
      <c r="C1777">
        <v>2014</v>
      </c>
      <c r="D1777" t="s">
        <v>7</v>
      </c>
      <c r="E1777">
        <v>1000000</v>
      </c>
      <c r="F1777">
        <v>2000000</v>
      </c>
    </row>
    <row r="1778" spans="1:6" hidden="1" x14ac:dyDescent="0.3">
      <c r="A1778">
        <v>1777</v>
      </c>
      <c r="B1778" t="s">
        <v>8</v>
      </c>
      <c r="C1778">
        <v>2014</v>
      </c>
      <c r="D1778" t="s">
        <v>11</v>
      </c>
      <c r="E1778">
        <v>4012</v>
      </c>
      <c r="F1778">
        <v>0</v>
      </c>
    </row>
    <row r="1779" spans="1:6" hidden="1" x14ac:dyDescent="0.3">
      <c r="A1779">
        <v>1778</v>
      </c>
      <c r="B1779" t="s">
        <v>8</v>
      </c>
      <c r="C1779">
        <v>2014</v>
      </c>
      <c r="D1779" t="s">
        <v>11</v>
      </c>
      <c r="E1779">
        <v>1250</v>
      </c>
      <c r="F1779">
        <v>0</v>
      </c>
    </row>
    <row r="1780" spans="1:6" hidden="1" x14ac:dyDescent="0.3">
      <c r="A1780">
        <v>1779</v>
      </c>
      <c r="B1780" t="s">
        <v>8</v>
      </c>
      <c r="C1780">
        <v>2014</v>
      </c>
      <c r="D1780" t="s">
        <v>9</v>
      </c>
      <c r="E1780">
        <v>400000</v>
      </c>
      <c r="F1780">
        <v>0</v>
      </c>
    </row>
    <row r="1781" spans="1:6" hidden="1" x14ac:dyDescent="0.3">
      <c r="A1781">
        <v>1780</v>
      </c>
      <c r="B1781" t="s">
        <v>15</v>
      </c>
      <c r="C1781">
        <v>2014</v>
      </c>
      <c r="D1781" t="s">
        <v>11</v>
      </c>
      <c r="E1781">
        <v>40</v>
      </c>
      <c r="F1781">
        <v>545000000</v>
      </c>
    </row>
    <row r="1782" spans="1:6" hidden="1" x14ac:dyDescent="0.3">
      <c r="A1782">
        <v>1781</v>
      </c>
      <c r="B1782" t="s">
        <v>15</v>
      </c>
      <c r="C1782">
        <v>2014</v>
      </c>
      <c r="D1782" t="s">
        <v>9</v>
      </c>
      <c r="E1782">
        <v>0</v>
      </c>
      <c r="F1782">
        <v>0</v>
      </c>
    </row>
    <row r="1783" spans="1:6" hidden="1" x14ac:dyDescent="0.3">
      <c r="A1783">
        <v>1782</v>
      </c>
      <c r="B1783" t="s">
        <v>15</v>
      </c>
      <c r="C1783">
        <v>2014</v>
      </c>
      <c r="D1783" t="s">
        <v>9</v>
      </c>
      <c r="E1783">
        <v>0</v>
      </c>
      <c r="F1783">
        <v>10000000</v>
      </c>
    </row>
    <row r="1784" spans="1:6" hidden="1" x14ac:dyDescent="0.3">
      <c r="A1784">
        <v>1783</v>
      </c>
      <c r="B1784" t="s">
        <v>10</v>
      </c>
      <c r="C1784">
        <v>2014</v>
      </c>
      <c r="D1784" t="s">
        <v>9</v>
      </c>
      <c r="E1784">
        <v>0</v>
      </c>
      <c r="F1784">
        <v>0</v>
      </c>
    </row>
    <row r="1785" spans="1:6" hidden="1" x14ac:dyDescent="0.3">
      <c r="A1785">
        <v>1784</v>
      </c>
      <c r="B1785" t="s">
        <v>10</v>
      </c>
      <c r="C1785">
        <v>2014</v>
      </c>
      <c r="D1785" t="s">
        <v>9</v>
      </c>
      <c r="E1785">
        <v>0</v>
      </c>
      <c r="F1785">
        <v>0</v>
      </c>
    </row>
    <row r="1786" spans="1:6" hidden="1" x14ac:dyDescent="0.3">
      <c r="A1786">
        <v>1785</v>
      </c>
      <c r="B1786" t="s">
        <v>10</v>
      </c>
      <c r="C1786">
        <v>2014</v>
      </c>
      <c r="D1786" t="s">
        <v>9</v>
      </c>
      <c r="E1786">
        <v>600</v>
      </c>
      <c r="F1786">
        <v>0</v>
      </c>
    </row>
    <row r="1787" spans="1:6" hidden="1" x14ac:dyDescent="0.3">
      <c r="A1787">
        <v>1786</v>
      </c>
      <c r="B1787" t="s">
        <v>44</v>
      </c>
      <c r="C1787">
        <v>2014</v>
      </c>
      <c r="D1787" t="s">
        <v>7</v>
      </c>
      <c r="E1787">
        <v>0</v>
      </c>
      <c r="F1787">
        <v>0</v>
      </c>
    </row>
    <row r="1788" spans="1:6" hidden="1" x14ac:dyDescent="0.3">
      <c r="A1788">
        <v>1787</v>
      </c>
      <c r="B1788" t="s">
        <v>25</v>
      </c>
      <c r="C1788">
        <v>2014</v>
      </c>
      <c r="D1788" t="s">
        <v>14</v>
      </c>
      <c r="E1788">
        <v>420</v>
      </c>
      <c r="F1788">
        <v>0</v>
      </c>
    </row>
    <row r="1789" spans="1:6" hidden="1" x14ac:dyDescent="0.3">
      <c r="A1789">
        <v>1788</v>
      </c>
      <c r="B1789" t="s">
        <v>19</v>
      </c>
      <c r="C1789">
        <v>2014</v>
      </c>
      <c r="D1789" t="s">
        <v>14</v>
      </c>
      <c r="E1789">
        <v>94783</v>
      </c>
      <c r="F1789">
        <v>0</v>
      </c>
    </row>
    <row r="1790" spans="1:6" hidden="1" x14ac:dyDescent="0.3">
      <c r="A1790">
        <v>1789</v>
      </c>
      <c r="B1790" t="s">
        <v>19</v>
      </c>
      <c r="C1790">
        <v>2014</v>
      </c>
      <c r="D1790" t="s">
        <v>7</v>
      </c>
      <c r="E1790">
        <v>1300000</v>
      </c>
      <c r="F1790">
        <v>100000000</v>
      </c>
    </row>
    <row r="1791" spans="1:6" hidden="1" x14ac:dyDescent="0.3">
      <c r="A1791">
        <v>1790</v>
      </c>
      <c r="B1791" t="s">
        <v>8</v>
      </c>
      <c r="C1791">
        <v>2015</v>
      </c>
      <c r="D1791" t="s">
        <v>11</v>
      </c>
      <c r="E1791">
        <v>20200</v>
      </c>
      <c r="F1791">
        <v>4000000</v>
      </c>
    </row>
    <row r="1792" spans="1:6" hidden="1" x14ac:dyDescent="0.3">
      <c r="A1792">
        <v>1791</v>
      </c>
      <c r="B1792" t="s">
        <v>12</v>
      </c>
      <c r="C1792">
        <v>2015</v>
      </c>
      <c r="D1792" t="s">
        <v>9</v>
      </c>
      <c r="E1792">
        <v>2000</v>
      </c>
      <c r="F1792">
        <v>0</v>
      </c>
    </row>
    <row r="1793" spans="1:6" hidden="1" x14ac:dyDescent="0.3">
      <c r="A1793">
        <v>1792</v>
      </c>
      <c r="B1793" t="s">
        <v>8</v>
      </c>
      <c r="C1793">
        <v>2015</v>
      </c>
      <c r="D1793" t="s">
        <v>9</v>
      </c>
      <c r="E1793">
        <v>1401901</v>
      </c>
      <c r="F1793">
        <v>40000000</v>
      </c>
    </row>
    <row r="1794" spans="1:6" hidden="1" x14ac:dyDescent="0.3">
      <c r="A1794">
        <v>1793</v>
      </c>
      <c r="B1794" t="s">
        <v>8</v>
      </c>
      <c r="C1794">
        <v>2015</v>
      </c>
      <c r="D1794" t="s">
        <v>9</v>
      </c>
      <c r="E1794">
        <v>10000</v>
      </c>
      <c r="F1794">
        <v>0</v>
      </c>
    </row>
    <row r="1795" spans="1:6" hidden="1" x14ac:dyDescent="0.3">
      <c r="A1795">
        <v>1794</v>
      </c>
      <c r="B1795" t="s">
        <v>44</v>
      </c>
      <c r="C1795">
        <v>2015</v>
      </c>
      <c r="D1795" t="s">
        <v>9</v>
      </c>
      <c r="E1795">
        <v>9666</v>
      </c>
      <c r="F1795">
        <v>0</v>
      </c>
    </row>
    <row r="1796" spans="1:6" hidden="1" x14ac:dyDescent="0.3">
      <c r="A1796">
        <v>1795</v>
      </c>
      <c r="B1796" t="s">
        <v>8</v>
      </c>
      <c r="C1796">
        <v>2015</v>
      </c>
      <c r="D1796" t="s">
        <v>11</v>
      </c>
      <c r="E1796">
        <v>2600000</v>
      </c>
      <c r="F1796">
        <v>40000000</v>
      </c>
    </row>
    <row r="1797" spans="1:6" hidden="1" x14ac:dyDescent="0.3">
      <c r="A1797">
        <v>1796</v>
      </c>
      <c r="B1797" t="s">
        <v>27</v>
      </c>
      <c r="C1797">
        <v>2015</v>
      </c>
      <c r="D1797" t="s">
        <v>11</v>
      </c>
      <c r="E1797">
        <v>1969</v>
      </c>
      <c r="F1797">
        <v>0</v>
      </c>
    </row>
    <row r="1798" spans="1:6" hidden="1" x14ac:dyDescent="0.3">
      <c r="A1798">
        <v>1797</v>
      </c>
      <c r="B1798" t="s">
        <v>26</v>
      </c>
      <c r="C1798">
        <v>2015</v>
      </c>
      <c r="D1798" t="s">
        <v>7</v>
      </c>
      <c r="E1798">
        <v>10200000</v>
      </c>
      <c r="F1798">
        <v>1400000000</v>
      </c>
    </row>
    <row r="1799" spans="1:6" hidden="1" x14ac:dyDescent="0.3">
      <c r="A1799">
        <v>1798</v>
      </c>
      <c r="B1799" t="s">
        <v>6</v>
      </c>
      <c r="C1799">
        <v>2015</v>
      </c>
      <c r="D1799" t="s">
        <v>14</v>
      </c>
      <c r="E1799">
        <v>92725</v>
      </c>
      <c r="F1799">
        <v>0</v>
      </c>
    </row>
    <row r="1800" spans="1:6" hidden="1" x14ac:dyDescent="0.3">
      <c r="A1800">
        <v>1799</v>
      </c>
      <c r="B1800" t="s">
        <v>6</v>
      </c>
      <c r="C1800">
        <v>2015</v>
      </c>
      <c r="D1800" t="s">
        <v>14</v>
      </c>
      <c r="E1800">
        <v>407</v>
      </c>
      <c r="F1800">
        <v>0</v>
      </c>
    </row>
    <row r="1801" spans="1:6" hidden="1" x14ac:dyDescent="0.3">
      <c r="A1801">
        <v>1800</v>
      </c>
      <c r="B1801" t="s">
        <v>6</v>
      </c>
      <c r="C1801">
        <v>2015</v>
      </c>
      <c r="D1801" t="s">
        <v>9</v>
      </c>
      <c r="E1801">
        <v>3010</v>
      </c>
      <c r="F1801">
        <v>0</v>
      </c>
    </row>
    <row r="1802" spans="1:6" hidden="1" x14ac:dyDescent="0.3">
      <c r="A1802">
        <v>1801</v>
      </c>
      <c r="B1802" t="s">
        <v>12</v>
      </c>
      <c r="C1802">
        <v>2015</v>
      </c>
      <c r="D1802" t="s">
        <v>9</v>
      </c>
      <c r="E1802">
        <v>2000</v>
      </c>
      <c r="F1802">
        <v>0</v>
      </c>
    </row>
    <row r="1803" spans="1:6" hidden="1" x14ac:dyDescent="0.3">
      <c r="A1803">
        <v>1802</v>
      </c>
      <c r="B1803" t="s">
        <v>12</v>
      </c>
      <c r="C1803">
        <v>2015</v>
      </c>
      <c r="D1803" t="s">
        <v>9</v>
      </c>
      <c r="E1803">
        <v>1000</v>
      </c>
      <c r="F1803">
        <v>0</v>
      </c>
    </row>
    <row r="1804" spans="1:6" hidden="1" x14ac:dyDescent="0.3">
      <c r="A1804">
        <v>1803</v>
      </c>
      <c r="B1804" t="s">
        <v>8</v>
      </c>
      <c r="C1804">
        <v>2015</v>
      </c>
      <c r="D1804" t="s">
        <v>11</v>
      </c>
      <c r="E1804">
        <v>0</v>
      </c>
      <c r="F1804">
        <v>0</v>
      </c>
    </row>
    <row r="1805" spans="1:6" hidden="1" x14ac:dyDescent="0.3">
      <c r="A1805">
        <v>1804</v>
      </c>
      <c r="B1805" t="s">
        <v>8</v>
      </c>
      <c r="C1805">
        <v>2015</v>
      </c>
      <c r="D1805" t="s">
        <v>11</v>
      </c>
      <c r="E1805">
        <v>40050</v>
      </c>
      <c r="F1805">
        <v>0</v>
      </c>
    </row>
    <row r="1806" spans="1:6" hidden="1" x14ac:dyDescent="0.3">
      <c r="A1806">
        <v>1805</v>
      </c>
      <c r="B1806" t="s">
        <v>8</v>
      </c>
      <c r="C1806">
        <v>2015</v>
      </c>
      <c r="D1806" t="s">
        <v>14</v>
      </c>
      <c r="E1806">
        <v>200</v>
      </c>
      <c r="F1806">
        <v>0</v>
      </c>
    </row>
    <row r="1807" spans="1:6" hidden="1" x14ac:dyDescent="0.3">
      <c r="A1807">
        <v>1806</v>
      </c>
      <c r="B1807" t="s">
        <v>15</v>
      </c>
      <c r="C1807">
        <v>2015</v>
      </c>
      <c r="D1807" t="s">
        <v>9</v>
      </c>
      <c r="E1807">
        <v>0</v>
      </c>
      <c r="F1807">
        <v>5800000</v>
      </c>
    </row>
    <row r="1808" spans="1:6" hidden="1" x14ac:dyDescent="0.3">
      <c r="A1808">
        <v>1807</v>
      </c>
      <c r="B1808" t="s">
        <v>10</v>
      </c>
      <c r="C1808">
        <v>2015</v>
      </c>
      <c r="D1808" t="s">
        <v>9</v>
      </c>
      <c r="E1808">
        <v>0</v>
      </c>
      <c r="F1808">
        <v>0</v>
      </c>
    </row>
    <row r="1809" spans="1:6" hidden="1" x14ac:dyDescent="0.3">
      <c r="A1809">
        <v>1808</v>
      </c>
      <c r="B1809" t="s">
        <v>25</v>
      </c>
      <c r="C1809">
        <v>2015</v>
      </c>
      <c r="D1809" t="s">
        <v>9</v>
      </c>
      <c r="E1809">
        <v>0</v>
      </c>
      <c r="F1809">
        <v>0</v>
      </c>
    </row>
    <row r="1810" spans="1:6" hidden="1" x14ac:dyDescent="0.3">
      <c r="A1810">
        <v>1809</v>
      </c>
      <c r="B1810" t="s">
        <v>25</v>
      </c>
      <c r="C1810">
        <v>2015</v>
      </c>
      <c r="D1810" t="s">
        <v>9</v>
      </c>
      <c r="E1810">
        <v>35000</v>
      </c>
      <c r="F1810">
        <v>0</v>
      </c>
    </row>
    <row r="1811" spans="1:6" hidden="1" x14ac:dyDescent="0.3">
      <c r="A1811">
        <v>1810</v>
      </c>
      <c r="B1811" t="s">
        <v>26</v>
      </c>
      <c r="C1811">
        <v>2015</v>
      </c>
      <c r="D1811" t="s">
        <v>9</v>
      </c>
      <c r="E1811">
        <v>210600</v>
      </c>
      <c r="F1811">
        <v>0</v>
      </c>
    </row>
    <row r="1812" spans="1:6" hidden="1" x14ac:dyDescent="0.3">
      <c r="A1812">
        <v>1811</v>
      </c>
      <c r="B1812" t="s">
        <v>19</v>
      </c>
      <c r="C1812">
        <v>2015</v>
      </c>
      <c r="D1812" t="s">
        <v>9</v>
      </c>
      <c r="E1812">
        <v>56845</v>
      </c>
      <c r="F1812">
        <v>0</v>
      </c>
    </row>
    <row r="1813" spans="1:6" hidden="1" x14ac:dyDescent="0.3">
      <c r="A1813">
        <v>1812</v>
      </c>
      <c r="B1813" t="s">
        <v>19</v>
      </c>
      <c r="C1813">
        <v>2015</v>
      </c>
      <c r="D1813" t="s">
        <v>9</v>
      </c>
      <c r="E1813">
        <v>8291</v>
      </c>
      <c r="F1813">
        <v>0</v>
      </c>
    </row>
    <row r="1814" spans="1:6" hidden="1" x14ac:dyDescent="0.3">
      <c r="A1814">
        <v>1813</v>
      </c>
      <c r="B1814" t="s">
        <v>27</v>
      </c>
      <c r="C1814">
        <v>2015</v>
      </c>
      <c r="D1814" t="s">
        <v>9</v>
      </c>
      <c r="E1814">
        <v>45000</v>
      </c>
      <c r="F1814">
        <v>0</v>
      </c>
    </row>
    <row r="1815" spans="1:6" hidden="1" x14ac:dyDescent="0.3">
      <c r="A1815">
        <v>1814</v>
      </c>
      <c r="B1815" t="s">
        <v>8</v>
      </c>
      <c r="C1815">
        <v>2016</v>
      </c>
      <c r="D1815" t="s">
        <v>11</v>
      </c>
      <c r="E1815">
        <v>1203555</v>
      </c>
      <c r="F1815">
        <v>600000000</v>
      </c>
    </row>
    <row r="1816" spans="1:6" hidden="1" x14ac:dyDescent="0.3">
      <c r="A1816">
        <v>1815</v>
      </c>
      <c r="B1816" t="s">
        <v>6</v>
      </c>
      <c r="C1816">
        <v>2016</v>
      </c>
      <c r="D1816" t="s">
        <v>9</v>
      </c>
      <c r="E1816">
        <v>0</v>
      </c>
      <c r="F1816">
        <v>0</v>
      </c>
    </row>
    <row r="1817" spans="1:6" hidden="1" x14ac:dyDescent="0.3">
      <c r="A1817">
        <v>1816</v>
      </c>
      <c r="B1817" t="s">
        <v>6</v>
      </c>
      <c r="C1817">
        <v>2016</v>
      </c>
      <c r="D1817" t="s">
        <v>9</v>
      </c>
      <c r="E1817">
        <v>0</v>
      </c>
      <c r="F1817">
        <v>0</v>
      </c>
    </row>
    <row r="1818" spans="1:6" hidden="1" x14ac:dyDescent="0.3">
      <c r="A1818">
        <v>1817</v>
      </c>
      <c r="B1818" t="s">
        <v>26</v>
      </c>
      <c r="C1818">
        <v>2016</v>
      </c>
      <c r="D1818" t="s">
        <v>9</v>
      </c>
      <c r="E1818">
        <v>3080</v>
      </c>
      <c r="F1818">
        <v>0</v>
      </c>
    </row>
    <row r="1819" spans="1:6" hidden="1" x14ac:dyDescent="0.3">
      <c r="A1819">
        <v>1818</v>
      </c>
      <c r="B1819" t="s">
        <v>26</v>
      </c>
      <c r="C1819">
        <v>2016</v>
      </c>
      <c r="D1819" t="s">
        <v>9</v>
      </c>
      <c r="E1819">
        <v>490000</v>
      </c>
      <c r="F1819">
        <v>0</v>
      </c>
    </row>
    <row r="1820" spans="1:6" hidden="1" x14ac:dyDescent="0.3">
      <c r="A1820">
        <v>1819</v>
      </c>
      <c r="B1820" t="s">
        <v>27</v>
      </c>
      <c r="C1820">
        <v>2016</v>
      </c>
      <c r="D1820" t="s">
        <v>9</v>
      </c>
      <c r="E1820">
        <v>22070</v>
      </c>
      <c r="F1820">
        <v>0</v>
      </c>
    </row>
    <row r="1821" spans="1:6" hidden="1" x14ac:dyDescent="0.3">
      <c r="A1821">
        <v>1820</v>
      </c>
      <c r="B1821" t="s">
        <v>27</v>
      </c>
      <c r="C1821">
        <v>2016</v>
      </c>
      <c r="D1821" t="s">
        <v>7</v>
      </c>
      <c r="E1821">
        <v>3600000</v>
      </c>
      <c r="F1821">
        <v>84000000</v>
      </c>
    </row>
    <row r="1822" spans="1:6" hidden="1" x14ac:dyDescent="0.3">
      <c r="A1822">
        <v>1821</v>
      </c>
      <c r="B1822" t="s">
        <v>27</v>
      </c>
      <c r="C1822">
        <v>2016</v>
      </c>
      <c r="D1822" t="s">
        <v>9</v>
      </c>
      <c r="E1822">
        <v>0</v>
      </c>
      <c r="F1822">
        <v>0</v>
      </c>
    </row>
    <row r="1823" spans="1:6" hidden="1" x14ac:dyDescent="0.3">
      <c r="A1823">
        <v>1822</v>
      </c>
      <c r="B1823" t="s">
        <v>8</v>
      </c>
      <c r="C1823">
        <v>2016</v>
      </c>
      <c r="D1823" t="s">
        <v>11</v>
      </c>
      <c r="E1823">
        <v>0</v>
      </c>
      <c r="F1823">
        <v>0</v>
      </c>
    </row>
    <row r="1824" spans="1:6" hidden="1" x14ac:dyDescent="0.3">
      <c r="A1824">
        <v>1823</v>
      </c>
      <c r="B1824" t="s">
        <v>27</v>
      </c>
      <c r="C1824">
        <v>2016</v>
      </c>
      <c r="D1824" t="s">
        <v>9</v>
      </c>
      <c r="E1824">
        <v>48280</v>
      </c>
      <c r="F1824">
        <v>2000000</v>
      </c>
    </row>
    <row r="1825" spans="1:6" hidden="1" x14ac:dyDescent="0.3">
      <c r="A1825">
        <v>1824</v>
      </c>
      <c r="B1825" t="s">
        <v>6</v>
      </c>
      <c r="C1825">
        <v>2016</v>
      </c>
      <c r="D1825" t="s">
        <v>9</v>
      </c>
      <c r="E1825">
        <v>0</v>
      </c>
      <c r="F1825">
        <v>0</v>
      </c>
    </row>
    <row r="1826" spans="1:6" hidden="1" x14ac:dyDescent="0.3">
      <c r="A1826">
        <v>1825</v>
      </c>
      <c r="B1826" t="s">
        <v>6</v>
      </c>
      <c r="C1826">
        <v>2016</v>
      </c>
      <c r="D1826" t="s">
        <v>9</v>
      </c>
      <c r="E1826">
        <v>0</v>
      </c>
      <c r="F1826">
        <v>0</v>
      </c>
    </row>
    <row r="1827" spans="1:6" hidden="1" x14ac:dyDescent="0.3">
      <c r="A1827">
        <v>1826</v>
      </c>
      <c r="B1827" t="s">
        <v>12</v>
      </c>
      <c r="C1827">
        <v>2016</v>
      </c>
      <c r="D1827" t="s">
        <v>9</v>
      </c>
      <c r="E1827">
        <v>0</v>
      </c>
      <c r="F1827">
        <v>0</v>
      </c>
    </row>
    <row r="1828" spans="1:6" hidden="1" x14ac:dyDescent="0.3">
      <c r="A1828">
        <v>1827</v>
      </c>
      <c r="B1828" t="s">
        <v>12</v>
      </c>
      <c r="C1828">
        <v>2016</v>
      </c>
      <c r="D1828" t="s">
        <v>9</v>
      </c>
      <c r="E1828">
        <v>2755</v>
      </c>
      <c r="F1828">
        <v>0</v>
      </c>
    </row>
    <row r="1829" spans="1:6" hidden="1" x14ac:dyDescent="0.3">
      <c r="A1829">
        <v>1828</v>
      </c>
      <c r="B1829" t="s">
        <v>12</v>
      </c>
      <c r="C1829">
        <v>2016</v>
      </c>
      <c r="D1829" t="s">
        <v>9</v>
      </c>
      <c r="E1829">
        <v>5600</v>
      </c>
      <c r="F1829">
        <v>0</v>
      </c>
    </row>
    <row r="1830" spans="1:6" hidden="1" x14ac:dyDescent="0.3">
      <c r="A1830">
        <v>1829</v>
      </c>
      <c r="B1830" t="s">
        <v>12</v>
      </c>
      <c r="C1830">
        <v>2016</v>
      </c>
      <c r="D1830" t="s">
        <v>9</v>
      </c>
      <c r="E1830">
        <v>1544</v>
      </c>
      <c r="F1830">
        <v>0</v>
      </c>
    </row>
    <row r="1831" spans="1:6" hidden="1" x14ac:dyDescent="0.3">
      <c r="A1831">
        <v>1830</v>
      </c>
      <c r="B1831" t="s">
        <v>8</v>
      </c>
      <c r="C1831">
        <v>2016</v>
      </c>
      <c r="D1831" t="s">
        <v>14</v>
      </c>
      <c r="E1831">
        <v>70</v>
      </c>
      <c r="F1831">
        <v>0</v>
      </c>
    </row>
    <row r="1832" spans="1:6" hidden="1" x14ac:dyDescent="0.3">
      <c r="A1832">
        <v>1831</v>
      </c>
      <c r="B1832" t="s">
        <v>8</v>
      </c>
      <c r="C1832">
        <v>2016</v>
      </c>
      <c r="D1832" t="s">
        <v>9</v>
      </c>
      <c r="E1832">
        <v>1900000</v>
      </c>
      <c r="F1832">
        <v>150000000</v>
      </c>
    </row>
    <row r="1833" spans="1:6" hidden="1" x14ac:dyDescent="0.3">
      <c r="A1833">
        <v>1832</v>
      </c>
      <c r="B1833" t="s">
        <v>19</v>
      </c>
      <c r="C1833">
        <v>2016</v>
      </c>
      <c r="D1833" t="s">
        <v>11</v>
      </c>
      <c r="E1833">
        <v>55</v>
      </c>
      <c r="F1833">
        <v>0</v>
      </c>
    </row>
    <row r="1834" spans="1:6" hidden="1" x14ac:dyDescent="0.3">
      <c r="A1834">
        <v>1833</v>
      </c>
      <c r="B1834" t="s">
        <v>23</v>
      </c>
      <c r="C1834">
        <v>2016</v>
      </c>
      <c r="D1834" t="s">
        <v>11</v>
      </c>
      <c r="E1834">
        <v>151</v>
      </c>
      <c r="F1834">
        <v>0</v>
      </c>
    </row>
    <row r="1835" spans="1:6" hidden="1" x14ac:dyDescent="0.3">
      <c r="A1835">
        <v>1834</v>
      </c>
      <c r="B1835" t="s">
        <v>16</v>
      </c>
      <c r="C1835">
        <v>2014</v>
      </c>
      <c r="D1835" t="s">
        <v>11</v>
      </c>
      <c r="E1835">
        <v>9610</v>
      </c>
      <c r="F1835">
        <v>0</v>
      </c>
    </row>
    <row r="1836" spans="1:6" hidden="1" x14ac:dyDescent="0.3">
      <c r="A1836">
        <v>1835</v>
      </c>
      <c r="B1836" t="s">
        <v>37</v>
      </c>
      <c r="C1836">
        <v>2014</v>
      </c>
      <c r="D1836" t="s">
        <v>11</v>
      </c>
      <c r="E1836">
        <v>683</v>
      </c>
      <c r="F1836">
        <v>0</v>
      </c>
    </row>
    <row r="1837" spans="1:6" hidden="1" x14ac:dyDescent="0.3">
      <c r="A1837">
        <v>1836</v>
      </c>
      <c r="B1837" t="s">
        <v>17</v>
      </c>
      <c r="C1837">
        <v>2014</v>
      </c>
      <c r="D1837" t="s">
        <v>9</v>
      </c>
      <c r="E1837">
        <v>104009</v>
      </c>
      <c r="F1837">
        <v>2000000</v>
      </c>
    </row>
    <row r="1838" spans="1:6" hidden="1" x14ac:dyDescent="0.3">
      <c r="A1838">
        <v>1837</v>
      </c>
      <c r="B1838" t="s">
        <v>21</v>
      </c>
      <c r="C1838">
        <v>2014</v>
      </c>
      <c r="D1838" t="s">
        <v>11</v>
      </c>
      <c r="E1838">
        <v>0</v>
      </c>
      <c r="F1838">
        <v>0</v>
      </c>
    </row>
    <row r="1839" spans="1:6" hidden="1" x14ac:dyDescent="0.3">
      <c r="A1839">
        <v>1838</v>
      </c>
      <c r="B1839" t="s">
        <v>37</v>
      </c>
      <c r="C1839">
        <v>2014</v>
      </c>
      <c r="D1839" t="s">
        <v>11</v>
      </c>
      <c r="E1839">
        <v>47740</v>
      </c>
      <c r="F1839">
        <v>3200000</v>
      </c>
    </row>
    <row r="1840" spans="1:6" hidden="1" x14ac:dyDescent="0.3">
      <c r="A1840">
        <v>1839</v>
      </c>
      <c r="B1840" t="s">
        <v>37</v>
      </c>
      <c r="C1840">
        <v>2014</v>
      </c>
      <c r="D1840" t="s">
        <v>11</v>
      </c>
      <c r="E1840">
        <v>4654966</v>
      </c>
      <c r="F1840">
        <v>820576000</v>
      </c>
    </row>
    <row r="1841" spans="1:6" hidden="1" x14ac:dyDescent="0.3">
      <c r="A1841">
        <v>1840</v>
      </c>
      <c r="B1841" t="s">
        <v>16</v>
      </c>
      <c r="C1841">
        <v>2014</v>
      </c>
      <c r="D1841" t="s">
        <v>11</v>
      </c>
      <c r="E1841">
        <v>1928</v>
      </c>
      <c r="F1841">
        <v>0</v>
      </c>
    </row>
    <row r="1842" spans="1:6" hidden="1" x14ac:dyDescent="0.3">
      <c r="A1842">
        <v>1841</v>
      </c>
      <c r="B1842" t="s">
        <v>21</v>
      </c>
      <c r="C1842">
        <v>2014</v>
      </c>
      <c r="D1842" t="s">
        <v>11</v>
      </c>
      <c r="E1842">
        <v>75135</v>
      </c>
      <c r="F1842">
        <v>2500000000</v>
      </c>
    </row>
    <row r="1843" spans="1:6" hidden="1" x14ac:dyDescent="0.3">
      <c r="A1843">
        <v>1842</v>
      </c>
      <c r="B1843" t="s">
        <v>33</v>
      </c>
      <c r="C1843">
        <v>2014</v>
      </c>
      <c r="D1843" t="s">
        <v>9</v>
      </c>
      <c r="E1843">
        <v>184894</v>
      </c>
      <c r="F1843">
        <v>0</v>
      </c>
    </row>
    <row r="1844" spans="1:6" hidden="1" x14ac:dyDescent="0.3">
      <c r="A1844">
        <v>1843</v>
      </c>
      <c r="B1844" t="s">
        <v>21</v>
      </c>
      <c r="C1844">
        <v>2014</v>
      </c>
      <c r="D1844" t="s">
        <v>11</v>
      </c>
      <c r="E1844">
        <v>30000</v>
      </c>
      <c r="F1844">
        <v>2000000</v>
      </c>
    </row>
    <row r="1845" spans="1:6" hidden="1" x14ac:dyDescent="0.3">
      <c r="A1845">
        <v>1844</v>
      </c>
      <c r="B1845" t="s">
        <v>37</v>
      </c>
      <c r="C1845">
        <v>2014</v>
      </c>
      <c r="D1845" t="s">
        <v>11</v>
      </c>
      <c r="E1845">
        <v>4150400</v>
      </c>
      <c r="F1845">
        <v>113878000</v>
      </c>
    </row>
    <row r="1846" spans="1:6" hidden="1" x14ac:dyDescent="0.3">
      <c r="A1846">
        <v>1845</v>
      </c>
      <c r="B1846" t="s">
        <v>37</v>
      </c>
      <c r="C1846">
        <v>2014</v>
      </c>
      <c r="D1846" t="s">
        <v>11</v>
      </c>
      <c r="E1846">
        <v>431086</v>
      </c>
      <c r="F1846">
        <v>19183000</v>
      </c>
    </row>
    <row r="1847" spans="1:6" hidden="1" x14ac:dyDescent="0.3">
      <c r="A1847">
        <v>1846</v>
      </c>
      <c r="B1847" t="s">
        <v>41</v>
      </c>
      <c r="C1847">
        <v>2014</v>
      </c>
      <c r="D1847" t="s">
        <v>7</v>
      </c>
      <c r="E1847">
        <v>535624</v>
      </c>
      <c r="F1847">
        <v>0</v>
      </c>
    </row>
    <row r="1848" spans="1:6" hidden="1" x14ac:dyDescent="0.3">
      <c r="A1848">
        <v>1847</v>
      </c>
      <c r="B1848" t="s">
        <v>33</v>
      </c>
      <c r="C1848">
        <v>2014</v>
      </c>
      <c r="D1848" t="s">
        <v>11</v>
      </c>
      <c r="E1848">
        <v>175</v>
      </c>
      <c r="F1848">
        <v>0</v>
      </c>
    </row>
    <row r="1849" spans="1:6" hidden="1" x14ac:dyDescent="0.3">
      <c r="A1849">
        <v>1848</v>
      </c>
      <c r="B1849" t="s">
        <v>16</v>
      </c>
      <c r="C1849">
        <v>2014</v>
      </c>
      <c r="D1849" t="s">
        <v>9</v>
      </c>
      <c r="E1849">
        <v>500000</v>
      </c>
      <c r="F1849">
        <v>0</v>
      </c>
    </row>
    <row r="1850" spans="1:6" hidden="1" x14ac:dyDescent="0.3">
      <c r="A1850">
        <v>1849</v>
      </c>
      <c r="B1850" t="s">
        <v>37</v>
      </c>
      <c r="C1850">
        <v>2014</v>
      </c>
      <c r="D1850" t="s">
        <v>11</v>
      </c>
      <c r="E1850">
        <v>2052157</v>
      </c>
      <c r="F1850">
        <v>75783000</v>
      </c>
    </row>
    <row r="1851" spans="1:6" hidden="1" x14ac:dyDescent="0.3">
      <c r="A1851">
        <v>1850</v>
      </c>
      <c r="B1851" t="s">
        <v>20</v>
      </c>
      <c r="C1851">
        <v>2014</v>
      </c>
      <c r="D1851" t="s">
        <v>9</v>
      </c>
      <c r="E1851">
        <v>260350</v>
      </c>
      <c r="F1851">
        <v>173000000</v>
      </c>
    </row>
    <row r="1852" spans="1:6" hidden="1" x14ac:dyDescent="0.3">
      <c r="A1852">
        <v>1851</v>
      </c>
      <c r="B1852" t="s">
        <v>20</v>
      </c>
      <c r="C1852">
        <v>2014</v>
      </c>
      <c r="D1852" t="s">
        <v>9</v>
      </c>
      <c r="E1852">
        <v>4000</v>
      </c>
      <c r="F1852">
        <v>2000000</v>
      </c>
    </row>
    <row r="1853" spans="1:6" hidden="1" x14ac:dyDescent="0.3">
      <c r="A1853">
        <v>1852</v>
      </c>
      <c r="B1853" t="s">
        <v>16</v>
      </c>
      <c r="C1853">
        <v>2014</v>
      </c>
      <c r="D1853" t="s">
        <v>9</v>
      </c>
      <c r="E1853">
        <v>18500</v>
      </c>
      <c r="F1853">
        <v>2000000</v>
      </c>
    </row>
    <row r="1854" spans="1:6" hidden="1" x14ac:dyDescent="0.3">
      <c r="A1854">
        <v>1853</v>
      </c>
      <c r="B1854" t="s">
        <v>16</v>
      </c>
      <c r="C1854">
        <v>2014</v>
      </c>
      <c r="D1854" t="s">
        <v>9</v>
      </c>
      <c r="E1854">
        <v>275000</v>
      </c>
      <c r="F1854">
        <v>16000000000</v>
      </c>
    </row>
    <row r="1855" spans="1:6" hidden="1" x14ac:dyDescent="0.3">
      <c r="A1855">
        <v>1854</v>
      </c>
      <c r="B1855" t="s">
        <v>16</v>
      </c>
      <c r="C1855">
        <v>2014</v>
      </c>
      <c r="D1855" t="s">
        <v>9</v>
      </c>
      <c r="E1855">
        <v>650000</v>
      </c>
      <c r="F1855">
        <v>163000000</v>
      </c>
    </row>
    <row r="1856" spans="1:6" hidden="1" x14ac:dyDescent="0.3">
      <c r="A1856">
        <v>1855</v>
      </c>
      <c r="B1856" t="s">
        <v>18</v>
      </c>
      <c r="C1856">
        <v>2014</v>
      </c>
      <c r="D1856" t="s">
        <v>9</v>
      </c>
      <c r="E1856">
        <v>440000</v>
      </c>
      <c r="F1856">
        <v>49000000</v>
      </c>
    </row>
    <row r="1857" spans="1:6" hidden="1" x14ac:dyDescent="0.3">
      <c r="A1857">
        <v>1856</v>
      </c>
      <c r="B1857" t="s">
        <v>17</v>
      </c>
      <c r="C1857">
        <v>2014</v>
      </c>
      <c r="D1857" t="s">
        <v>9</v>
      </c>
      <c r="E1857">
        <v>1100020</v>
      </c>
      <c r="F1857">
        <v>0</v>
      </c>
    </row>
    <row r="1858" spans="1:6" hidden="1" x14ac:dyDescent="0.3">
      <c r="A1858">
        <v>1857</v>
      </c>
      <c r="B1858" t="s">
        <v>24</v>
      </c>
      <c r="C1858">
        <v>2014</v>
      </c>
      <c r="D1858" t="s">
        <v>9</v>
      </c>
      <c r="E1858">
        <v>60345</v>
      </c>
      <c r="F1858">
        <v>0</v>
      </c>
    </row>
    <row r="1859" spans="1:6" hidden="1" x14ac:dyDescent="0.3">
      <c r="A1859">
        <v>1858</v>
      </c>
      <c r="B1859" t="s">
        <v>33</v>
      </c>
      <c r="C1859">
        <v>2014</v>
      </c>
      <c r="D1859" t="s">
        <v>9</v>
      </c>
      <c r="E1859">
        <v>0</v>
      </c>
      <c r="F1859">
        <v>0</v>
      </c>
    </row>
    <row r="1860" spans="1:6" hidden="1" x14ac:dyDescent="0.3">
      <c r="A1860">
        <v>1859</v>
      </c>
      <c r="B1860" t="s">
        <v>36</v>
      </c>
      <c r="C1860">
        <v>2014</v>
      </c>
      <c r="D1860" t="s">
        <v>9</v>
      </c>
      <c r="E1860">
        <v>9000</v>
      </c>
      <c r="F1860">
        <v>0</v>
      </c>
    </row>
    <row r="1861" spans="1:6" hidden="1" x14ac:dyDescent="0.3">
      <c r="A1861">
        <v>1860</v>
      </c>
      <c r="B1861" t="s">
        <v>37</v>
      </c>
      <c r="C1861">
        <v>2014</v>
      </c>
      <c r="D1861" t="s">
        <v>9</v>
      </c>
      <c r="E1861">
        <v>3770</v>
      </c>
      <c r="F1861">
        <v>0</v>
      </c>
    </row>
    <row r="1862" spans="1:6" hidden="1" x14ac:dyDescent="0.3">
      <c r="A1862">
        <v>1861</v>
      </c>
      <c r="B1862" t="s">
        <v>37</v>
      </c>
      <c r="C1862">
        <v>2014</v>
      </c>
      <c r="D1862" t="s">
        <v>11</v>
      </c>
      <c r="E1862">
        <v>578549</v>
      </c>
      <c r="F1862">
        <v>17688000</v>
      </c>
    </row>
    <row r="1863" spans="1:6" hidden="1" x14ac:dyDescent="0.3">
      <c r="A1863">
        <v>1862</v>
      </c>
      <c r="B1863" t="s">
        <v>37</v>
      </c>
      <c r="C1863">
        <v>2014</v>
      </c>
      <c r="D1863" t="s">
        <v>9</v>
      </c>
      <c r="E1863">
        <v>42175</v>
      </c>
      <c r="F1863">
        <v>0</v>
      </c>
    </row>
    <row r="1864" spans="1:6" x14ac:dyDescent="0.3">
      <c r="A1864">
        <v>1863</v>
      </c>
      <c r="B1864" t="s">
        <v>42</v>
      </c>
      <c r="C1864">
        <v>2014</v>
      </c>
      <c r="D1864" t="s">
        <v>9</v>
      </c>
      <c r="E1864">
        <v>7438</v>
      </c>
      <c r="F1864">
        <v>2000000</v>
      </c>
    </row>
    <row r="1865" spans="1:6" hidden="1" x14ac:dyDescent="0.3">
      <c r="A1865">
        <v>1864</v>
      </c>
      <c r="B1865" t="s">
        <v>21</v>
      </c>
      <c r="C1865">
        <v>2014</v>
      </c>
      <c r="D1865" t="s">
        <v>11</v>
      </c>
      <c r="E1865">
        <v>1500</v>
      </c>
      <c r="F1865">
        <v>500000</v>
      </c>
    </row>
    <row r="1866" spans="1:6" hidden="1" x14ac:dyDescent="0.3">
      <c r="A1866">
        <v>1865</v>
      </c>
      <c r="B1866" t="s">
        <v>30</v>
      </c>
      <c r="C1866">
        <v>2014</v>
      </c>
      <c r="D1866" t="s">
        <v>9</v>
      </c>
      <c r="E1866">
        <v>75986</v>
      </c>
      <c r="F1866">
        <v>0</v>
      </c>
    </row>
    <row r="1867" spans="1:6" hidden="1" x14ac:dyDescent="0.3">
      <c r="A1867">
        <v>1866</v>
      </c>
      <c r="B1867" t="s">
        <v>32</v>
      </c>
      <c r="C1867">
        <v>2014</v>
      </c>
      <c r="D1867" t="s">
        <v>9</v>
      </c>
      <c r="E1867">
        <v>165578</v>
      </c>
      <c r="F1867">
        <v>2000000</v>
      </c>
    </row>
    <row r="1868" spans="1:6" hidden="1" x14ac:dyDescent="0.3">
      <c r="A1868">
        <v>1867</v>
      </c>
      <c r="B1868" t="s">
        <v>29</v>
      </c>
      <c r="C1868">
        <v>2014</v>
      </c>
      <c r="D1868" t="s">
        <v>11</v>
      </c>
      <c r="E1868">
        <v>117000</v>
      </c>
      <c r="F1868">
        <v>300000000</v>
      </c>
    </row>
    <row r="1869" spans="1:6" hidden="1" x14ac:dyDescent="0.3">
      <c r="A1869">
        <v>1868</v>
      </c>
      <c r="B1869" t="s">
        <v>21</v>
      </c>
      <c r="C1869">
        <v>2014</v>
      </c>
      <c r="D1869" t="s">
        <v>11</v>
      </c>
      <c r="E1869">
        <v>30000</v>
      </c>
      <c r="F1869">
        <v>14000000</v>
      </c>
    </row>
    <row r="1870" spans="1:6" hidden="1" x14ac:dyDescent="0.3">
      <c r="A1870">
        <v>1869</v>
      </c>
      <c r="B1870" t="s">
        <v>21</v>
      </c>
      <c r="C1870">
        <v>2014</v>
      </c>
      <c r="D1870" t="s">
        <v>11</v>
      </c>
      <c r="E1870">
        <v>7500</v>
      </c>
      <c r="F1870">
        <v>25000000</v>
      </c>
    </row>
    <row r="1871" spans="1:6" hidden="1" x14ac:dyDescent="0.3">
      <c r="A1871">
        <v>1870</v>
      </c>
      <c r="B1871" t="s">
        <v>35</v>
      </c>
      <c r="C1871">
        <v>2014</v>
      </c>
      <c r="D1871" t="s">
        <v>11</v>
      </c>
      <c r="E1871">
        <v>82</v>
      </c>
      <c r="F1871">
        <v>0</v>
      </c>
    </row>
    <row r="1872" spans="1:6" hidden="1" x14ac:dyDescent="0.3">
      <c r="A1872">
        <v>1871</v>
      </c>
      <c r="B1872" t="s">
        <v>37</v>
      </c>
      <c r="C1872">
        <v>2014</v>
      </c>
      <c r="D1872" t="s">
        <v>11</v>
      </c>
      <c r="E1872">
        <v>4695</v>
      </c>
      <c r="F1872">
        <v>0</v>
      </c>
    </row>
    <row r="1873" spans="1:6" hidden="1" x14ac:dyDescent="0.3">
      <c r="A1873">
        <v>1872</v>
      </c>
      <c r="B1873" t="s">
        <v>28</v>
      </c>
      <c r="C1873">
        <v>2014</v>
      </c>
      <c r="D1873" t="s">
        <v>7</v>
      </c>
      <c r="E1873">
        <v>91545</v>
      </c>
      <c r="F1873">
        <v>0</v>
      </c>
    </row>
    <row r="1874" spans="1:6" hidden="1" x14ac:dyDescent="0.3">
      <c r="A1874">
        <v>1873</v>
      </c>
      <c r="B1874" t="s">
        <v>22</v>
      </c>
      <c r="C1874">
        <v>2014</v>
      </c>
      <c r="D1874" t="s">
        <v>7</v>
      </c>
      <c r="E1874">
        <v>20000</v>
      </c>
      <c r="F1874">
        <v>0</v>
      </c>
    </row>
    <row r="1875" spans="1:6" hidden="1" x14ac:dyDescent="0.3">
      <c r="A1875">
        <v>1874</v>
      </c>
      <c r="B1875" t="s">
        <v>16</v>
      </c>
      <c r="C1875">
        <v>2014</v>
      </c>
      <c r="D1875" t="s">
        <v>11</v>
      </c>
      <c r="E1875">
        <v>920000</v>
      </c>
      <c r="F1875">
        <v>7000000000</v>
      </c>
    </row>
    <row r="1876" spans="1:6" hidden="1" x14ac:dyDescent="0.3">
      <c r="A1876">
        <v>1875</v>
      </c>
      <c r="B1876" t="s">
        <v>20</v>
      </c>
      <c r="C1876">
        <v>2014</v>
      </c>
      <c r="D1876" t="s">
        <v>9</v>
      </c>
      <c r="E1876">
        <v>20000</v>
      </c>
      <c r="F1876">
        <v>600000000</v>
      </c>
    </row>
    <row r="1877" spans="1:6" hidden="1" x14ac:dyDescent="0.3">
      <c r="A1877">
        <v>1876</v>
      </c>
      <c r="B1877" t="s">
        <v>20</v>
      </c>
      <c r="C1877">
        <v>2014</v>
      </c>
      <c r="D1877" t="s">
        <v>9</v>
      </c>
      <c r="E1877">
        <v>275</v>
      </c>
      <c r="F1877">
        <v>0</v>
      </c>
    </row>
    <row r="1878" spans="1:6" hidden="1" x14ac:dyDescent="0.3">
      <c r="A1878">
        <v>1877</v>
      </c>
      <c r="B1878" t="s">
        <v>20</v>
      </c>
      <c r="C1878">
        <v>2014</v>
      </c>
      <c r="D1878" t="s">
        <v>9</v>
      </c>
      <c r="E1878">
        <v>10420</v>
      </c>
      <c r="F1878">
        <v>0</v>
      </c>
    </row>
    <row r="1879" spans="1:6" hidden="1" x14ac:dyDescent="0.3">
      <c r="A1879">
        <v>1878</v>
      </c>
      <c r="B1879" t="s">
        <v>16</v>
      </c>
      <c r="C1879">
        <v>2014</v>
      </c>
      <c r="D1879" t="s">
        <v>11</v>
      </c>
      <c r="E1879">
        <v>26</v>
      </c>
      <c r="F1879">
        <v>0</v>
      </c>
    </row>
    <row r="1880" spans="1:6" hidden="1" x14ac:dyDescent="0.3">
      <c r="A1880">
        <v>1879</v>
      </c>
      <c r="B1880" t="s">
        <v>16</v>
      </c>
      <c r="C1880">
        <v>2014</v>
      </c>
      <c r="D1880" t="s">
        <v>9</v>
      </c>
      <c r="E1880">
        <v>0</v>
      </c>
      <c r="F1880">
        <v>0</v>
      </c>
    </row>
    <row r="1881" spans="1:6" hidden="1" x14ac:dyDescent="0.3">
      <c r="A1881">
        <v>1880</v>
      </c>
      <c r="B1881" t="s">
        <v>16</v>
      </c>
      <c r="C1881">
        <v>2014</v>
      </c>
      <c r="D1881" t="s">
        <v>9</v>
      </c>
      <c r="E1881">
        <v>179000</v>
      </c>
      <c r="F1881">
        <v>200000000</v>
      </c>
    </row>
    <row r="1882" spans="1:6" hidden="1" x14ac:dyDescent="0.3">
      <c r="A1882">
        <v>1881</v>
      </c>
      <c r="B1882" t="s">
        <v>16</v>
      </c>
      <c r="C1882">
        <v>2014</v>
      </c>
      <c r="D1882" t="s">
        <v>9</v>
      </c>
      <c r="E1882">
        <v>3600000</v>
      </c>
      <c r="F1882">
        <v>100000000</v>
      </c>
    </row>
    <row r="1883" spans="1:6" hidden="1" x14ac:dyDescent="0.3">
      <c r="A1883">
        <v>1882</v>
      </c>
      <c r="B1883" t="s">
        <v>16</v>
      </c>
      <c r="C1883">
        <v>2014</v>
      </c>
      <c r="D1883" t="s">
        <v>11</v>
      </c>
      <c r="E1883">
        <v>0</v>
      </c>
      <c r="F1883">
        <v>0</v>
      </c>
    </row>
    <row r="1884" spans="1:6" hidden="1" x14ac:dyDescent="0.3">
      <c r="A1884">
        <v>1883</v>
      </c>
      <c r="B1884" t="s">
        <v>18</v>
      </c>
      <c r="C1884">
        <v>2014</v>
      </c>
      <c r="D1884" t="s">
        <v>14</v>
      </c>
      <c r="E1884">
        <v>330</v>
      </c>
      <c r="F1884">
        <v>2000000</v>
      </c>
    </row>
    <row r="1885" spans="1:6" hidden="1" x14ac:dyDescent="0.3">
      <c r="A1885">
        <v>1884</v>
      </c>
      <c r="B1885" t="s">
        <v>18</v>
      </c>
      <c r="C1885">
        <v>2014</v>
      </c>
      <c r="D1885" t="s">
        <v>14</v>
      </c>
      <c r="E1885">
        <v>12250</v>
      </c>
      <c r="F1885">
        <v>43000000</v>
      </c>
    </row>
    <row r="1886" spans="1:6" hidden="1" x14ac:dyDescent="0.3">
      <c r="A1886">
        <v>1885</v>
      </c>
      <c r="B1886" t="s">
        <v>34</v>
      </c>
      <c r="C1886">
        <v>2014</v>
      </c>
      <c r="D1886" t="s">
        <v>7</v>
      </c>
      <c r="E1886">
        <v>1600000</v>
      </c>
      <c r="F1886">
        <v>0</v>
      </c>
    </row>
    <row r="1887" spans="1:6" hidden="1" x14ac:dyDescent="0.3">
      <c r="A1887">
        <v>1886</v>
      </c>
      <c r="B1887" t="s">
        <v>48</v>
      </c>
      <c r="C1887">
        <v>2014</v>
      </c>
      <c r="D1887" t="s">
        <v>11</v>
      </c>
      <c r="E1887">
        <v>0</v>
      </c>
      <c r="F1887">
        <v>0</v>
      </c>
    </row>
    <row r="1888" spans="1:6" hidden="1" x14ac:dyDescent="0.3">
      <c r="A1888">
        <v>1887</v>
      </c>
      <c r="B1888" t="s">
        <v>17</v>
      </c>
      <c r="C1888">
        <v>2014</v>
      </c>
      <c r="D1888" t="s">
        <v>9</v>
      </c>
      <c r="E1888">
        <v>0</v>
      </c>
      <c r="F1888">
        <v>0</v>
      </c>
    </row>
    <row r="1889" spans="1:6" hidden="1" x14ac:dyDescent="0.3">
      <c r="A1889">
        <v>1888</v>
      </c>
      <c r="B1889" t="s">
        <v>17</v>
      </c>
      <c r="C1889">
        <v>2014</v>
      </c>
      <c r="D1889" t="s">
        <v>7</v>
      </c>
      <c r="E1889">
        <v>1800000</v>
      </c>
      <c r="F1889">
        <v>25000000</v>
      </c>
    </row>
    <row r="1890" spans="1:6" hidden="1" x14ac:dyDescent="0.3">
      <c r="A1890">
        <v>1889</v>
      </c>
      <c r="B1890" t="s">
        <v>29</v>
      </c>
      <c r="C1890">
        <v>2014</v>
      </c>
      <c r="D1890" t="s">
        <v>9</v>
      </c>
      <c r="E1890">
        <v>0</v>
      </c>
      <c r="F1890">
        <v>0</v>
      </c>
    </row>
    <row r="1891" spans="1:6" hidden="1" x14ac:dyDescent="0.3">
      <c r="A1891">
        <v>1890</v>
      </c>
      <c r="B1891" t="s">
        <v>22</v>
      </c>
      <c r="C1891">
        <v>2014</v>
      </c>
      <c r="D1891" t="s">
        <v>11</v>
      </c>
      <c r="E1891">
        <v>1736</v>
      </c>
      <c r="F1891">
        <v>0</v>
      </c>
    </row>
    <row r="1892" spans="1:6" hidden="1" x14ac:dyDescent="0.3">
      <c r="A1892">
        <v>1891</v>
      </c>
      <c r="B1892" t="s">
        <v>21</v>
      </c>
      <c r="C1892">
        <v>2014</v>
      </c>
      <c r="D1892" t="s">
        <v>14</v>
      </c>
      <c r="E1892">
        <v>381</v>
      </c>
      <c r="F1892">
        <v>0</v>
      </c>
    </row>
    <row r="1893" spans="1:6" hidden="1" x14ac:dyDescent="0.3">
      <c r="A1893">
        <v>1892</v>
      </c>
      <c r="B1893" t="s">
        <v>21</v>
      </c>
      <c r="C1893">
        <v>2014</v>
      </c>
      <c r="D1893" t="s">
        <v>14</v>
      </c>
      <c r="E1893">
        <v>27000</v>
      </c>
      <c r="F1893">
        <v>0</v>
      </c>
    </row>
    <row r="1894" spans="1:6" hidden="1" x14ac:dyDescent="0.3">
      <c r="A1894">
        <v>1893</v>
      </c>
      <c r="B1894" t="s">
        <v>45</v>
      </c>
      <c r="C1894">
        <v>2014</v>
      </c>
      <c r="D1894" t="s">
        <v>9</v>
      </c>
      <c r="E1894">
        <v>4600</v>
      </c>
      <c r="F1894">
        <v>0</v>
      </c>
    </row>
    <row r="1895" spans="1:6" hidden="1" x14ac:dyDescent="0.3">
      <c r="A1895">
        <v>1894</v>
      </c>
      <c r="B1895" t="s">
        <v>45</v>
      </c>
      <c r="C1895">
        <v>2014</v>
      </c>
      <c r="D1895" t="s">
        <v>9</v>
      </c>
      <c r="E1895">
        <v>35400</v>
      </c>
      <c r="F1895">
        <v>0</v>
      </c>
    </row>
    <row r="1896" spans="1:6" hidden="1" x14ac:dyDescent="0.3">
      <c r="A1896">
        <v>1895</v>
      </c>
      <c r="B1896" t="s">
        <v>30</v>
      </c>
      <c r="C1896">
        <v>2014</v>
      </c>
      <c r="D1896" t="s">
        <v>9</v>
      </c>
      <c r="E1896">
        <v>300</v>
      </c>
      <c r="F1896">
        <v>0</v>
      </c>
    </row>
    <row r="1897" spans="1:6" hidden="1" x14ac:dyDescent="0.3">
      <c r="A1897">
        <v>1896</v>
      </c>
      <c r="B1897" t="s">
        <v>24</v>
      </c>
      <c r="C1897">
        <v>2014</v>
      </c>
      <c r="D1897" t="s">
        <v>14</v>
      </c>
      <c r="E1897">
        <v>12281</v>
      </c>
      <c r="F1897">
        <v>3000000</v>
      </c>
    </row>
    <row r="1898" spans="1:6" hidden="1" x14ac:dyDescent="0.3">
      <c r="A1898">
        <v>1897</v>
      </c>
      <c r="B1898" t="s">
        <v>24</v>
      </c>
      <c r="C1898">
        <v>2014</v>
      </c>
      <c r="D1898" t="s">
        <v>7</v>
      </c>
      <c r="E1898">
        <v>460000</v>
      </c>
      <c r="F1898">
        <v>0</v>
      </c>
    </row>
    <row r="1899" spans="1:6" hidden="1" x14ac:dyDescent="0.3">
      <c r="A1899">
        <v>1898</v>
      </c>
      <c r="B1899" t="s">
        <v>33</v>
      </c>
      <c r="C1899">
        <v>2014</v>
      </c>
      <c r="D1899" t="s">
        <v>9</v>
      </c>
      <c r="E1899">
        <v>2400</v>
      </c>
      <c r="F1899">
        <v>0</v>
      </c>
    </row>
    <row r="1900" spans="1:6" hidden="1" x14ac:dyDescent="0.3">
      <c r="A1900">
        <v>1899</v>
      </c>
      <c r="B1900" t="s">
        <v>35</v>
      </c>
      <c r="C1900">
        <v>2014</v>
      </c>
      <c r="D1900" t="s">
        <v>9</v>
      </c>
      <c r="E1900">
        <v>2530673</v>
      </c>
      <c r="F1900">
        <v>2000000000</v>
      </c>
    </row>
    <row r="1901" spans="1:6" hidden="1" x14ac:dyDescent="0.3">
      <c r="A1901">
        <v>1900</v>
      </c>
      <c r="B1901" t="s">
        <v>36</v>
      </c>
      <c r="C1901">
        <v>2014</v>
      </c>
      <c r="D1901" t="s">
        <v>14</v>
      </c>
      <c r="E1901">
        <v>604</v>
      </c>
      <c r="F1901">
        <v>0</v>
      </c>
    </row>
    <row r="1902" spans="1:6" hidden="1" x14ac:dyDescent="0.3">
      <c r="A1902">
        <v>1901</v>
      </c>
      <c r="B1902" t="s">
        <v>36</v>
      </c>
      <c r="C1902">
        <v>2014</v>
      </c>
      <c r="D1902" t="s">
        <v>9</v>
      </c>
      <c r="E1902">
        <v>83878</v>
      </c>
      <c r="F1902">
        <v>0</v>
      </c>
    </row>
    <row r="1903" spans="1:6" hidden="1" x14ac:dyDescent="0.3">
      <c r="A1903">
        <v>1902</v>
      </c>
      <c r="B1903" t="s">
        <v>36</v>
      </c>
      <c r="C1903">
        <v>2014</v>
      </c>
      <c r="D1903" t="s">
        <v>9</v>
      </c>
      <c r="E1903">
        <v>0</v>
      </c>
      <c r="F1903">
        <v>0</v>
      </c>
    </row>
    <row r="1904" spans="1:6" hidden="1" x14ac:dyDescent="0.3">
      <c r="A1904">
        <v>1903</v>
      </c>
      <c r="B1904" t="s">
        <v>37</v>
      </c>
      <c r="C1904">
        <v>2014</v>
      </c>
      <c r="D1904" t="s">
        <v>9</v>
      </c>
      <c r="E1904">
        <v>99185</v>
      </c>
      <c r="F1904">
        <v>0</v>
      </c>
    </row>
    <row r="1905" spans="1:6" hidden="1" x14ac:dyDescent="0.3">
      <c r="A1905">
        <v>1904</v>
      </c>
      <c r="B1905" t="s">
        <v>39</v>
      </c>
      <c r="C1905">
        <v>2014</v>
      </c>
      <c r="D1905" t="s">
        <v>9</v>
      </c>
      <c r="E1905">
        <v>525</v>
      </c>
      <c r="F1905">
        <v>0</v>
      </c>
    </row>
    <row r="1906" spans="1:6" hidden="1" x14ac:dyDescent="0.3">
      <c r="A1906">
        <v>1905</v>
      </c>
      <c r="B1906" t="s">
        <v>39</v>
      </c>
      <c r="C1906">
        <v>2014</v>
      </c>
      <c r="D1906" t="s">
        <v>9</v>
      </c>
      <c r="E1906">
        <v>0</v>
      </c>
      <c r="F1906">
        <v>0</v>
      </c>
    </row>
    <row r="1907" spans="1:6" hidden="1" x14ac:dyDescent="0.3">
      <c r="A1907">
        <v>1906</v>
      </c>
      <c r="B1907" t="s">
        <v>40</v>
      </c>
      <c r="C1907">
        <v>2014</v>
      </c>
      <c r="D1907" t="s">
        <v>7</v>
      </c>
      <c r="E1907">
        <v>700000</v>
      </c>
      <c r="F1907">
        <v>100000000</v>
      </c>
    </row>
    <row r="1908" spans="1:6" hidden="1" x14ac:dyDescent="0.3">
      <c r="A1908">
        <v>1907</v>
      </c>
      <c r="B1908" t="s">
        <v>41</v>
      </c>
      <c r="C1908">
        <v>2014</v>
      </c>
      <c r="D1908" t="s">
        <v>9</v>
      </c>
      <c r="E1908">
        <v>90000</v>
      </c>
      <c r="F1908">
        <v>0</v>
      </c>
    </row>
    <row r="1909" spans="1:6" x14ac:dyDescent="0.3">
      <c r="A1909">
        <v>1908</v>
      </c>
      <c r="B1909" t="s">
        <v>42</v>
      </c>
      <c r="C1909">
        <v>2014</v>
      </c>
      <c r="D1909" t="s">
        <v>9</v>
      </c>
      <c r="E1909">
        <v>5785</v>
      </c>
      <c r="F1909">
        <v>0</v>
      </c>
    </row>
    <row r="1910" spans="1:6" hidden="1" x14ac:dyDescent="0.3">
      <c r="A1910">
        <v>1909</v>
      </c>
      <c r="B1910" t="s">
        <v>16</v>
      </c>
      <c r="C1910">
        <v>2015</v>
      </c>
      <c r="D1910" t="s">
        <v>11</v>
      </c>
      <c r="E1910">
        <v>0</v>
      </c>
      <c r="F1910">
        <v>906000000</v>
      </c>
    </row>
    <row r="1911" spans="1:6" hidden="1" x14ac:dyDescent="0.3">
      <c r="A1911">
        <v>1910</v>
      </c>
      <c r="B1911" t="s">
        <v>22</v>
      </c>
      <c r="C1911">
        <v>2015</v>
      </c>
      <c r="D1911" t="s">
        <v>11</v>
      </c>
      <c r="E1911">
        <v>174007</v>
      </c>
      <c r="F1911">
        <v>36000000</v>
      </c>
    </row>
    <row r="1912" spans="1:6" hidden="1" x14ac:dyDescent="0.3">
      <c r="A1912">
        <v>1911</v>
      </c>
      <c r="B1912" t="s">
        <v>37</v>
      </c>
      <c r="C1912">
        <v>2015</v>
      </c>
      <c r="D1912" t="s">
        <v>11</v>
      </c>
      <c r="E1912">
        <v>21687</v>
      </c>
      <c r="F1912">
        <v>1000000</v>
      </c>
    </row>
    <row r="1913" spans="1:6" hidden="1" x14ac:dyDescent="0.3">
      <c r="A1913">
        <v>1912</v>
      </c>
      <c r="B1913" t="s">
        <v>37</v>
      </c>
      <c r="C1913">
        <v>2015</v>
      </c>
      <c r="D1913" t="s">
        <v>11</v>
      </c>
      <c r="E1913">
        <v>318383</v>
      </c>
      <c r="F1913">
        <v>30299000</v>
      </c>
    </row>
    <row r="1914" spans="1:6" hidden="1" x14ac:dyDescent="0.3">
      <c r="A1914">
        <v>1913</v>
      </c>
      <c r="B1914" t="s">
        <v>37</v>
      </c>
      <c r="C1914">
        <v>2015</v>
      </c>
      <c r="D1914" t="s">
        <v>11</v>
      </c>
      <c r="E1914">
        <v>2898590</v>
      </c>
      <c r="F1914">
        <v>210985000</v>
      </c>
    </row>
    <row r="1915" spans="1:6" hidden="1" x14ac:dyDescent="0.3">
      <c r="A1915">
        <v>1914</v>
      </c>
      <c r="B1915" t="s">
        <v>37</v>
      </c>
      <c r="C1915">
        <v>2015</v>
      </c>
      <c r="D1915" t="s">
        <v>11</v>
      </c>
      <c r="E1915">
        <v>287251</v>
      </c>
      <c r="F1915">
        <v>135217000</v>
      </c>
    </row>
    <row r="1916" spans="1:6" hidden="1" x14ac:dyDescent="0.3">
      <c r="A1916">
        <v>1915</v>
      </c>
      <c r="B1916" t="s">
        <v>21</v>
      </c>
      <c r="C1916">
        <v>2015</v>
      </c>
      <c r="D1916" t="s">
        <v>11</v>
      </c>
      <c r="E1916">
        <v>1471</v>
      </c>
      <c r="F1916">
        <v>2000000</v>
      </c>
    </row>
    <row r="1917" spans="1:6" hidden="1" x14ac:dyDescent="0.3">
      <c r="A1917">
        <v>1916</v>
      </c>
      <c r="B1917" t="s">
        <v>35</v>
      </c>
      <c r="C1917">
        <v>2015</v>
      </c>
      <c r="D1917" t="s">
        <v>9</v>
      </c>
      <c r="E1917">
        <v>5067</v>
      </c>
      <c r="F1917">
        <v>1000000</v>
      </c>
    </row>
    <row r="1918" spans="1:6" hidden="1" x14ac:dyDescent="0.3">
      <c r="A1918">
        <v>1917</v>
      </c>
      <c r="B1918" t="s">
        <v>20</v>
      </c>
      <c r="C1918">
        <v>2015</v>
      </c>
      <c r="D1918" t="s">
        <v>7</v>
      </c>
      <c r="E1918">
        <v>0</v>
      </c>
      <c r="F1918">
        <v>0</v>
      </c>
    </row>
    <row r="1919" spans="1:6" hidden="1" x14ac:dyDescent="0.3">
      <c r="A1919">
        <v>1918</v>
      </c>
      <c r="B1919" t="s">
        <v>16</v>
      </c>
      <c r="C1919">
        <v>2015</v>
      </c>
      <c r="D1919" t="s">
        <v>9</v>
      </c>
      <c r="E1919">
        <v>2122</v>
      </c>
      <c r="F1919">
        <v>76000000</v>
      </c>
    </row>
    <row r="1920" spans="1:6" hidden="1" x14ac:dyDescent="0.3">
      <c r="A1920">
        <v>1919</v>
      </c>
      <c r="B1920" t="s">
        <v>16</v>
      </c>
      <c r="C1920">
        <v>2015</v>
      </c>
      <c r="D1920" t="s">
        <v>9</v>
      </c>
      <c r="E1920">
        <v>1000</v>
      </c>
      <c r="F1920">
        <v>0</v>
      </c>
    </row>
    <row r="1921" spans="1:6" hidden="1" x14ac:dyDescent="0.3">
      <c r="A1921">
        <v>1920</v>
      </c>
      <c r="B1921" t="s">
        <v>16</v>
      </c>
      <c r="C1921">
        <v>2015</v>
      </c>
      <c r="D1921" t="s">
        <v>9</v>
      </c>
      <c r="E1921">
        <v>13709887</v>
      </c>
      <c r="F1921">
        <v>0</v>
      </c>
    </row>
    <row r="1922" spans="1:6" hidden="1" x14ac:dyDescent="0.3">
      <c r="A1922">
        <v>1921</v>
      </c>
      <c r="B1922" t="s">
        <v>16</v>
      </c>
      <c r="C1922">
        <v>2015</v>
      </c>
      <c r="D1922" t="s">
        <v>9</v>
      </c>
      <c r="E1922">
        <v>0</v>
      </c>
      <c r="F1922">
        <v>0</v>
      </c>
    </row>
    <row r="1923" spans="1:6" hidden="1" x14ac:dyDescent="0.3">
      <c r="A1923">
        <v>1922</v>
      </c>
      <c r="B1923" t="s">
        <v>16</v>
      </c>
      <c r="C1923">
        <v>2015</v>
      </c>
      <c r="D1923" t="s">
        <v>9</v>
      </c>
      <c r="E1923">
        <v>85250</v>
      </c>
      <c r="F1923">
        <v>0</v>
      </c>
    </row>
    <row r="1924" spans="1:6" hidden="1" x14ac:dyDescent="0.3">
      <c r="A1924">
        <v>1923</v>
      </c>
      <c r="B1924" t="s">
        <v>17</v>
      </c>
      <c r="C1924">
        <v>2015</v>
      </c>
      <c r="D1924" t="s">
        <v>9</v>
      </c>
      <c r="E1924">
        <v>7309</v>
      </c>
      <c r="F1924">
        <v>0</v>
      </c>
    </row>
    <row r="1925" spans="1:6" hidden="1" x14ac:dyDescent="0.3">
      <c r="A1925">
        <v>1924</v>
      </c>
      <c r="B1925" t="s">
        <v>45</v>
      </c>
      <c r="C1925">
        <v>2015</v>
      </c>
      <c r="D1925" t="s">
        <v>9</v>
      </c>
      <c r="E1925">
        <v>14000</v>
      </c>
      <c r="F1925">
        <v>0</v>
      </c>
    </row>
    <row r="1926" spans="1:6" hidden="1" x14ac:dyDescent="0.3">
      <c r="A1926">
        <v>1925</v>
      </c>
      <c r="B1926" t="s">
        <v>45</v>
      </c>
      <c r="C1926">
        <v>2015</v>
      </c>
      <c r="D1926" t="s">
        <v>9</v>
      </c>
      <c r="E1926">
        <v>1621703</v>
      </c>
      <c r="F1926">
        <v>119000000</v>
      </c>
    </row>
    <row r="1927" spans="1:6" hidden="1" x14ac:dyDescent="0.3">
      <c r="A1927">
        <v>1926</v>
      </c>
      <c r="B1927" t="s">
        <v>33</v>
      </c>
      <c r="C1927">
        <v>2015</v>
      </c>
      <c r="D1927" t="s">
        <v>14</v>
      </c>
      <c r="E1927">
        <v>5639722</v>
      </c>
      <c r="F1927">
        <v>5174000000</v>
      </c>
    </row>
    <row r="1928" spans="1:6" hidden="1" x14ac:dyDescent="0.3">
      <c r="A1928">
        <v>1927</v>
      </c>
      <c r="B1928" t="s">
        <v>33</v>
      </c>
      <c r="C1928">
        <v>2015</v>
      </c>
      <c r="D1928" t="s">
        <v>14</v>
      </c>
      <c r="E1928">
        <v>2428</v>
      </c>
      <c r="F1928">
        <v>0</v>
      </c>
    </row>
    <row r="1929" spans="1:6" hidden="1" x14ac:dyDescent="0.3">
      <c r="A1929">
        <v>1928</v>
      </c>
      <c r="B1929" t="s">
        <v>36</v>
      </c>
      <c r="C1929">
        <v>2015</v>
      </c>
      <c r="D1929" t="s">
        <v>9</v>
      </c>
      <c r="E1929">
        <v>3235</v>
      </c>
      <c r="F1929">
        <v>0</v>
      </c>
    </row>
    <row r="1930" spans="1:6" hidden="1" x14ac:dyDescent="0.3">
      <c r="A1930">
        <v>1929</v>
      </c>
      <c r="B1930" t="s">
        <v>37</v>
      </c>
      <c r="C1930">
        <v>2015</v>
      </c>
      <c r="D1930" t="s">
        <v>11</v>
      </c>
      <c r="E1930">
        <v>55567</v>
      </c>
      <c r="F1930">
        <v>2218000</v>
      </c>
    </row>
    <row r="1931" spans="1:6" hidden="1" x14ac:dyDescent="0.3">
      <c r="A1931">
        <v>1930</v>
      </c>
      <c r="B1931" t="s">
        <v>37</v>
      </c>
      <c r="C1931">
        <v>2015</v>
      </c>
      <c r="D1931" t="s">
        <v>9</v>
      </c>
      <c r="E1931">
        <v>42500</v>
      </c>
      <c r="F1931">
        <v>86000</v>
      </c>
    </row>
    <row r="1932" spans="1:6" hidden="1" x14ac:dyDescent="0.3">
      <c r="A1932">
        <v>1931</v>
      </c>
      <c r="B1932" t="s">
        <v>37</v>
      </c>
      <c r="C1932">
        <v>2015</v>
      </c>
      <c r="D1932" t="s">
        <v>9</v>
      </c>
      <c r="E1932">
        <v>62929</v>
      </c>
      <c r="F1932">
        <v>114000</v>
      </c>
    </row>
    <row r="1933" spans="1:6" x14ac:dyDescent="0.3">
      <c r="A1933">
        <v>1932</v>
      </c>
      <c r="B1933" t="s">
        <v>42</v>
      </c>
      <c r="C1933">
        <v>2015</v>
      </c>
      <c r="D1933" t="s">
        <v>9</v>
      </c>
      <c r="E1933">
        <v>5401</v>
      </c>
      <c r="F1933">
        <v>0</v>
      </c>
    </row>
    <row r="1934" spans="1:6" x14ac:dyDescent="0.3">
      <c r="A1934">
        <v>1933</v>
      </c>
      <c r="B1934" t="s">
        <v>42</v>
      </c>
      <c r="C1934">
        <v>2015</v>
      </c>
      <c r="D1934" t="s">
        <v>9</v>
      </c>
      <c r="E1934">
        <v>5401</v>
      </c>
      <c r="F1934">
        <v>0</v>
      </c>
    </row>
    <row r="1935" spans="1:6" hidden="1" x14ac:dyDescent="0.3">
      <c r="A1935">
        <v>1934</v>
      </c>
      <c r="B1935" t="s">
        <v>20</v>
      </c>
      <c r="C1935">
        <v>2015</v>
      </c>
      <c r="D1935" t="s">
        <v>9</v>
      </c>
      <c r="E1935">
        <v>8000</v>
      </c>
      <c r="F1935">
        <v>0</v>
      </c>
    </row>
    <row r="1936" spans="1:6" hidden="1" x14ac:dyDescent="0.3">
      <c r="A1936">
        <v>1935</v>
      </c>
      <c r="B1936" t="s">
        <v>16</v>
      </c>
      <c r="C1936">
        <v>2015</v>
      </c>
      <c r="D1936" t="s">
        <v>11</v>
      </c>
      <c r="E1936">
        <v>125100</v>
      </c>
      <c r="F1936">
        <v>160000000</v>
      </c>
    </row>
    <row r="1937" spans="1:6" hidden="1" x14ac:dyDescent="0.3">
      <c r="A1937">
        <v>1936</v>
      </c>
      <c r="B1937" t="s">
        <v>37</v>
      </c>
      <c r="C1937">
        <v>2015</v>
      </c>
      <c r="D1937" t="s">
        <v>9</v>
      </c>
      <c r="E1937">
        <v>122000</v>
      </c>
      <c r="F1937">
        <v>0</v>
      </c>
    </row>
    <row r="1938" spans="1:6" hidden="1" x14ac:dyDescent="0.3">
      <c r="A1938">
        <v>1937</v>
      </c>
      <c r="B1938" t="s">
        <v>21</v>
      </c>
      <c r="C1938">
        <v>2015</v>
      </c>
      <c r="D1938" t="s">
        <v>11</v>
      </c>
      <c r="E1938">
        <v>15000</v>
      </c>
      <c r="F1938">
        <v>823000000</v>
      </c>
    </row>
    <row r="1939" spans="1:6" hidden="1" x14ac:dyDescent="0.3">
      <c r="A1939">
        <v>1938</v>
      </c>
      <c r="B1939" t="s">
        <v>41</v>
      </c>
      <c r="C1939">
        <v>2015</v>
      </c>
      <c r="D1939" t="s">
        <v>11</v>
      </c>
      <c r="E1939">
        <v>0</v>
      </c>
      <c r="F1939">
        <v>0</v>
      </c>
    </row>
    <row r="1940" spans="1:6" hidden="1" x14ac:dyDescent="0.3">
      <c r="A1940">
        <v>1939</v>
      </c>
      <c r="B1940" t="s">
        <v>31</v>
      </c>
      <c r="C1940">
        <v>2015</v>
      </c>
      <c r="D1940" t="s">
        <v>7</v>
      </c>
      <c r="E1940">
        <v>580000</v>
      </c>
      <c r="F1940">
        <v>60000000</v>
      </c>
    </row>
    <row r="1941" spans="1:6" hidden="1" x14ac:dyDescent="0.3">
      <c r="A1941">
        <v>1940</v>
      </c>
      <c r="B1941" t="s">
        <v>32</v>
      </c>
      <c r="C1941">
        <v>2015</v>
      </c>
      <c r="D1941" t="s">
        <v>7</v>
      </c>
      <c r="E1941">
        <v>2588128</v>
      </c>
      <c r="F1941">
        <v>0</v>
      </c>
    </row>
    <row r="1942" spans="1:6" hidden="1" x14ac:dyDescent="0.3">
      <c r="A1942">
        <v>1941</v>
      </c>
      <c r="B1942" t="s">
        <v>41</v>
      </c>
      <c r="C1942">
        <v>2015</v>
      </c>
      <c r="D1942" t="s">
        <v>7</v>
      </c>
      <c r="E1942">
        <v>6700000</v>
      </c>
      <c r="F1942">
        <v>0</v>
      </c>
    </row>
    <row r="1943" spans="1:6" hidden="1" x14ac:dyDescent="0.3">
      <c r="A1943">
        <v>1942</v>
      </c>
      <c r="B1943" t="s">
        <v>18</v>
      </c>
      <c r="C1943">
        <v>2015</v>
      </c>
      <c r="D1943" t="s">
        <v>9</v>
      </c>
      <c r="E1943">
        <v>2700</v>
      </c>
      <c r="F1943">
        <v>60000000</v>
      </c>
    </row>
    <row r="1944" spans="1:6" hidden="1" x14ac:dyDescent="0.3">
      <c r="A1944">
        <v>1943</v>
      </c>
      <c r="B1944" t="s">
        <v>20</v>
      </c>
      <c r="C1944">
        <v>2015</v>
      </c>
      <c r="D1944" t="s">
        <v>14</v>
      </c>
      <c r="E1944">
        <v>12247</v>
      </c>
      <c r="F1944">
        <v>0</v>
      </c>
    </row>
    <row r="1945" spans="1:6" hidden="1" x14ac:dyDescent="0.3">
      <c r="A1945">
        <v>1944</v>
      </c>
      <c r="B1945" t="s">
        <v>20</v>
      </c>
      <c r="C1945">
        <v>2015</v>
      </c>
      <c r="D1945" t="s">
        <v>9</v>
      </c>
      <c r="E1945">
        <v>8259</v>
      </c>
      <c r="F1945">
        <v>0</v>
      </c>
    </row>
    <row r="1946" spans="1:6" hidden="1" x14ac:dyDescent="0.3">
      <c r="A1946">
        <v>1945</v>
      </c>
      <c r="B1946" t="s">
        <v>20</v>
      </c>
      <c r="C1946">
        <v>2015</v>
      </c>
      <c r="D1946" t="s">
        <v>9</v>
      </c>
      <c r="E1946">
        <v>300</v>
      </c>
      <c r="F1946">
        <v>0</v>
      </c>
    </row>
    <row r="1947" spans="1:6" hidden="1" x14ac:dyDescent="0.3">
      <c r="A1947">
        <v>1946</v>
      </c>
      <c r="B1947" t="s">
        <v>20</v>
      </c>
      <c r="C1947">
        <v>2015</v>
      </c>
      <c r="D1947" t="s">
        <v>9</v>
      </c>
      <c r="E1947">
        <v>25000</v>
      </c>
      <c r="F1947">
        <v>0</v>
      </c>
    </row>
    <row r="1948" spans="1:6" hidden="1" x14ac:dyDescent="0.3">
      <c r="A1948">
        <v>1947</v>
      </c>
      <c r="B1948" t="s">
        <v>20</v>
      </c>
      <c r="C1948">
        <v>2015</v>
      </c>
      <c r="D1948" t="s">
        <v>9</v>
      </c>
      <c r="E1948">
        <v>0</v>
      </c>
      <c r="F1948">
        <v>235000000</v>
      </c>
    </row>
    <row r="1949" spans="1:6" hidden="1" x14ac:dyDescent="0.3">
      <c r="A1949">
        <v>1948</v>
      </c>
      <c r="B1949" t="s">
        <v>20</v>
      </c>
      <c r="C1949">
        <v>2015</v>
      </c>
      <c r="D1949" t="s">
        <v>9</v>
      </c>
      <c r="E1949">
        <v>25750</v>
      </c>
      <c r="F1949">
        <v>0</v>
      </c>
    </row>
    <row r="1950" spans="1:6" hidden="1" x14ac:dyDescent="0.3">
      <c r="A1950">
        <v>1949</v>
      </c>
      <c r="B1950" t="s">
        <v>16</v>
      </c>
      <c r="C1950">
        <v>2015</v>
      </c>
      <c r="D1950" t="s">
        <v>11</v>
      </c>
      <c r="E1950">
        <v>10000</v>
      </c>
      <c r="F1950">
        <v>3000000</v>
      </c>
    </row>
    <row r="1951" spans="1:6" hidden="1" x14ac:dyDescent="0.3">
      <c r="A1951">
        <v>1950</v>
      </c>
      <c r="B1951" t="s">
        <v>16</v>
      </c>
      <c r="C1951">
        <v>2015</v>
      </c>
      <c r="D1951" t="s">
        <v>11</v>
      </c>
      <c r="E1951">
        <v>0</v>
      </c>
      <c r="F1951">
        <v>0</v>
      </c>
    </row>
    <row r="1952" spans="1:6" hidden="1" x14ac:dyDescent="0.3">
      <c r="A1952">
        <v>1951</v>
      </c>
      <c r="B1952" t="s">
        <v>16</v>
      </c>
      <c r="C1952">
        <v>2015</v>
      </c>
      <c r="D1952" t="s">
        <v>11</v>
      </c>
      <c r="E1952">
        <v>0</v>
      </c>
      <c r="F1952">
        <v>0</v>
      </c>
    </row>
    <row r="1953" spans="1:6" hidden="1" x14ac:dyDescent="0.3">
      <c r="A1953">
        <v>1952</v>
      </c>
      <c r="B1953" t="s">
        <v>16</v>
      </c>
      <c r="C1953">
        <v>2015</v>
      </c>
      <c r="D1953" t="s">
        <v>11</v>
      </c>
      <c r="E1953">
        <v>0</v>
      </c>
      <c r="F1953">
        <v>0</v>
      </c>
    </row>
    <row r="1954" spans="1:6" hidden="1" x14ac:dyDescent="0.3">
      <c r="A1954">
        <v>1953</v>
      </c>
      <c r="B1954" t="s">
        <v>16</v>
      </c>
      <c r="C1954">
        <v>2015</v>
      </c>
      <c r="D1954" t="s">
        <v>14</v>
      </c>
      <c r="E1954">
        <v>560</v>
      </c>
      <c r="F1954">
        <v>0</v>
      </c>
    </row>
    <row r="1955" spans="1:6" hidden="1" x14ac:dyDescent="0.3">
      <c r="A1955">
        <v>1954</v>
      </c>
      <c r="B1955" t="s">
        <v>16</v>
      </c>
      <c r="C1955">
        <v>2015</v>
      </c>
      <c r="D1955" t="s">
        <v>14</v>
      </c>
      <c r="E1955">
        <v>0</v>
      </c>
      <c r="F1955">
        <v>0</v>
      </c>
    </row>
    <row r="1956" spans="1:6" hidden="1" x14ac:dyDescent="0.3">
      <c r="A1956">
        <v>1955</v>
      </c>
      <c r="B1956" t="s">
        <v>16</v>
      </c>
      <c r="C1956">
        <v>2015</v>
      </c>
      <c r="D1956" t="s">
        <v>14</v>
      </c>
      <c r="E1956">
        <v>10</v>
      </c>
      <c r="F1956">
        <v>0</v>
      </c>
    </row>
    <row r="1957" spans="1:6" hidden="1" x14ac:dyDescent="0.3">
      <c r="A1957">
        <v>1956</v>
      </c>
      <c r="B1957" t="s">
        <v>16</v>
      </c>
      <c r="C1957">
        <v>2015</v>
      </c>
      <c r="D1957" t="s">
        <v>9</v>
      </c>
      <c r="E1957">
        <v>200</v>
      </c>
      <c r="F1957">
        <v>0</v>
      </c>
    </row>
    <row r="1958" spans="1:6" hidden="1" x14ac:dyDescent="0.3">
      <c r="A1958">
        <v>1957</v>
      </c>
      <c r="B1958" t="s">
        <v>16</v>
      </c>
      <c r="C1958">
        <v>2015</v>
      </c>
      <c r="D1958" t="s">
        <v>9</v>
      </c>
      <c r="E1958">
        <v>9000</v>
      </c>
      <c r="F1958">
        <v>604000000</v>
      </c>
    </row>
    <row r="1959" spans="1:6" hidden="1" x14ac:dyDescent="0.3">
      <c r="A1959">
        <v>1958</v>
      </c>
      <c r="B1959" t="s">
        <v>16</v>
      </c>
      <c r="C1959">
        <v>2015</v>
      </c>
      <c r="D1959" t="s">
        <v>7</v>
      </c>
      <c r="E1959">
        <v>330000000</v>
      </c>
      <c r="F1959">
        <v>3000000000</v>
      </c>
    </row>
    <row r="1960" spans="1:6" hidden="1" x14ac:dyDescent="0.3">
      <c r="A1960">
        <v>1959</v>
      </c>
      <c r="B1960" t="s">
        <v>16</v>
      </c>
      <c r="C1960">
        <v>2015</v>
      </c>
      <c r="D1960" t="s">
        <v>9</v>
      </c>
      <c r="E1960">
        <v>18000</v>
      </c>
      <c r="F1960">
        <v>0</v>
      </c>
    </row>
    <row r="1961" spans="1:6" hidden="1" x14ac:dyDescent="0.3">
      <c r="A1961">
        <v>1960</v>
      </c>
      <c r="B1961" t="s">
        <v>16</v>
      </c>
      <c r="C1961">
        <v>2015</v>
      </c>
      <c r="D1961" t="s">
        <v>9</v>
      </c>
      <c r="E1961">
        <v>787000</v>
      </c>
      <c r="F1961">
        <v>0</v>
      </c>
    </row>
    <row r="1962" spans="1:6" hidden="1" x14ac:dyDescent="0.3">
      <c r="A1962">
        <v>1961</v>
      </c>
      <c r="B1962" t="s">
        <v>16</v>
      </c>
      <c r="C1962">
        <v>2015</v>
      </c>
      <c r="D1962" t="s">
        <v>9</v>
      </c>
      <c r="E1962">
        <v>1801000</v>
      </c>
      <c r="F1962">
        <v>2200000000</v>
      </c>
    </row>
    <row r="1963" spans="1:6" hidden="1" x14ac:dyDescent="0.3">
      <c r="A1963">
        <v>1962</v>
      </c>
      <c r="B1963" t="s">
        <v>18</v>
      </c>
      <c r="C1963">
        <v>2015</v>
      </c>
      <c r="D1963" t="s">
        <v>9</v>
      </c>
      <c r="E1963">
        <v>2000</v>
      </c>
      <c r="F1963">
        <v>60000000</v>
      </c>
    </row>
    <row r="1964" spans="1:6" hidden="1" x14ac:dyDescent="0.3">
      <c r="A1964">
        <v>1963</v>
      </c>
      <c r="B1964" t="s">
        <v>18</v>
      </c>
      <c r="C1964">
        <v>2015</v>
      </c>
      <c r="D1964" t="s">
        <v>9</v>
      </c>
      <c r="E1964">
        <v>4030</v>
      </c>
      <c r="F1964">
        <v>0</v>
      </c>
    </row>
    <row r="1965" spans="1:6" hidden="1" x14ac:dyDescent="0.3">
      <c r="A1965">
        <v>1964</v>
      </c>
      <c r="B1965" t="s">
        <v>18</v>
      </c>
      <c r="C1965">
        <v>2015</v>
      </c>
      <c r="D1965" t="s">
        <v>9</v>
      </c>
      <c r="E1965">
        <v>17700</v>
      </c>
      <c r="F1965">
        <v>516000000</v>
      </c>
    </row>
    <row r="1966" spans="1:6" hidden="1" x14ac:dyDescent="0.3">
      <c r="A1966">
        <v>1965</v>
      </c>
      <c r="B1966" t="s">
        <v>18</v>
      </c>
      <c r="C1966">
        <v>2015</v>
      </c>
      <c r="D1966" t="s">
        <v>9</v>
      </c>
      <c r="E1966">
        <v>0</v>
      </c>
      <c r="F1966">
        <v>0</v>
      </c>
    </row>
    <row r="1967" spans="1:6" hidden="1" x14ac:dyDescent="0.3">
      <c r="A1967">
        <v>1966</v>
      </c>
      <c r="B1967" t="s">
        <v>34</v>
      </c>
      <c r="C1967">
        <v>2015</v>
      </c>
      <c r="D1967" t="s">
        <v>9</v>
      </c>
      <c r="E1967">
        <v>1500</v>
      </c>
      <c r="F1967">
        <v>0</v>
      </c>
    </row>
    <row r="1968" spans="1:6" hidden="1" x14ac:dyDescent="0.3">
      <c r="A1968">
        <v>1967</v>
      </c>
      <c r="B1968" t="s">
        <v>34</v>
      </c>
      <c r="C1968">
        <v>2015</v>
      </c>
      <c r="D1968" t="s">
        <v>9</v>
      </c>
      <c r="E1968">
        <v>3000</v>
      </c>
      <c r="F1968">
        <v>0</v>
      </c>
    </row>
    <row r="1969" spans="1:6" hidden="1" x14ac:dyDescent="0.3">
      <c r="A1969">
        <v>1968</v>
      </c>
      <c r="B1969" t="s">
        <v>34</v>
      </c>
      <c r="C1969">
        <v>2015</v>
      </c>
      <c r="D1969" t="s">
        <v>9</v>
      </c>
      <c r="E1969">
        <v>240799</v>
      </c>
      <c r="F1969">
        <v>0</v>
      </c>
    </row>
    <row r="1970" spans="1:6" hidden="1" x14ac:dyDescent="0.3">
      <c r="A1970">
        <v>1969</v>
      </c>
      <c r="B1970" t="s">
        <v>48</v>
      </c>
      <c r="C1970">
        <v>2015</v>
      </c>
      <c r="D1970" t="s">
        <v>14</v>
      </c>
      <c r="E1970">
        <v>16780</v>
      </c>
      <c r="F1970">
        <v>12000000</v>
      </c>
    </row>
    <row r="1971" spans="1:6" hidden="1" x14ac:dyDescent="0.3">
      <c r="A1971">
        <v>1970</v>
      </c>
      <c r="B1971" t="s">
        <v>17</v>
      </c>
      <c r="C1971">
        <v>2015</v>
      </c>
      <c r="D1971" t="s">
        <v>9</v>
      </c>
      <c r="E1971">
        <v>20000</v>
      </c>
      <c r="F1971">
        <v>0</v>
      </c>
    </row>
    <row r="1972" spans="1:6" hidden="1" x14ac:dyDescent="0.3">
      <c r="A1972">
        <v>1971</v>
      </c>
      <c r="B1972" t="s">
        <v>22</v>
      </c>
      <c r="C1972">
        <v>2015</v>
      </c>
      <c r="D1972" t="s">
        <v>9</v>
      </c>
      <c r="E1972">
        <v>24000</v>
      </c>
      <c r="F1972">
        <v>0</v>
      </c>
    </row>
    <row r="1973" spans="1:6" hidden="1" x14ac:dyDescent="0.3">
      <c r="A1973">
        <v>1972</v>
      </c>
      <c r="B1973" t="s">
        <v>22</v>
      </c>
      <c r="C1973">
        <v>2015</v>
      </c>
      <c r="D1973" t="s">
        <v>11</v>
      </c>
      <c r="E1973">
        <v>8430</v>
      </c>
      <c r="F1973">
        <v>10000000</v>
      </c>
    </row>
    <row r="1974" spans="1:6" hidden="1" x14ac:dyDescent="0.3">
      <c r="A1974">
        <v>1973</v>
      </c>
      <c r="B1974" t="s">
        <v>21</v>
      </c>
      <c r="C1974">
        <v>2015</v>
      </c>
      <c r="D1974" t="s">
        <v>11</v>
      </c>
      <c r="E1974">
        <v>2320</v>
      </c>
      <c r="F1974">
        <v>0</v>
      </c>
    </row>
    <row r="1975" spans="1:6" hidden="1" x14ac:dyDescent="0.3">
      <c r="A1975">
        <v>1974</v>
      </c>
      <c r="B1975" t="s">
        <v>21</v>
      </c>
      <c r="C1975">
        <v>2015</v>
      </c>
      <c r="D1975" t="s">
        <v>9</v>
      </c>
      <c r="E1975">
        <v>3000</v>
      </c>
      <c r="F1975">
        <v>0</v>
      </c>
    </row>
    <row r="1976" spans="1:6" hidden="1" x14ac:dyDescent="0.3">
      <c r="A1976">
        <v>1975</v>
      </c>
      <c r="B1976" t="s">
        <v>45</v>
      </c>
      <c r="C1976">
        <v>2015</v>
      </c>
      <c r="D1976" t="s">
        <v>11</v>
      </c>
      <c r="E1976">
        <v>0</v>
      </c>
      <c r="F1976">
        <v>0</v>
      </c>
    </row>
    <row r="1977" spans="1:6" hidden="1" x14ac:dyDescent="0.3">
      <c r="A1977">
        <v>1976</v>
      </c>
      <c r="B1977" t="s">
        <v>45</v>
      </c>
      <c r="C1977">
        <v>2015</v>
      </c>
      <c r="D1977" t="s">
        <v>9</v>
      </c>
      <c r="E1977">
        <v>0</v>
      </c>
      <c r="F1977">
        <v>0</v>
      </c>
    </row>
    <row r="1978" spans="1:6" hidden="1" x14ac:dyDescent="0.3">
      <c r="A1978">
        <v>1977</v>
      </c>
      <c r="B1978" t="s">
        <v>30</v>
      </c>
      <c r="C1978">
        <v>2015</v>
      </c>
      <c r="D1978" t="s">
        <v>9</v>
      </c>
      <c r="E1978">
        <v>177645</v>
      </c>
      <c r="F1978">
        <v>0</v>
      </c>
    </row>
    <row r="1979" spans="1:6" hidden="1" x14ac:dyDescent="0.3">
      <c r="A1979">
        <v>1978</v>
      </c>
      <c r="B1979" t="s">
        <v>32</v>
      </c>
      <c r="C1979">
        <v>2015</v>
      </c>
      <c r="D1979" t="s">
        <v>9</v>
      </c>
      <c r="E1979">
        <v>87037</v>
      </c>
      <c r="F1979">
        <v>0</v>
      </c>
    </row>
    <row r="1980" spans="1:6" hidden="1" x14ac:dyDescent="0.3">
      <c r="A1980">
        <v>1979</v>
      </c>
      <c r="B1980" t="s">
        <v>24</v>
      </c>
      <c r="C1980">
        <v>2015</v>
      </c>
      <c r="D1980" t="s">
        <v>9</v>
      </c>
      <c r="E1980">
        <v>3750</v>
      </c>
      <c r="F1980">
        <v>0</v>
      </c>
    </row>
    <row r="1981" spans="1:6" hidden="1" x14ac:dyDescent="0.3">
      <c r="A1981">
        <v>1980</v>
      </c>
      <c r="B1981" t="s">
        <v>35</v>
      </c>
      <c r="C1981">
        <v>2015</v>
      </c>
      <c r="D1981" t="s">
        <v>14</v>
      </c>
      <c r="E1981">
        <v>502590</v>
      </c>
      <c r="F1981">
        <v>0</v>
      </c>
    </row>
    <row r="1982" spans="1:6" hidden="1" x14ac:dyDescent="0.3">
      <c r="A1982">
        <v>1981</v>
      </c>
      <c r="B1982" t="s">
        <v>35</v>
      </c>
      <c r="C1982">
        <v>2015</v>
      </c>
      <c r="D1982" t="s">
        <v>14</v>
      </c>
      <c r="E1982">
        <v>85</v>
      </c>
      <c r="F1982">
        <v>0</v>
      </c>
    </row>
    <row r="1983" spans="1:6" hidden="1" x14ac:dyDescent="0.3">
      <c r="A1983">
        <v>1982</v>
      </c>
      <c r="B1983" t="s">
        <v>35</v>
      </c>
      <c r="C1983">
        <v>2015</v>
      </c>
      <c r="D1983" t="s">
        <v>9</v>
      </c>
      <c r="E1983">
        <v>0</v>
      </c>
      <c r="F1983">
        <v>0</v>
      </c>
    </row>
    <row r="1984" spans="1:6" hidden="1" x14ac:dyDescent="0.3">
      <c r="A1984">
        <v>1983</v>
      </c>
      <c r="B1984" t="s">
        <v>35</v>
      </c>
      <c r="C1984">
        <v>2015</v>
      </c>
      <c r="D1984" t="s">
        <v>9</v>
      </c>
      <c r="E1984">
        <v>0</v>
      </c>
      <c r="F1984">
        <v>0</v>
      </c>
    </row>
    <row r="1985" spans="1:6" hidden="1" x14ac:dyDescent="0.3">
      <c r="A1985">
        <v>1984</v>
      </c>
      <c r="B1985" t="s">
        <v>35</v>
      </c>
      <c r="C1985">
        <v>2015</v>
      </c>
      <c r="D1985" t="s">
        <v>9</v>
      </c>
      <c r="E1985">
        <v>0</v>
      </c>
      <c r="F1985">
        <v>0</v>
      </c>
    </row>
    <row r="1986" spans="1:6" hidden="1" x14ac:dyDescent="0.3">
      <c r="A1986">
        <v>1985</v>
      </c>
      <c r="B1986" t="s">
        <v>35</v>
      </c>
      <c r="C1986">
        <v>2015</v>
      </c>
      <c r="D1986" t="s">
        <v>9</v>
      </c>
      <c r="E1986">
        <v>0</v>
      </c>
      <c r="F1986">
        <v>0</v>
      </c>
    </row>
    <row r="1987" spans="1:6" hidden="1" x14ac:dyDescent="0.3">
      <c r="A1987">
        <v>1986</v>
      </c>
      <c r="B1987" t="s">
        <v>35</v>
      </c>
      <c r="C1987">
        <v>2015</v>
      </c>
      <c r="D1987" t="s">
        <v>9</v>
      </c>
      <c r="E1987">
        <v>1572423</v>
      </c>
      <c r="F1987">
        <v>0</v>
      </c>
    </row>
    <row r="1988" spans="1:6" hidden="1" x14ac:dyDescent="0.3">
      <c r="A1988">
        <v>1987</v>
      </c>
      <c r="B1988" t="s">
        <v>36</v>
      </c>
      <c r="C1988">
        <v>2015</v>
      </c>
      <c r="D1988" t="s">
        <v>9</v>
      </c>
      <c r="E1988">
        <v>147405</v>
      </c>
      <c r="F1988">
        <v>0</v>
      </c>
    </row>
    <row r="1989" spans="1:6" hidden="1" x14ac:dyDescent="0.3">
      <c r="A1989">
        <v>1988</v>
      </c>
      <c r="B1989" t="s">
        <v>37</v>
      </c>
      <c r="C1989">
        <v>2015</v>
      </c>
      <c r="D1989" t="s">
        <v>9</v>
      </c>
      <c r="E1989">
        <v>880</v>
      </c>
      <c r="F1989">
        <v>0</v>
      </c>
    </row>
    <row r="1990" spans="1:6" hidden="1" x14ac:dyDescent="0.3">
      <c r="A1990">
        <v>1989</v>
      </c>
      <c r="B1990" t="s">
        <v>37</v>
      </c>
      <c r="C1990">
        <v>2015</v>
      </c>
      <c r="D1990" t="s">
        <v>11</v>
      </c>
      <c r="E1990">
        <v>2761</v>
      </c>
      <c r="F1990">
        <v>0</v>
      </c>
    </row>
    <row r="1991" spans="1:6" hidden="1" x14ac:dyDescent="0.3">
      <c r="A1991">
        <v>1990</v>
      </c>
      <c r="B1991" t="s">
        <v>37</v>
      </c>
      <c r="C1991">
        <v>2015</v>
      </c>
      <c r="D1991" t="s">
        <v>11</v>
      </c>
      <c r="E1991">
        <v>523</v>
      </c>
      <c r="F1991">
        <v>348000</v>
      </c>
    </row>
    <row r="1992" spans="1:6" hidden="1" x14ac:dyDescent="0.3">
      <c r="A1992">
        <v>1991</v>
      </c>
      <c r="B1992" t="s">
        <v>37</v>
      </c>
      <c r="C1992">
        <v>2015</v>
      </c>
      <c r="D1992" t="s">
        <v>11</v>
      </c>
      <c r="E1992">
        <v>14100</v>
      </c>
      <c r="F1992">
        <v>1500000000</v>
      </c>
    </row>
    <row r="1993" spans="1:6" hidden="1" x14ac:dyDescent="0.3">
      <c r="A1993">
        <v>1992</v>
      </c>
      <c r="B1993" t="s">
        <v>37</v>
      </c>
      <c r="C1993">
        <v>2015</v>
      </c>
      <c r="D1993" t="s">
        <v>11</v>
      </c>
      <c r="E1993">
        <v>3843</v>
      </c>
      <c r="F1993">
        <v>0</v>
      </c>
    </row>
    <row r="1994" spans="1:6" hidden="1" x14ac:dyDescent="0.3">
      <c r="A1994">
        <v>1993</v>
      </c>
      <c r="B1994" t="s">
        <v>37</v>
      </c>
      <c r="C1994">
        <v>2015</v>
      </c>
      <c r="D1994" t="s">
        <v>11</v>
      </c>
      <c r="E1994">
        <v>3500</v>
      </c>
      <c r="F1994">
        <v>1300000</v>
      </c>
    </row>
    <row r="1995" spans="1:6" hidden="1" x14ac:dyDescent="0.3">
      <c r="A1995">
        <v>1994</v>
      </c>
      <c r="B1995" t="s">
        <v>37</v>
      </c>
      <c r="C1995">
        <v>2015</v>
      </c>
      <c r="D1995" t="s">
        <v>7</v>
      </c>
      <c r="E1995">
        <v>181687</v>
      </c>
      <c r="F1995">
        <v>84399000</v>
      </c>
    </row>
    <row r="1996" spans="1:6" hidden="1" x14ac:dyDescent="0.3">
      <c r="A1996">
        <v>1995</v>
      </c>
      <c r="B1996" t="s">
        <v>37</v>
      </c>
      <c r="C1996">
        <v>2015</v>
      </c>
      <c r="D1996" t="s">
        <v>9</v>
      </c>
      <c r="E1996">
        <v>3000</v>
      </c>
      <c r="F1996">
        <v>0</v>
      </c>
    </row>
    <row r="1997" spans="1:6" hidden="1" x14ac:dyDescent="0.3">
      <c r="A1997">
        <v>1996</v>
      </c>
      <c r="B1997" t="s">
        <v>39</v>
      </c>
      <c r="C1997">
        <v>2015</v>
      </c>
      <c r="D1997" t="s">
        <v>9</v>
      </c>
      <c r="E1997">
        <v>1500</v>
      </c>
      <c r="F1997">
        <v>0</v>
      </c>
    </row>
    <row r="1998" spans="1:6" hidden="1" x14ac:dyDescent="0.3">
      <c r="A1998">
        <v>1997</v>
      </c>
      <c r="B1998" t="s">
        <v>40</v>
      </c>
      <c r="C1998">
        <v>2015</v>
      </c>
      <c r="D1998" t="s">
        <v>11</v>
      </c>
      <c r="E1998">
        <v>20000</v>
      </c>
      <c r="F1998">
        <v>0</v>
      </c>
    </row>
    <row r="1999" spans="1:6" hidden="1" x14ac:dyDescent="0.3">
      <c r="A1999">
        <v>1998</v>
      </c>
      <c r="B1999" t="s">
        <v>40</v>
      </c>
      <c r="C1999">
        <v>2015</v>
      </c>
      <c r="D1999" t="s">
        <v>9</v>
      </c>
      <c r="E1999">
        <v>0</v>
      </c>
      <c r="F1999">
        <v>0</v>
      </c>
    </row>
    <row r="2000" spans="1:6" hidden="1" x14ac:dyDescent="0.3">
      <c r="A2000">
        <v>1999</v>
      </c>
      <c r="B2000" t="s">
        <v>41</v>
      </c>
      <c r="C2000">
        <v>2015</v>
      </c>
      <c r="D2000" t="s">
        <v>11</v>
      </c>
      <c r="E2000">
        <v>4000</v>
      </c>
      <c r="F2000">
        <v>0</v>
      </c>
    </row>
    <row r="2001" spans="1:6" hidden="1" x14ac:dyDescent="0.3">
      <c r="A2001">
        <v>2000</v>
      </c>
      <c r="B2001" t="s">
        <v>41</v>
      </c>
      <c r="C2001">
        <v>2015</v>
      </c>
      <c r="D2001" t="s">
        <v>9</v>
      </c>
      <c r="E2001">
        <v>900000</v>
      </c>
      <c r="F2001">
        <v>0</v>
      </c>
    </row>
    <row r="2002" spans="1:6" hidden="1" x14ac:dyDescent="0.3">
      <c r="A2002">
        <v>2001</v>
      </c>
      <c r="B2002" t="s">
        <v>41</v>
      </c>
      <c r="C2002">
        <v>2015</v>
      </c>
      <c r="D2002" t="s">
        <v>9</v>
      </c>
      <c r="E2002">
        <v>16296</v>
      </c>
      <c r="F2002">
        <v>0</v>
      </c>
    </row>
    <row r="2003" spans="1:6" x14ac:dyDescent="0.3">
      <c r="A2003">
        <v>2002</v>
      </c>
      <c r="B2003" t="s">
        <v>42</v>
      </c>
      <c r="C2003">
        <v>2015</v>
      </c>
      <c r="D2003" t="s">
        <v>14</v>
      </c>
      <c r="E2003">
        <v>7976</v>
      </c>
      <c r="F2003">
        <v>5000000</v>
      </c>
    </row>
    <row r="2004" spans="1:6" hidden="1" x14ac:dyDescent="0.3">
      <c r="A2004">
        <v>2003</v>
      </c>
      <c r="B2004" t="s">
        <v>45</v>
      </c>
      <c r="C2004">
        <v>2016</v>
      </c>
      <c r="D2004" t="s">
        <v>11</v>
      </c>
      <c r="E2004">
        <v>12012</v>
      </c>
      <c r="F2004">
        <v>2000000</v>
      </c>
    </row>
    <row r="2005" spans="1:6" hidden="1" x14ac:dyDescent="0.3">
      <c r="A2005">
        <v>2004</v>
      </c>
      <c r="B2005" t="s">
        <v>21</v>
      </c>
      <c r="C2005">
        <v>2016</v>
      </c>
      <c r="D2005" t="s">
        <v>11</v>
      </c>
      <c r="E2005">
        <v>11000</v>
      </c>
      <c r="F2005">
        <v>0</v>
      </c>
    </row>
    <row r="2006" spans="1:6" hidden="1" x14ac:dyDescent="0.3">
      <c r="A2006">
        <v>2005</v>
      </c>
      <c r="B2006" t="s">
        <v>27</v>
      </c>
      <c r="C2006">
        <v>2016</v>
      </c>
      <c r="D2006" t="s">
        <v>9</v>
      </c>
      <c r="E2006">
        <v>18373</v>
      </c>
      <c r="F2006">
        <v>0</v>
      </c>
    </row>
    <row r="2007" spans="1:6" hidden="1" x14ac:dyDescent="0.3">
      <c r="A2007">
        <v>2006</v>
      </c>
      <c r="B2007" t="s">
        <v>20</v>
      </c>
      <c r="C2007">
        <v>2016</v>
      </c>
      <c r="D2007" t="s">
        <v>9</v>
      </c>
      <c r="E2007">
        <v>24000</v>
      </c>
      <c r="F2007">
        <v>0</v>
      </c>
    </row>
    <row r="2008" spans="1:6" hidden="1" x14ac:dyDescent="0.3">
      <c r="A2008">
        <v>2007</v>
      </c>
      <c r="B2008" t="s">
        <v>20</v>
      </c>
      <c r="C2008">
        <v>2016</v>
      </c>
      <c r="D2008" t="s">
        <v>9</v>
      </c>
      <c r="E2008">
        <v>80313</v>
      </c>
      <c r="F2008">
        <v>2000000</v>
      </c>
    </row>
    <row r="2009" spans="1:6" hidden="1" x14ac:dyDescent="0.3">
      <c r="A2009">
        <v>2008</v>
      </c>
      <c r="B2009" t="s">
        <v>20</v>
      </c>
      <c r="C2009">
        <v>2016</v>
      </c>
      <c r="D2009" t="s">
        <v>9</v>
      </c>
      <c r="E2009">
        <v>12500</v>
      </c>
      <c r="F2009">
        <v>0</v>
      </c>
    </row>
    <row r="2010" spans="1:6" hidden="1" x14ac:dyDescent="0.3">
      <c r="A2010">
        <v>2009</v>
      </c>
      <c r="B2010" t="s">
        <v>16</v>
      </c>
      <c r="C2010">
        <v>2016</v>
      </c>
      <c r="D2010" t="s">
        <v>9</v>
      </c>
      <c r="E2010">
        <v>100000</v>
      </c>
      <c r="F2010">
        <v>150000000</v>
      </c>
    </row>
    <row r="2011" spans="1:6" hidden="1" x14ac:dyDescent="0.3">
      <c r="A2011">
        <v>2010</v>
      </c>
      <c r="B2011" t="s">
        <v>17</v>
      </c>
      <c r="C2011">
        <v>2016</v>
      </c>
      <c r="D2011" t="s">
        <v>9</v>
      </c>
      <c r="E2011">
        <v>301602</v>
      </c>
      <c r="F2011">
        <v>1200000000</v>
      </c>
    </row>
    <row r="2012" spans="1:6" hidden="1" x14ac:dyDescent="0.3">
      <c r="A2012">
        <v>2011</v>
      </c>
      <c r="B2012" t="s">
        <v>33</v>
      </c>
      <c r="C2012">
        <v>2016</v>
      </c>
      <c r="D2012" t="s">
        <v>9</v>
      </c>
      <c r="E2012">
        <v>10551</v>
      </c>
      <c r="F2012">
        <v>15000000</v>
      </c>
    </row>
    <row r="2013" spans="1:6" hidden="1" x14ac:dyDescent="0.3">
      <c r="A2013">
        <v>2012</v>
      </c>
      <c r="B2013" t="s">
        <v>35</v>
      </c>
      <c r="C2013">
        <v>2016</v>
      </c>
      <c r="D2013" t="s">
        <v>9</v>
      </c>
      <c r="E2013">
        <v>77</v>
      </c>
      <c r="F2013">
        <v>0</v>
      </c>
    </row>
    <row r="2014" spans="1:6" hidden="1" x14ac:dyDescent="0.3">
      <c r="A2014">
        <v>2013</v>
      </c>
      <c r="B2014" t="s">
        <v>36</v>
      </c>
      <c r="C2014">
        <v>2016</v>
      </c>
      <c r="D2014" t="s">
        <v>9</v>
      </c>
      <c r="E2014">
        <v>10000</v>
      </c>
      <c r="F2014">
        <v>2000000</v>
      </c>
    </row>
    <row r="2015" spans="1:6" hidden="1" x14ac:dyDescent="0.3">
      <c r="A2015">
        <v>2014</v>
      </c>
      <c r="B2015" t="s">
        <v>34</v>
      </c>
      <c r="C2015">
        <v>2016</v>
      </c>
      <c r="D2015" t="s">
        <v>9</v>
      </c>
      <c r="E2015">
        <v>10000</v>
      </c>
      <c r="F2015">
        <v>0</v>
      </c>
    </row>
    <row r="2016" spans="1:6" hidden="1" x14ac:dyDescent="0.3">
      <c r="A2016">
        <v>2015</v>
      </c>
      <c r="B2016" t="s">
        <v>21</v>
      </c>
      <c r="C2016">
        <v>2016</v>
      </c>
      <c r="D2016" t="s">
        <v>11</v>
      </c>
      <c r="E2016">
        <v>10500</v>
      </c>
      <c r="F2016">
        <v>50000000</v>
      </c>
    </row>
    <row r="2017" spans="1:6" hidden="1" x14ac:dyDescent="0.3">
      <c r="A2017">
        <v>2016</v>
      </c>
      <c r="B2017" t="s">
        <v>22</v>
      </c>
      <c r="C2017">
        <v>2016</v>
      </c>
      <c r="D2017" t="s">
        <v>7</v>
      </c>
      <c r="E2017">
        <v>1140000</v>
      </c>
      <c r="F2017">
        <v>0</v>
      </c>
    </row>
    <row r="2018" spans="1:6" hidden="1" x14ac:dyDescent="0.3">
      <c r="A2018">
        <v>2017</v>
      </c>
      <c r="B2018" t="s">
        <v>30</v>
      </c>
      <c r="C2018">
        <v>2016</v>
      </c>
      <c r="D2018" t="s">
        <v>7</v>
      </c>
      <c r="E2018">
        <v>2300000</v>
      </c>
      <c r="F2018">
        <v>0</v>
      </c>
    </row>
    <row r="2019" spans="1:6" hidden="1" x14ac:dyDescent="0.3">
      <c r="A2019">
        <v>2018</v>
      </c>
      <c r="B2019" t="s">
        <v>35</v>
      </c>
      <c r="C2019">
        <v>2016</v>
      </c>
      <c r="D2019" t="s">
        <v>9</v>
      </c>
      <c r="E2019">
        <v>3</v>
      </c>
      <c r="F2019">
        <v>0</v>
      </c>
    </row>
    <row r="2020" spans="1:6" hidden="1" x14ac:dyDescent="0.3">
      <c r="A2020">
        <v>2019</v>
      </c>
      <c r="B2020" t="s">
        <v>27</v>
      </c>
      <c r="C2020">
        <v>2016</v>
      </c>
      <c r="D2020" t="s">
        <v>9</v>
      </c>
      <c r="E2020">
        <v>3000</v>
      </c>
      <c r="F2020">
        <v>0</v>
      </c>
    </row>
    <row r="2021" spans="1:6" hidden="1" x14ac:dyDescent="0.3">
      <c r="A2021">
        <v>2020</v>
      </c>
      <c r="B2021" t="s">
        <v>20</v>
      </c>
      <c r="C2021">
        <v>2016</v>
      </c>
      <c r="D2021" t="s">
        <v>14</v>
      </c>
      <c r="E2021">
        <v>368</v>
      </c>
      <c r="F2021">
        <v>0</v>
      </c>
    </row>
    <row r="2022" spans="1:6" hidden="1" x14ac:dyDescent="0.3">
      <c r="A2022">
        <v>2021</v>
      </c>
      <c r="B2022" t="s">
        <v>20</v>
      </c>
      <c r="C2022">
        <v>2016</v>
      </c>
      <c r="D2022" t="s">
        <v>9</v>
      </c>
      <c r="E2022">
        <v>30000</v>
      </c>
      <c r="F2022">
        <v>0</v>
      </c>
    </row>
    <row r="2023" spans="1:6" hidden="1" x14ac:dyDescent="0.3">
      <c r="A2023">
        <v>2022</v>
      </c>
      <c r="B2023" t="s">
        <v>20</v>
      </c>
      <c r="C2023">
        <v>2016</v>
      </c>
      <c r="D2023" t="s">
        <v>9</v>
      </c>
      <c r="E2023">
        <v>1354</v>
      </c>
      <c r="F2023">
        <v>0</v>
      </c>
    </row>
    <row r="2024" spans="1:6" hidden="1" x14ac:dyDescent="0.3">
      <c r="A2024">
        <v>2023</v>
      </c>
      <c r="B2024" t="s">
        <v>16</v>
      </c>
      <c r="C2024">
        <v>2016</v>
      </c>
      <c r="D2024" t="s">
        <v>11</v>
      </c>
      <c r="E2024">
        <v>0</v>
      </c>
      <c r="F2024">
        <v>0</v>
      </c>
    </row>
    <row r="2025" spans="1:6" hidden="1" x14ac:dyDescent="0.3">
      <c r="A2025">
        <v>2024</v>
      </c>
      <c r="B2025" t="s">
        <v>16</v>
      </c>
      <c r="C2025">
        <v>2016</v>
      </c>
      <c r="D2025" t="s">
        <v>11</v>
      </c>
      <c r="E2025">
        <v>0</v>
      </c>
      <c r="F2025">
        <v>0</v>
      </c>
    </row>
    <row r="2026" spans="1:6" hidden="1" x14ac:dyDescent="0.3">
      <c r="A2026">
        <v>2025</v>
      </c>
      <c r="B2026" t="s">
        <v>16</v>
      </c>
      <c r="C2026">
        <v>2016</v>
      </c>
      <c r="D2026" t="s">
        <v>14</v>
      </c>
      <c r="E2026">
        <v>10808</v>
      </c>
      <c r="F2026">
        <v>75000000</v>
      </c>
    </row>
    <row r="2027" spans="1:6" hidden="1" x14ac:dyDescent="0.3">
      <c r="A2027">
        <v>2026</v>
      </c>
      <c r="B2027" t="s">
        <v>16</v>
      </c>
      <c r="C2027">
        <v>2016</v>
      </c>
      <c r="D2027" t="s">
        <v>9</v>
      </c>
      <c r="E2027">
        <v>0</v>
      </c>
      <c r="F2027">
        <v>100000000</v>
      </c>
    </row>
    <row r="2028" spans="1:6" hidden="1" x14ac:dyDescent="0.3">
      <c r="A2028">
        <v>2027</v>
      </c>
      <c r="B2028" t="s">
        <v>16</v>
      </c>
      <c r="C2028">
        <v>2016</v>
      </c>
      <c r="D2028" t="s">
        <v>9</v>
      </c>
      <c r="E2028">
        <v>2000000</v>
      </c>
      <c r="F2028">
        <v>150000000</v>
      </c>
    </row>
    <row r="2029" spans="1:6" hidden="1" x14ac:dyDescent="0.3">
      <c r="A2029">
        <v>2028</v>
      </c>
      <c r="B2029" t="s">
        <v>16</v>
      </c>
      <c r="C2029">
        <v>2016</v>
      </c>
      <c r="D2029" t="s">
        <v>9</v>
      </c>
      <c r="E2029">
        <v>1600000</v>
      </c>
      <c r="F2029">
        <v>350000000</v>
      </c>
    </row>
    <row r="2030" spans="1:6" hidden="1" x14ac:dyDescent="0.3">
      <c r="A2030">
        <v>2029</v>
      </c>
      <c r="B2030" t="s">
        <v>16</v>
      </c>
      <c r="C2030">
        <v>2016</v>
      </c>
      <c r="D2030" t="s">
        <v>9</v>
      </c>
      <c r="E2030">
        <v>100000</v>
      </c>
      <c r="F2030">
        <v>160000000</v>
      </c>
    </row>
    <row r="2031" spans="1:6" hidden="1" x14ac:dyDescent="0.3">
      <c r="A2031">
        <v>2030</v>
      </c>
      <c r="B2031" t="s">
        <v>16</v>
      </c>
      <c r="C2031">
        <v>2016</v>
      </c>
      <c r="D2031" t="s">
        <v>9</v>
      </c>
      <c r="E2031">
        <v>3000</v>
      </c>
      <c r="F2031">
        <v>0</v>
      </c>
    </row>
    <row r="2032" spans="1:6" hidden="1" x14ac:dyDescent="0.3">
      <c r="A2032">
        <v>2031</v>
      </c>
      <c r="B2032" t="s">
        <v>34</v>
      </c>
      <c r="C2032">
        <v>2016</v>
      </c>
      <c r="D2032" t="s">
        <v>9</v>
      </c>
      <c r="E2032">
        <v>1000</v>
      </c>
      <c r="F2032">
        <v>0</v>
      </c>
    </row>
    <row r="2033" spans="1:6" hidden="1" x14ac:dyDescent="0.3">
      <c r="A2033">
        <v>2032</v>
      </c>
      <c r="B2033" t="s">
        <v>45</v>
      </c>
      <c r="C2033">
        <v>2016</v>
      </c>
      <c r="D2033" t="s">
        <v>11</v>
      </c>
      <c r="E2033">
        <v>87944</v>
      </c>
      <c r="F2033">
        <v>2600000</v>
      </c>
    </row>
    <row r="2034" spans="1:6" hidden="1" x14ac:dyDescent="0.3">
      <c r="A2034">
        <v>2033</v>
      </c>
      <c r="B2034" t="s">
        <v>45</v>
      </c>
      <c r="C2034">
        <v>2016</v>
      </c>
      <c r="D2034" t="s">
        <v>9</v>
      </c>
      <c r="E2034">
        <v>377667</v>
      </c>
      <c r="F2034">
        <v>0</v>
      </c>
    </row>
    <row r="2035" spans="1:6" hidden="1" x14ac:dyDescent="0.3">
      <c r="A2035">
        <v>2034</v>
      </c>
      <c r="B2035" t="s">
        <v>30</v>
      </c>
      <c r="C2035">
        <v>2016</v>
      </c>
      <c r="D2035" t="s">
        <v>9</v>
      </c>
      <c r="E2035">
        <v>6600</v>
      </c>
      <c r="F2035">
        <v>0</v>
      </c>
    </row>
    <row r="2036" spans="1:6" hidden="1" x14ac:dyDescent="0.3">
      <c r="A2036">
        <v>2035</v>
      </c>
      <c r="B2036" t="s">
        <v>32</v>
      </c>
      <c r="C2036">
        <v>2016</v>
      </c>
      <c r="D2036" t="s">
        <v>9</v>
      </c>
      <c r="E2036">
        <v>3000</v>
      </c>
      <c r="F2036">
        <v>0</v>
      </c>
    </row>
    <row r="2037" spans="1:6" hidden="1" x14ac:dyDescent="0.3">
      <c r="A2037">
        <v>2036</v>
      </c>
      <c r="B2037" t="s">
        <v>32</v>
      </c>
      <c r="C2037">
        <v>2016</v>
      </c>
      <c r="D2037" t="s">
        <v>9</v>
      </c>
      <c r="E2037">
        <v>123266</v>
      </c>
      <c r="F2037">
        <v>0</v>
      </c>
    </row>
    <row r="2038" spans="1:6" hidden="1" x14ac:dyDescent="0.3">
      <c r="A2038">
        <v>2037</v>
      </c>
      <c r="B2038" t="s">
        <v>33</v>
      </c>
      <c r="C2038">
        <v>2016</v>
      </c>
      <c r="D2038" t="s">
        <v>9</v>
      </c>
      <c r="E2038">
        <v>10023</v>
      </c>
      <c r="F2038">
        <v>0</v>
      </c>
    </row>
    <row r="2039" spans="1:6" hidden="1" x14ac:dyDescent="0.3">
      <c r="A2039">
        <v>2038</v>
      </c>
      <c r="B2039" t="s">
        <v>35</v>
      </c>
      <c r="C2039">
        <v>2016</v>
      </c>
      <c r="D2039" t="s">
        <v>11</v>
      </c>
      <c r="E2039">
        <v>191</v>
      </c>
      <c r="F2039">
        <v>0</v>
      </c>
    </row>
    <row r="2040" spans="1:6" hidden="1" x14ac:dyDescent="0.3">
      <c r="A2040">
        <v>2039</v>
      </c>
      <c r="B2040" t="s">
        <v>35</v>
      </c>
      <c r="C2040">
        <v>2016</v>
      </c>
      <c r="D2040" t="s">
        <v>14</v>
      </c>
      <c r="E2040">
        <v>142</v>
      </c>
      <c r="F2040">
        <v>0</v>
      </c>
    </row>
    <row r="2041" spans="1:6" hidden="1" x14ac:dyDescent="0.3">
      <c r="A2041">
        <v>2040</v>
      </c>
      <c r="B2041" t="s">
        <v>35</v>
      </c>
      <c r="C2041">
        <v>2016</v>
      </c>
      <c r="D2041" t="s">
        <v>9</v>
      </c>
      <c r="E2041">
        <v>410</v>
      </c>
      <c r="F2041">
        <v>0</v>
      </c>
    </row>
    <row r="2042" spans="1:6" hidden="1" x14ac:dyDescent="0.3">
      <c r="A2042">
        <v>2041</v>
      </c>
      <c r="B2042" t="s">
        <v>36</v>
      </c>
      <c r="C2042">
        <v>2016</v>
      </c>
      <c r="D2042" t="s">
        <v>14</v>
      </c>
      <c r="E2042">
        <v>11182</v>
      </c>
      <c r="F2042">
        <v>0</v>
      </c>
    </row>
    <row r="2043" spans="1:6" hidden="1" x14ac:dyDescent="0.3">
      <c r="A2043">
        <v>2042</v>
      </c>
      <c r="B2043" t="s">
        <v>37</v>
      </c>
      <c r="C2043">
        <v>2016</v>
      </c>
      <c r="D2043" t="s">
        <v>11</v>
      </c>
      <c r="E2043">
        <v>3359</v>
      </c>
      <c r="F2043">
        <v>0</v>
      </c>
    </row>
    <row r="2044" spans="1:6" hidden="1" x14ac:dyDescent="0.3">
      <c r="A2044">
        <v>2043</v>
      </c>
      <c r="B2044" t="s">
        <v>39</v>
      </c>
      <c r="C2044">
        <v>2016</v>
      </c>
      <c r="D2044" t="s">
        <v>9</v>
      </c>
      <c r="E2044">
        <v>0</v>
      </c>
      <c r="F2044">
        <v>0</v>
      </c>
    </row>
    <row r="2045" spans="1:6" hidden="1" x14ac:dyDescent="0.3">
      <c r="A2045">
        <v>2044</v>
      </c>
      <c r="B2045" t="s">
        <v>41</v>
      </c>
      <c r="C2045">
        <v>2016</v>
      </c>
      <c r="D2045" t="s">
        <v>9</v>
      </c>
      <c r="E2045">
        <v>0</v>
      </c>
      <c r="F2045">
        <v>0</v>
      </c>
    </row>
    <row r="2046" spans="1:6" x14ac:dyDescent="0.3">
      <c r="A2046">
        <v>2045</v>
      </c>
      <c r="B2046" t="s">
        <v>42</v>
      </c>
      <c r="C2046">
        <v>2016</v>
      </c>
      <c r="D2046" t="s">
        <v>14</v>
      </c>
      <c r="E2046">
        <v>155</v>
      </c>
      <c r="F2046">
        <v>0</v>
      </c>
    </row>
    <row r="2047" spans="1:6" hidden="1" x14ac:dyDescent="0.3">
      <c r="A2047">
        <v>2046</v>
      </c>
      <c r="B2047" t="s">
        <v>43</v>
      </c>
      <c r="C2047">
        <v>2014</v>
      </c>
      <c r="D2047" t="s">
        <v>11</v>
      </c>
      <c r="E2047">
        <v>36000</v>
      </c>
      <c r="F2047">
        <v>6200000</v>
      </c>
    </row>
    <row r="2048" spans="1:6" hidden="1" x14ac:dyDescent="0.3">
      <c r="A2048">
        <v>2047</v>
      </c>
      <c r="B2048" t="s">
        <v>38</v>
      </c>
      <c r="C2048">
        <v>2014</v>
      </c>
      <c r="D2048" t="s">
        <v>9</v>
      </c>
      <c r="E2048">
        <v>7185</v>
      </c>
      <c r="F2048">
        <v>85000000</v>
      </c>
    </row>
    <row r="2049" spans="1:6" hidden="1" x14ac:dyDescent="0.3">
      <c r="A2049">
        <v>2048</v>
      </c>
      <c r="B2049" t="s">
        <v>43</v>
      </c>
      <c r="C2049">
        <v>2014</v>
      </c>
      <c r="D2049" t="s">
        <v>11</v>
      </c>
      <c r="E2049">
        <v>11325</v>
      </c>
      <c r="F2049">
        <v>4500000</v>
      </c>
    </row>
    <row r="2050" spans="1:6" hidden="1" x14ac:dyDescent="0.3">
      <c r="A2050">
        <v>2049</v>
      </c>
      <c r="B2050" t="s">
        <v>43</v>
      </c>
      <c r="C2050">
        <v>2014</v>
      </c>
      <c r="D2050" t="s">
        <v>11</v>
      </c>
      <c r="E2050">
        <v>750</v>
      </c>
      <c r="F2050">
        <v>0</v>
      </c>
    </row>
    <row r="2051" spans="1:6" hidden="1" x14ac:dyDescent="0.3">
      <c r="A2051">
        <v>2050</v>
      </c>
      <c r="B2051" t="s">
        <v>38</v>
      </c>
      <c r="C2051">
        <v>2014</v>
      </c>
      <c r="D2051" t="s">
        <v>14</v>
      </c>
      <c r="E2051">
        <v>2002</v>
      </c>
      <c r="F2051">
        <v>0</v>
      </c>
    </row>
    <row r="2052" spans="1:6" hidden="1" x14ac:dyDescent="0.3">
      <c r="A2052">
        <v>2051</v>
      </c>
      <c r="B2052" t="s">
        <v>43</v>
      </c>
      <c r="C2052">
        <v>2015</v>
      </c>
      <c r="D2052" t="s">
        <v>9</v>
      </c>
      <c r="E2052">
        <v>15000</v>
      </c>
      <c r="F2052">
        <v>204000000</v>
      </c>
    </row>
    <row r="2053" spans="1:6" hidden="1" x14ac:dyDescent="0.3">
      <c r="A2053">
        <v>2052</v>
      </c>
      <c r="B2053" t="s">
        <v>38</v>
      </c>
      <c r="C2053">
        <v>2015</v>
      </c>
      <c r="D2053" t="s">
        <v>7</v>
      </c>
      <c r="E2053">
        <v>2700000</v>
      </c>
      <c r="F2053">
        <v>250000000</v>
      </c>
    </row>
    <row r="2054" spans="1:6" hidden="1" x14ac:dyDescent="0.3">
      <c r="A2054">
        <v>2053</v>
      </c>
      <c r="B2054" t="s">
        <v>46</v>
      </c>
      <c r="C2054">
        <v>2015</v>
      </c>
      <c r="D2054" t="s">
        <v>11</v>
      </c>
      <c r="E2054">
        <v>15000</v>
      </c>
      <c r="F2054">
        <v>0</v>
      </c>
    </row>
    <row r="2055" spans="1:6" hidden="1" x14ac:dyDescent="0.3">
      <c r="A2055">
        <v>2054</v>
      </c>
      <c r="B2055" t="s">
        <v>43</v>
      </c>
      <c r="C2055">
        <v>2015</v>
      </c>
      <c r="D2055" t="s">
        <v>11</v>
      </c>
      <c r="E2055">
        <v>115</v>
      </c>
      <c r="F2055">
        <v>0</v>
      </c>
    </row>
    <row r="2056" spans="1:6" hidden="1" x14ac:dyDescent="0.3">
      <c r="A2056">
        <v>2055</v>
      </c>
      <c r="B2056" t="s">
        <v>43</v>
      </c>
      <c r="C2056">
        <v>2015</v>
      </c>
      <c r="D2056" t="s">
        <v>7</v>
      </c>
      <c r="E2056">
        <v>1750000</v>
      </c>
      <c r="F2056">
        <v>6750000000</v>
      </c>
    </row>
    <row r="2057" spans="1:6" hidden="1" x14ac:dyDescent="0.3">
      <c r="A2057">
        <v>2056</v>
      </c>
      <c r="B2057" t="s">
        <v>43</v>
      </c>
      <c r="C2057">
        <v>2015</v>
      </c>
      <c r="D2057" t="s">
        <v>9</v>
      </c>
      <c r="E2057">
        <v>100</v>
      </c>
      <c r="F2057">
        <v>0</v>
      </c>
    </row>
    <row r="2058" spans="1:6" hidden="1" x14ac:dyDescent="0.3">
      <c r="A2058">
        <v>2057</v>
      </c>
      <c r="B2058" t="s">
        <v>46</v>
      </c>
      <c r="C2058">
        <v>2015</v>
      </c>
      <c r="D2058" t="s">
        <v>11</v>
      </c>
      <c r="E2058">
        <v>110065</v>
      </c>
      <c r="F2058">
        <v>200000000</v>
      </c>
    </row>
    <row r="2059" spans="1:6" x14ac:dyDescent="0.3">
      <c r="A2059">
        <v>2058</v>
      </c>
      <c r="B2059" t="s">
        <v>42</v>
      </c>
      <c r="C2059">
        <v>2016</v>
      </c>
      <c r="D2059" t="s">
        <v>9</v>
      </c>
      <c r="E2059">
        <v>12750</v>
      </c>
      <c r="F2059">
        <v>0</v>
      </c>
    </row>
    <row r="2060" spans="1:6" hidden="1" x14ac:dyDescent="0.3">
      <c r="A2060">
        <v>2059</v>
      </c>
      <c r="B2060" t="s">
        <v>44</v>
      </c>
      <c r="C2060">
        <v>2016</v>
      </c>
      <c r="D2060" t="s">
        <v>11</v>
      </c>
      <c r="E2060">
        <v>50000</v>
      </c>
      <c r="F2060">
        <v>0</v>
      </c>
    </row>
    <row r="2061" spans="1:6" hidden="1" x14ac:dyDescent="0.3">
      <c r="A2061">
        <v>2060</v>
      </c>
      <c r="B2061" t="s">
        <v>43</v>
      </c>
      <c r="C2061">
        <v>2016</v>
      </c>
      <c r="D2061" t="s">
        <v>11</v>
      </c>
      <c r="E2061">
        <v>191750</v>
      </c>
      <c r="F2061">
        <v>191000000</v>
      </c>
    </row>
    <row r="2062" spans="1:6" hidden="1" x14ac:dyDescent="0.3">
      <c r="A2062">
        <v>2061</v>
      </c>
      <c r="B2062" t="s">
        <v>46</v>
      </c>
      <c r="C2062">
        <v>2016</v>
      </c>
      <c r="D2062" t="s">
        <v>9</v>
      </c>
      <c r="E2062">
        <v>29750</v>
      </c>
      <c r="F2062">
        <v>0</v>
      </c>
    </row>
    <row r="2063" spans="1:6" hidden="1" x14ac:dyDescent="0.3">
      <c r="A2063">
        <v>2062</v>
      </c>
      <c r="B2063" t="s">
        <v>38</v>
      </c>
      <c r="C2063">
        <v>2016</v>
      </c>
      <c r="D2063" t="s">
        <v>9</v>
      </c>
      <c r="E2063">
        <v>6900</v>
      </c>
      <c r="F2063">
        <v>180000000</v>
      </c>
    </row>
    <row r="2064" spans="1:6" hidden="1" x14ac:dyDescent="0.3">
      <c r="A2064">
        <v>2063</v>
      </c>
      <c r="B2064" t="s">
        <v>44</v>
      </c>
      <c r="C2064">
        <v>2017</v>
      </c>
      <c r="D2064" t="s">
        <v>11</v>
      </c>
      <c r="E2064">
        <v>11500</v>
      </c>
      <c r="F2064">
        <v>185000000</v>
      </c>
    </row>
    <row r="2065" spans="1:6" hidden="1" x14ac:dyDescent="0.3">
      <c r="A2065">
        <v>2064</v>
      </c>
      <c r="B2065" t="s">
        <v>19</v>
      </c>
      <c r="C2065">
        <v>2017</v>
      </c>
      <c r="D2065" t="s">
        <v>11</v>
      </c>
      <c r="E2065">
        <v>413</v>
      </c>
      <c r="F2065">
        <v>0</v>
      </c>
    </row>
    <row r="2066" spans="1:6" hidden="1" x14ac:dyDescent="0.3">
      <c r="A2066">
        <v>2065</v>
      </c>
      <c r="B2066" t="s">
        <v>6</v>
      </c>
      <c r="C2066">
        <v>2017</v>
      </c>
      <c r="D2066" t="s">
        <v>11</v>
      </c>
      <c r="E2066">
        <v>0</v>
      </c>
      <c r="F2066">
        <v>0</v>
      </c>
    </row>
    <row r="2067" spans="1:6" hidden="1" x14ac:dyDescent="0.3">
      <c r="A2067">
        <v>2066</v>
      </c>
      <c r="B2067" t="s">
        <v>6</v>
      </c>
      <c r="C2067">
        <v>2017</v>
      </c>
      <c r="D2067" t="s">
        <v>11</v>
      </c>
      <c r="E2067">
        <v>9055</v>
      </c>
      <c r="F2067">
        <v>0</v>
      </c>
    </row>
    <row r="2068" spans="1:6" hidden="1" x14ac:dyDescent="0.3">
      <c r="A2068">
        <v>2067</v>
      </c>
      <c r="B2068" t="s">
        <v>12</v>
      </c>
      <c r="C2068">
        <v>2017</v>
      </c>
      <c r="D2068" t="s">
        <v>7</v>
      </c>
      <c r="E2068">
        <v>1420000</v>
      </c>
      <c r="F2068">
        <v>0</v>
      </c>
    </row>
    <row r="2069" spans="1:6" hidden="1" x14ac:dyDescent="0.3">
      <c r="A2069">
        <v>2068</v>
      </c>
      <c r="B2069" t="s">
        <v>6</v>
      </c>
      <c r="C2069">
        <v>2017</v>
      </c>
      <c r="D2069" t="s">
        <v>9</v>
      </c>
      <c r="E2069">
        <v>1822</v>
      </c>
      <c r="F2069">
        <v>0</v>
      </c>
    </row>
    <row r="2070" spans="1:6" hidden="1" x14ac:dyDescent="0.3">
      <c r="A2070">
        <v>2069</v>
      </c>
      <c r="B2070" t="s">
        <v>12</v>
      </c>
      <c r="C2070">
        <v>2017</v>
      </c>
      <c r="D2070" t="s">
        <v>9</v>
      </c>
      <c r="E2070">
        <v>30250</v>
      </c>
      <c r="F2070">
        <v>2000000</v>
      </c>
    </row>
    <row r="2071" spans="1:6" hidden="1" x14ac:dyDescent="0.3">
      <c r="A2071">
        <v>2070</v>
      </c>
      <c r="B2071" t="s">
        <v>8</v>
      </c>
      <c r="C2071">
        <v>2017</v>
      </c>
      <c r="D2071" t="s">
        <v>11</v>
      </c>
      <c r="E2071">
        <v>0</v>
      </c>
      <c r="F2071">
        <v>0</v>
      </c>
    </row>
    <row r="2072" spans="1:6" hidden="1" x14ac:dyDescent="0.3">
      <c r="A2072">
        <v>2071</v>
      </c>
      <c r="B2072" t="s">
        <v>8</v>
      </c>
      <c r="C2072">
        <v>2017</v>
      </c>
      <c r="D2072" t="s">
        <v>9</v>
      </c>
      <c r="E2072">
        <v>86025</v>
      </c>
      <c r="F2072">
        <v>128000000</v>
      </c>
    </row>
    <row r="2073" spans="1:6" hidden="1" x14ac:dyDescent="0.3">
      <c r="A2073">
        <v>2072</v>
      </c>
      <c r="B2073" t="s">
        <v>8</v>
      </c>
      <c r="C2073">
        <v>2017</v>
      </c>
      <c r="D2073" t="s">
        <v>11</v>
      </c>
      <c r="E2073">
        <v>3300012</v>
      </c>
      <c r="F2073">
        <v>0</v>
      </c>
    </row>
    <row r="2074" spans="1:6" hidden="1" x14ac:dyDescent="0.3">
      <c r="A2074">
        <v>2073</v>
      </c>
      <c r="B2074" t="s">
        <v>8</v>
      </c>
      <c r="C2074">
        <v>2017</v>
      </c>
      <c r="D2074" t="s">
        <v>9</v>
      </c>
      <c r="E2074">
        <v>8000000</v>
      </c>
      <c r="F2074">
        <v>500000000</v>
      </c>
    </row>
    <row r="2075" spans="1:6" hidden="1" x14ac:dyDescent="0.3">
      <c r="A2075">
        <v>2074</v>
      </c>
      <c r="B2075" t="s">
        <v>19</v>
      </c>
      <c r="C2075">
        <v>2017</v>
      </c>
      <c r="D2075" t="s">
        <v>14</v>
      </c>
      <c r="E2075">
        <v>3601</v>
      </c>
      <c r="F2075">
        <v>0</v>
      </c>
    </row>
    <row r="2076" spans="1:6" hidden="1" x14ac:dyDescent="0.3">
      <c r="A2076">
        <v>2075</v>
      </c>
      <c r="B2076" t="s">
        <v>19</v>
      </c>
      <c r="C2076">
        <v>2017</v>
      </c>
      <c r="D2076" t="s">
        <v>9</v>
      </c>
      <c r="E2076">
        <v>160</v>
      </c>
      <c r="F2076">
        <v>0</v>
      </c>
    </row>
    <row r="2077" spans="1:6" hidden="1" x14ac:dyDescent="0.3">
      <c r="A2077">
        <v>2076</v>
      </c>
      <c r="B2077" t="s">
        <v>19</v>
      </c>
      <c r="C2077">
        <v>2017</v>
      </c>
      <c r="D2077" t="s">
        <v>9</v>
      </c>
      <c r="E2077">
        <v>10080</v>
      </c>
      <c r="F2077">
        <v>0</v>
      </c>
    </row>
    <row r="2078" spans="1:6" hidden="1" x14ac:dyDescent="0.3">
      <c r="A2078">
        <v>2077</v>
      </c>
      <c r="B2078" t="s">
        <v>19</v>
      </c>
      <c r="C2078">
        <v>2017</v>
      </c>
      <c r="D2078" t="s">
        <v>9</v>
      </c>
      <c r="E2078">
        <v>1000</v>
      </c>
      <c r="F2078">
        <v>0</v>
      </c>
    </row>
    <row r="2079" spans="1:6" hidden="1" x14ac:dyDescent="0.3">
      <c r="A2079">
        <v>2078</v>
      </c>
      <c r="B2079" t="s">
        <v>19</v>
      </c>
      <c r="C2079">
        <v>2017</v>
      </c>
      <c r="D2079" t="s">
        <v>9</v>
      </c>
      <c r="E2079">
        <v>31319</v>
      </c>
      <c r="F2079">
        <v>0</v>
      </c>
    </row>
    <row r="2080" spans="1:6" hidden="1" x14ac:dyDescent="0.3">
      <c r="A2080">
        <v>2079</v>
      </c>
      <c r="B2080" t="s">
        <v>8</v>
      </c>
      <c r="C2080">
        <v>2018</v>
      </c>
      <c r="D2080" t="s">
        <v>9</v>
      </c>
      <c r="E2080">
        <v>0</v>
      </c>
      <c r="F2080">
        <v>0</v>
      </c>
    </row>
    <row r="2081" spans="1:6" hidden="1" x14ac:dyDescent="0.3">
      <c r="A2081">
        <v>2080</v>
      </c>
      <c r="B2081" t="s">
        <v>44</v>
      </c>
      <c r="C2081">
        <v>2018</v>
      </c>
      <c r="D2081" t="s">
        <v>9</v>
      </c>
      <c r="E2081">
        <v>125190</v>
      </c>
      <c r="F2081">
        <v>0</v>
      </c>
    </row>
    <row r="2082" spans="1:6" hidden="1" x14ac:dyDescent="0.3">
      <c r="A2082">
        <v>2081</v>
      </c>
      <c r="B2082" t="s">
        <v>19</v>
      </c>
      <c r="C2082">
        <v>2018</v>
      </c>
      <c r="D2082" t="s">
        <v>9</v>
      </c>
      <c r="E2082">
        <v>100</v>
      </c>
      <c r="F2082">
        <v>0</v>
      </c>
    </row>
    <row r="2083" spans="1:6" hidden="1" x14ac:dyDescent="0.3">
      <c r="A2083">
        <v>2082</v>
      </c>
      <c r="B2083" t="s">
        <v>47</v>
      </c>
      <c r="C2083">
        <v>2018</v>
      </c>
      <c r="D2083" t="s">
        <v>11</v>
      </c>
      <c r="E2083">
        <v>25000</v>
      </c>
      <c r="F2083">
        <v>0</v>
      </c>
    </row>
    <row r="2084" spans="1:6" hidden="1" x14ac:dyDescent="0.3">
      <c r="A2084">
        <v>2083</v>
      </c>
      <c r="B2084" t="s">
        <v>6</v>
      </c>
      <c r="C2084">
        <v>2018</v>
      </c>
      <c r="D2084" t="s">
        <v>7</v>
      </c>
      <c r="E2084">
        <v>13500000</v>
      </c>
      <c r="F2084">
        <v>0</v>
      </c>
    </row>
    <row r="2085" spans="1:6" hidden="1" x14ac:dyDescent="0.3">
      <c r="A2085">
        <v>2084</v>
      </c>
      <c r="B2085" t="s">
        <v>6</v>
      </c>
      <c r="C2085">
        <v>2018</v>
      </c>
      <c r="D2085" t="s">
        <v>9</v>
      </c>
      <c r="E2085">
        <v>0</v>
      </c>
      <c r="F2085">
        <v>0</v>
      </c>
    </row>
    <row r="2086" spans="1:6" hidden="1" x14ac:dyDescent="0.3">
      <c r="A2086">
        <v>2085</v>
      </c>
      <c r="B2086" t="s">
        <v>6</v>
      </c>
      <c r="C2086">
        <v>2018</v>
      </c>
      <c r="D2086" t="s">
        <v>9</v>
      </c>
      <c r="E2086">
        <v>4000</v>
      </c>
      <c r="F2086">
        <v>0</v>
      </c>
    </row>
    <row r="2087" spans="1:6" hidden="1" x14ac:dyDescent="0.3">
      <c r="A2087">
        <v>2086</v>
      </c>
      <c r="B2087" t="s">
        <v>6</v>
      </c>
      <c r="C2087">
        <v>2018</v>
      </c>
      <c r="D2087" t="s">
        <v>9</v>
      </c>
      <c r="E2087">
        <v>0</v>
      </c>
      <c r="F2087">
        <v>0</v>
      </c>
    </row>
    <row r="2088" spans="1:6" hidden="1" x14ac:dyDescent="0.3">
      <c r="A2088">
        <v>2087</v>
      </c>
      <c r="B2088" t="s">
        <v>12</v>
      </c>
      <c r="C2088">
        <v>2018</v>
      </c>
      <c r="D2088" t="s">
        <v>9</v>
      </c>
      <c r="E2088">
        <v>3000</v>
      </c>
      <c r="F2088">
        <v>0</v>
      </c>
    </row>
    <row r="2089" spans="1:6" hidden="1" x14ac:dyDescent="0.3">
      <c r="A2089">
        <v>2088</v>
      </c>
      <c r="B2089" t="s">
        <v>8</v>
      </c>
      <c r="C2089">
        <v>2018</v>
      </c>
      <c r="D2089" t="s">
        <v>11</v>
      </c>
      <c r="E2089">
        <v>0</v>
      </c>
      <c r="F2089">
        <v>0</v>
      </c>
    </row>
    <row r="2090" spans="1:6" hidden="1" x14ac:dyDescent="0.3">
      <c r="A2090">
        <v>2089</v>
      </c>
      <c r="B2090" t="s">
        <v>8</v>
      </c>
      <c r="C2090">
        <v>2018</v>
      </c>
      <c r="D2090" t="s">
        <v>9</v>
      </c>
      <c r="E2090">
        <v>14000</v>
      </c>
      <c r="F2090">
        <v>0</v>
      </c>
    </row>
    <row r="2091" spans="1:6" hidden="1" x14ac:dyDescent="0.3">
      <c r="A2091">
        <v>2090</v>
      </c>
      <c r="B2091" t="s">
        <v>15</v>
      </c>
      <c r="C2091">
        <v>2018</v>
      </c>
      <c r="D2091" t="s">
        <v>9</v>
      </c>
      <c r="E2091">
        <v>600</v>
      </c>
      <c r="F2091">
        <v>0</v>
      </c>
    </row>
    <row r="2092" spans="1:6" hidden="1" x14ac:dyDescent="0.3">
      <c r="A2092">
        <v>2091</v>
      </c>
      <c r="B2092" t="s">
        <v>44</v>
      </c>
      <c r="C2092">
        <v>2018</v>
      </c>
      <c r="D2092" t="s">
        <v>7</v>
      </c>
      <c r="E2092">
        <v>0</v>
      </c>
      <c r="F2092">
        <v>0</v>
      </c>
    </row>
    <row r="2093" spans="1:6" hidden="1" x14ac:dyDescent="0.3">
      <c r="A2093">
        <v>2092</v>
      </c>
      <c r="B2093" t="s">
        <v>25</v>
      </c>
      <c r="C2093">
        <v>2018</v>
      </c>
      <c r="D2093" t="s">
        <v>9</v>
      </c>
      <c r="E2093">
        <v>200</v>
      </c>
      <c r="F2093">
        <v>0</v>
      </c>
    </row>
    <row r="2094" spans="1:6" hidden="1" x14ac:dyDescent="0.3">
      <c r="A2094">
        <v>2093</v>
      </c>
      <c r="B2094" t="s">
        <v>19</v>
      </c>
      <c r="C2094">
        <v>2018</v>
      </c>
      <c r="D2094" t="s">
        <v>9</v>
      </c>
      <c r="E2094">
        <v>76845</v>
      </c>
      <c r="F2094">
        <v>0</v>
      </c>
    </row>
    <row r="2095" spans="1:6" hidden="1" x14ac:dyDescent="0.3">
      <c r="A2095">
        <v>2094</v>
      </c>
      <c r="B2095" t="s">
        <v>19</v>
      </c>
      <c r="C2095">
        <v>2018</v>
      </c>
      <c r="D2095" t="s">
        <v>7</v>
      </c>
      <c r="E2095">
        <v>1500000</v>
      </c>
      <c r="F2095">
        <v>44669000</v>
      </c>
    </row>
    <row r="2096" spans="1:6" hidden="1" x14ac:dyDescent="0.3">
      <c r="A2096">
        <v>2095</v>
      </c>
      <c r="B2096" t="s">
        <v>6</v>
      </c>
      <c r="C2096">
        <v>2019</v>
      </c>
      <c r="D2096" t="s">
        <v>9</v>
      </c>
      <c r="E2096">
        <v>0</v>
      </c>
      <c r="F2096">
        <v>0</v>
      </c>
    </row>
    <row r="2097" spans="1:6" hidden="1" x14ac:dyDescent="0.3">
      <c r="A2097">
        <v>2096</v>
      </c>
      <c r="B2097" t="s">
        <v>6</v>
      </c>
      <c r="C2097">
        <v>2019</v>
      </c>
      <c r="D2097" t="s">
        <v>9</v>
      </c>
      <c r="E2097">
        <v>0</v>
      </c>
      <c r="F2097">
        <v>0</v>
      </c>
    </row>
    <row r="2098" spans="1:6" hidden="1" x14ac:dyDescent="0.3">
      <c r="A2098">
        <v>2097</v>
      </c>
      <c r="B2098" t="s">
        <v>6</v>
      </c>
      <c r="C2098">
        <v>2019</v>
      </c>
      <c r="D2098" t="s">
        <v>9</v>
      </c>
      <c r="E2098">
        <v>129100</v>
      </c>
      <c r="F2098">
        <v>0</v>
      </c>
    </row>
    <row r="2099" spans="1:6" hidden="1" x14ac:dyDescent="0.3">
      <c r="A2099">
        <v>2098</v>
      </c>
      <c r="B2099" t="s">
        <v>10</v>
      </c>
      <c r="C2099">
        <v>2019</v>
      </c>
      <c r="D2099" t="s">
        <v>9</v>
      </c>
      <c r="E2099">
        <v>159</v>
      </c>
      <c r="F2099">
        <v>0</v>
      </c>
    </row>
    <row r="2100" spans="1:6" hidden="1" x14ac:dyDescent="0.3">
      <c r="A2100">
        <v>2099</v>
      </c>
      <c r="B2100" t="s">
        <v>6</v>
      </c>
      <c r="C2100">
        <v>2019</v>
      </c>
      <c r="D2100" t="s">
        <v>9</v>
      </c>
      <c r="E2100">
        <v>561</v>
      </c>
      <c r="F2100">
        <v>0</v>
      </c>
    </row>
    <row r="2101" spans="1:6" hidden="1" x14ac:dyDescent="0.3">
      <c r="A2101">
        <v>2100</v>
      </c>
      <c r="B2101" t="s">
        <v>6</v>
      </c>
      <c r="C2101">
        <v>2019</v>
      </c>
      <c r="D2101" t="s">
        <v>9</v>
      </c>
      <c r="E2101">
        <v>0</v>
      </c>
      <c r="F2101">
        <v>0</v>
      </c>
    </row>
    <row r="2102" spans="1:6" hidden="1" x14ac:dyDescent="0.3">
      <c r="A2102">
        <v>2101</v>
      </c>
      <c r="B2102" t="s">
        <v>6</v>
      </c>
      <c r="C2102">
        <v>2019</v>
      </c>
      <c r="D2102" t="s">
        <v>9</v>
      </c>
      <c r="E2102">
        <v>1281</v>
      </c>
      <c r="F2102">
        <v>0</v>
      </c>
    </row>
    <row r="2103" spans="1:6" hidden="1" x14ac:dyDescent="0.3">
      <c r="A2103">
        <v>2102</v>
      </c>
      <c r="B2103" t="s">
        <v>12</v>
      </c>
      <c r="C2103">
        <v>2019</v>
      </c>
      <c r="D2103" t="s">
        <v>9</v>
      </c>
      <c r="E2103">
        <v>4255</v>
      </c>
      <c r="F2103">
        <v>0</v>
      </c>
    </row>
    <row r="2104" spans="1:6" hidden="1" x14ac:dyDescent="0.3">
      <c r="A2104">
        <v>2103</v>
      </c>
      <c r="B2104" t="s">
        <v>12</v>
      </c>
      <c r="C2104">
        <v>2019</v>
      </c>
      <c r="D2104" t="s">
        <v>9</v>
      </c>
      <c r="E2104">
        <v>1075</v>
      </c>
      <c r="F2104">
        <v>0</v>
      </c>
    </row>
    <row r="2105" spans="1:6" hidden="1" x14ac:dyDescent="0.3">
      <c r="A2105">
        <v>2104</v>
      </c>
      <c r="B2105" t="s">
        <v>8</v>
      </c>
      <c r="C2105">
        <v>2019</v>
      </c>
      <c r="D2105" t="s">
        <v>11</v>
      </c>
      <c r="E2105">
        <v>0</v>
      </c>
      <c r="F2105">
        <v>0</v>
      </c>
    </row>
    <row r="2106" spans="1:6" hidden="1" x14ac:dyDescent="0.3">
      <c r="A2106">
        <v>2105</v>
      </c>
      <c r="B2106" t="s">
        <v>8</v>
      </c>
      <c r="C2106">
        <v>2019</v>
      </c>
      <c r="D2106" t="s">
        <v>11</v>
      </c>
      <c r="E2106">
        <v>10045</v>
      </c>
      <c r="F2106">
        <v>0</v>
      </c>
    </row>
    <row r="2107" spans="1:6" hidden="1" x14ac:dyDescent="0.3">
      <c r="A2107">
        <v>2106</v>
      </c>
      <c r="B2107" t="s">
        <v>10</v>
      </c>
      <c r="C2107">
        <v>2019</v>
      </c>
      <c r="D2107" t="s">
        <v>9</v>
      </c>
      <c r="E2107">
        <v>600</v>
      </c>
      <c r="F2107">
        <v>0</v>
      </c>
    </row>
    <row r="2108" spans="1:6" hidden="1" x14ac:dyDescent="0.3">
      <c r="A2108">
        <v>2107</v>
      </c>
      <c r="B2108" t="s">
        <v>21</v>
      </c>
      <c r="C2108">
        <v>2016</v>
      </c>
      <c r="D2108" t="s">
        <v>9</v>
      </c>
      <c r="E2108">
        <v>35000</v>
      </c>
      <c r="F2108">
        <v>0</v>
      </c>
    </row>
    <row r="2109" spans="1:6" hidden="1" x14ac:dyDescent="0.3">
      <c r="A2109">
        <v>2108</v>
      </c>
      <c r="B2109" t="s">
        <v>23</v>
      </c>
      <c r="C2109">
        <v>2016</v>
      </c>
      <c r="D2109" t="s">
        <v>9</v>
      </c>
      <c r="E2109">
        <v>450000</v>
      </c>
      <c r="F2109">
        <v>0</v>
      </c>
    </row>
    <row r="2110" spans="1:6" hidden="1" x14ac:dyDescent="0.3">
      <c r="A2110">
        <v>2109</v>
      </c>
      <c r="B2110" t="s">
        <v>27</v>
      </c>
      <c r="C2110">
        <v>2016</v>
      </c>
      <c r="D2110" t="s">
        <v>9</v>
      </c>
      <c r="E2110">
        <v>2782</v>
      </c>
      <c r="F2110">
        <v>0</v>
      </c>
    </row>
    <row r="2111" spans="1:6" hidden="1" x14ac:dyDescent="0.3">
      <c r="A2111">
        <v>2110</v>
      </c>
      <c r="B2111" t="s">
        <v>20</v>
      </c>
      <c r="C2111">
        <v>2016</v>
      </c>
      <c r="D2111" t="s">
        <v>9</v>
      </c>
      <c r="E2111">
        <v>8920</v>
      </c>
      <c r="F2111">
        <v>22000000</v>
      </c>
    </row>
    <row r="2112" spans="1:6" hidden="1" x14ac:dyDescent="0.3">
      <c r="A2112">
        <v>2111</v>
      </c>
      <c r="B2112" t="s">
        <v>20</v>
      </c>
      <c r="C2112">
        <v>2016</v>
      </c>
      <c r="D2112" t="s">
        <v>9</v>
      </c>
      <c r="E2112">
        <v>4500</v>
      </c>
      <c r="F2112">
        <v>0</v>
      </c>
    </row>
    <row r="2113" spans="1:6" hidden="1" x14ac:dyDescent="0.3">
      <c r="A2113">
        <v>2112</v>
      </c>
      <c r="B2113" t="s">
        <v>20</v>
      </c>
      <c r="C2113">
        <v>2016</v>
      </c>
      <c r="D2113" t="s">
        <v>9</v>
      </c>
      <c r="E2113">
        <v>105000</v>
      </c>
      <c r="F2113">
        <v>10000000</v>
      </c>
    </row>
    <row r="2114" spans="1:6" hidden="1" x14ac:dyDescent="0.3">
      <c r="A2114">
        <v>2113</v>
      </c>
      <c r="B2114" t="s">
        <v>20</v>
      </c>
      <c r="C2114">
        <v>2016</v>
      </c>
      <c r="D2114" t="s">
        <v>9</v>
      </c>
      <c r="E2114">
        <v>105753</v>
      </c>
      <c r="F2114">
        <v>74000000</v>
      </c>
    </row>
    <row r="2115" spans="1:6" hidden="1" x14ac:dyDescent="0.3">
      <c r="A2115">
        <v>2114</v>
      </c>
      <c r="B2115" t="s">
        <v>21</v>
      </c>
      <c r="C2115">
        <v>2016</v>
      </c>
      <c r="D2115" t="s">
        <v>9</v>
      </c>
      <c r="E2115">
        <v>6000</v>
      </c>
      <c r="F2115">
        <v>0</v>
      </c>
    </row>
    <row r="2116" spans="1:6" hidden="1" x14ac:dyDescent="0.3">
      <c r="A2116">
        <v>2115</v>
      </c>
      <c r="B2116" t="s">
        <v>30</v>
      </c>
      <c r="C2116">
        <v>2016</v>
      </c>
      <c r="D2116" t="s">
        <v>9</v>
      </c>
      <c r="E2116">
        <v>165000</v>
      </c>
      <c r="F2116">
        <v>0</v>
      </c>
    </row>
    <row r="2117" spans="1:6" hidden="1" x14ac:dyDescent="0.3">
      <c r="A2117">
        <v>2116</v>
      </c>
      <c r="B2117" t="s">
        <v>35</v>
      </c>
      <c r="C2117">
        <v>2016</v>
      </c>
      <c r="D2117" t="s">
        <v>9</v>
      </c>
      <c r="E2117">
        <v>2900</v>
      </c>
      <c r="F2117">
        <v>0</v>
      </c>
    </row>
    <row r="2118" spans="1:6" hidden="1" x14ac:dyDescent="0.3">
      <c r="A2118">
        <v>2117</v>
      </c>
      <c r="B2118" t="s">
        <v>35</v>
      </c>
      <c r="C2118">
        <v>2016</v>
      </c>
      <c r="D2118" t="s">
        <v>9</v>
      </c>
      <c r="E2118">
        <v>4412</v>
      </c>
      <c r="F2118">
        <v>2000000</v>
      </c>
    </row>
    <row r="2119" spans="1:6" hidden="1" x14ac:dyDescent="0.3">
      <c r="A2119">
        <v>2118</v>
      </c>
      <c r="B2119" t="s">
        <v>35</v>
      </c>
      <c r="C2119">
        <v>2016</v>
      </c>
      <c r="D2119" t="s">
        <v>9</v>
      </c>
      <c r="E2119">
        <v>2960</v>
      </c>
      <c r="F2119">
        <v>0</v>
      </c>
    </row>
    <row r="2120" spans="1:6" hidden="1" x14ac:dyDescent="0.3">
      <c r="A2120">
        <v>2119</v>
      </c>
      <c r="B2120" t="s">
        <v>37</v>
      </c>
      <c r="C2120">
        <v>2016</v>
      </c>
      <c r="D2120" t="s">
        <v>11</v>
      </c>
      <c r="E2120">
        <v>14309</v>
      </c>
      <c r="F2120">
        <v>0</v>
      </c>
    </row>
    <row r="2121" spans="1:6" hidden="1" x14ac:dyDescent="0.3">
      <c r="A2121">
        <v>2120</v>
      </c>
      <c r="B2121" t="s">
        <v>37</v>
      </c>
      <c r="C2121">
        <v>2016</v>
      </c>
      <c r="D2121" t="s">
        <v>11</v>
      </c>
      <c r="E2121">
        <v>8809</v>
      </c>
      <c r="F2121">
        <v>0</v>
      </c>
    </row>
    <row r="2122" spans="1:6" hidden="1" x14ac:dyDescent="0.3">
      <c r="A2122">
        <v>2121</v>
      </c>
      <c r="B2122" t="s">
        <v>30</v>
      </c>
      <c r="C2122">
        <v>2016</v>
      </c>
      <c r="D2122" t="s">
        <v>11</v>
      </c>
      <c r="E2122">
        <v>1700</v>
      </c>
      <c r="F2122">
        <v>1500000</v>
      </c>
    </row>
    <row r="2123" spans="1:6" hidden="1" x14ac:dyDescent="0.3">
      <c r="A2123">
        <v>2122</v>
      </c>
      <c r="B2123" t="s">
        <v>16</v>
      </c>
      <c r="C2123">
        <v>2016</v>
      </c>
      <c r="D2123" t="s">
        <v>11</v>
      </c>
      <c r="E2123">
        <v>0</v>
      </c>
      <c r="F2123">
        <v>1000000000</v>
      </c>
    </row>
    <row r="2124" spans="1:6" hidden="1" x14ac:dyDescent="0.3">
      <c r="A2124">
        <v>2123</v>
      </c>
      <c r="B2124" t="s">
        <v>18</v>
      </c>
      <c r="C2124">
        <v>2016</v>
      </c>
      <c r="D2124" t="s">
        <v>11</v>
      </c>
      <c r="E2124">
        <v>2000</v>
      </c>
      <c r="F2124">
        <v>0</v>
      </c>
    </row>
    <row r="2125" spans="1:6" hidden="1" x14ac:dyDescent="0.3">
      <c r="A2125">
        <v>2124</v>
      </c>
      <c r="B2125" t="s">
        <v>37</v>
      </c>
      <c r="C2125">
        <v>2016</v>
      </c>
      <c r="D2125" t="s">
        <v>11</v>
      </c>
      <c r="E2125">
        <v>1559</v>
      </c>
      <c r="F2125">
        <v>0</v>
      </c>
    </row>
    <row r="2126" spans="1:6" hidden="1" x14ac:dyDescent="0.3">
      <c r="A2126">
        <v>2125</v>
      </c>
      <c r="B2126" t="s">
        <v>34</v>
      </c>
      <c r="C2126">
        <v>2016</v>
      </c>
      <c r="D2126" t="s">
        <v>7</v>
      </c>
      <c r="E2126">
        <v>3400000</v>
      </c>
      <c r="F2126">
        <v>0</v>
      </c>
    </row>
    <row r="2127" spans="1:6" hidden="1" x14ac:dyDescent="0.3">
      <c r="A2127">
        <v>2126</v>
      </c>
      <c r="B2127" t="s">
        <v>27</v>
      </c>
      <c r="C2127">
        <v>2016</v>
      </c>
      <c r="D2127" t="s">
        <v>11</v>
      </c>
      <c r="E2127">
        <v>2100439</v>
      </c>
      <c r="F2127">
        <v>2000000000</v>
      </c>
    </row>
    <row r="2128" spans="1:6" hidden="1" x14ac:dyDescent="0.3">
      <c r="A2128">
        <v>2127</v>
      </c>
      <c r="B2128" t="s">
        <v>20</v>
      </c>
      <c r="C2128">
        <v>2016</v>
      </c>
      <c r="D2128" t="s">
        <v>14</v>
      </c>
      <c r="E2128">
        <v>3410</v>
      </c>
      <c r="F2128">
        <v>0</v>
      </c>
    </row>
    <row r="2129" spans="1:6" hidden="1" x14ac:dyDescent="0.3">
      <c r="A2129">
        <v>2128</v>
      </c>
      <c r="B2129" t="s">
        <v>20</v>
      </c>
      <c r="C2129">
        <v>2016</v>
      </c>
      <c r="D2129" t="s">
        <v>14</v>
      </c>
      <c r="E2129">
        <v>86018</v>
      </c>
      <c r="F2129">
        <v>100000000</v>
      </c>
    </row>
    <row r="2130" spans="1:6" hidden="1" x14ac:dyDescent="0.3">
      <c r="A2130">
        <v>2129</v>
      </c>
      <c r="B2130" t="s">
        <v>20</v>
      </c>
      <c r="C2130">
        <v>2016</v>
      </c>
      <c r="D2130" t="s">
        <v>9</v>
      </c>
      <c r="E2130">
        <v>19669</v>
      </c>
      <c r="F2130">
        <v>0</v>
      </c>
    </row>
    <row r="2131" spans="1:6" hidden="1" x14ac:dyDescent="0.3">
      <c r="A2131">
        <v>2130</v>
      </c>
      <c r="B2131" t="s">
        <v>16</v>
      </c>
      <c r="C2131">
        <v>2016</v>
      </c>
      <c r="D2131" t="s">
        <v>9</v>
      </c>
      <c r="E2131">
        <v>3000</v>
      </c>
      <c r="F2131">
        <v>589000000</v>
      </c>
    </row>
    <row r="2132" spans="1:6" hidden="1" x14ac:dyDescent="0.3">
      <c r="A2132">
        <v>2131</v>
      </c>
      <c r="B2132" t="s">
        <v>16</v>
      </c>
      <c r="C2132">
        <v>2016</v>
      </c>
      <c r="D2132" t="s">
        <v>9</v>
      </c>
      <c r="E2132">
        <v>0</v>
      </c>
      <c r="F2132">
        <v>0</v>
      </c>
    </row>
    <row r="2133" spans="1:6" hidden="1" x14ac:dyDescent="0.3">
      <c r="A2133">
        <v>2132</v>
      </c>
      <c r="B2133" t="s">
        <v>28</v>
      </c>
      <c r="C2133">
        <v>2016</v>
      </c>
      <c r="D2133" t="s">
        <v>11</v>
      </c>
      <c r="E2133">
        <v>125000</v>
      </c>
      <c r="F2133">
        <v>0</v>
      </c>
    </row>
    <row r="2134" spans="1:6" hidden="1" x14ac:dyDescent="0.3">
      <c r="A2134">
        <v>2133</v>
      </c>
      <c r="B2134" t="s">
        <v>17</v>
      </c>
      <c r="C2134">
        <v>2016</v>
      </c>
      <c r="D2134" t="s">
        <v>7</v>
      </c>
      <c r="E2134">
        <v>900000</v>
      </c>
      <c r="F2134">
        <v>20000000</v>
      </c>
    </row>
    <row r="2135" spans="1:6" hidden="1" x14ac:dyDescent="0.3">
      <c r="A2135">
        <v>2134</v>
      </c>
      <c r="B2135" t="s">
        <v>21</v>
      </c>
      <c r="C2135">
        <v>2016</v>
      </c>
      <c r="D2135" t="s">
        <v>9</v>
      </c>
      <c r="E2135">
        <v>3000</v>
      </c>
      <c r="F2135">
        <v>25000000</v>
      </c>
    </row>
    <row r="2136" spans="1:6" hidden="1" x14ac:dyDescent="0.3">
      <c r="A2136">
        <v>2135</v>
      </c>
      <c r="B2136" t="s">
        <v>21</v>
      </c>
      <c r="C2136">
        <v>2016</v>
      </c>
      <c r="D2136" t="s">
        <v>9</v>
      </c>
      <c r="E2136">
        <v>3000</v>
      </c>
      <c r="F2136">
        <v>0</v>
      </c>
    </row>
    <row r="2137" spans="1:6" hidden="1" x14ac:dyDescent="0.3">
      <c r="A2137">
        <v>2136</v>
      </c>
      <c r="B2137" t="s">
        <v>21</v>
      </c>
      <c r="C2137">
        <v>2016</v>
      </c>
      <c r="D2137" t="s">
        <v>9</v>
      </c>
      <c r="E2137">
        <v>6000</v>
      </c>
      <c r="F2137">
        <v>0</v>
      </c>
    </row>
    <row r="2138" spans="1:6" hidden="1" x14ac:dyDescent="0.3">
      <c r="A2138">
        <v>2137</v>
      </c>
      <c r="B2138" t="s">
        <v>45</v>
      </c>
      <c r="C2138">
        <v>2016</v>
      </c>
      <c r="D2138" t="s">
        <v>14</v>
      </c>
      <c r="E2138">
        <v>1152</v>
      </c>
      <c r="F2138">
        <v>10000000</v>
      </c>
    </row>
    <row r="2139" spans="1:6" hidden="1" x14ac:dyDescent="0.3">
      <c r="A2139">
        <v>2138</v>
      </c>
      <c r="B2139" t="s">
        <v>45</v>
      </c>
      <c r="C2139">
        <v>2016</v>
      </c>
      <c r="D2139" t="s">
        <v>9</v>
      </c>
      <c r="E2139">
        <v>474560</v>
      </c>
      <c r="F2139">
        <v>2000000</v>
      </c>
    </row>
    <row r="2140" spans="1:6" hidden="1" x14ac:dyDescent="0.3">
      <c r="A2140">
        <v>2139</v>
      </c>
      <c r="B2140" t="s">
        <v>24</v>
      </c>
      <c r="C2140">
        <v>2016</v>
      </c>
      <c r="D2140" t="s">
        <v>11</v>
      </c>
      <c r="E2140">
        <v>10570</v>
      </c>
      <c r="F2140">
        <v>0</v>
      </c>
    </row>
    <row r="2141" spans="1:6" hidden="1" x14ac:dyDescent="0.3">
      <c r="A2141">
        <v>2140</v>
      </c>
      <c r="B2141" t="s">
        <v>35</v>
      </c>
      <c r="C2141">
        <v>2016</v>
      </c>
      <c r="D2141" t="s">
        <v>9</v>
      </c>
      <c r="E2141">
        <v>0</v>
      </c>
      <c r="F2141">
        <v>0</v>
      </c>
    </row>
    <row r="2142" spans="1:6" hidden="1" x14ac:dyDescent="0.3">
      <c r="A2142">
        <v>2141</v>
      </c>
      <c r="B2142" t="s">
        <v>36</v>
      </c>
      <c r="C2142">
        <v>2016</v>
      </c>
      <c r="D2142" t="s">
        <v>14</v>
      </c>
      <c r="E2142">
        <v>257</v>
      </c>
      <c r="F2142">
        <v>0</v>
      </c>
    </row>
    <row r="2143" spans="1:6" hidden="1" x14ac:dyDescent="0.3">
      <c r="A2143">
        <v>2142</v>
      </c>
      <c r="B2143" t="s">
        <v>37</v>
      </c>
      <c r="C2143">
        <v>2016</v>
      </c>
      <c r="D2143" t="s">
        <v>14</v>
      </c>
      <c r="E2143">
        <v>202</v>
      </c>
      <c r="F2143">
        <v>0</v>
      </c>
    </row>
    <row r="2144" spans="1:6" hidden="1" x14ac:dyDescent="0.3">
      <c r="A2144">
        <v>2143</v>
      </c>
      <c r="B2144" t="s">
        <v>37</v>
      </c>
      <c r="C2144">
        <v>2016</v>
      </c>
      <c r="D2144" t="s">
        <v>11</v>
      </c>
      <c r="E2144">
        <v>16648</v>
      </c>
      <c r="F2144">
        <v>4913000</v>
      </c>
    </row>
    <row r="2145" spans="1:6" hidden="1" x14ac:dyDescent="0.3">
      <c r="A2145">
        <v>2144</v>
      </c>
      <c r="B2145" t="s">
        <v>37</v>
      </c>
      <c r="C2145">
        <v>2016</v>
      </c>
      <c r="D2145" t="s">
        <v>11</v>
      </c>
      <c r="E2145">
        <v>52270</v>
      </c>
      <c r="F2145">
        <v>11490000</v>
      </c>
    </row>
    <row r="2146" spans="1:6" hidden="1" x14ac:dyDescent="0.3">
      <c r="A2146">
        <v>2145</v>
      </c>
      <c r="B2146" t="s">
        <v>37</v>
      </c>
      <c r="C2146">
        <v>2016</v>
      </c>
      <c r="D2146" t="s">
        <v>11</v>
      </c>
      <c r="E2146">
        <v>981154</v>
      </c>
      <c r="F2146">
        <v>50690000</v>
      </c>
    </row>
    <row r="2147" spans="1:6" hidden="1" x14ac:dyDescent="0.3">
      <c r="A2147">
        <v>2146</v>
      </c>
      <c r="B2147" t="s">
        <v>37</v>
      </c>
      <c r="C2147">
        <v>2016</v>
      </c>
      <c r="D2147" t="s">
        <v>11</v>
      </c>
      <c r="E2147">
        <v>1893404</v>
      </c>
      <c r="F2147">
        <v>103661000</v>
      </c>
    </row>
    <row r="2148" spans="1:6" hidden="1" x14ac:dyDescent="0.3">
      <c r="A2148">
        <v>2147</v>
      </c>
      <c r="B2148" t="s">
        <v>37</v>
      </c>
      <c r="C2148">
        <v>2016</v>
      </c>
      <c r="D2148" t="s">
        <v>9</v>
      </c>
      <c r="E2148">
        <v>1263098</v>
      </c>
      <c r="F2148">
        <v>9320000</v>
      </c>
    </row>
    <row r="2149" spans="1:6" hidden="1" x14ac:dyDescent="0.3">
      <c r="A2149">
        <v>2148</v>
      </c>
      <c r="B2149" t="s">
        <v>37</v>
      </c>
      <c r="C2149">
        <v>2016</v>
      </c>
      <c r="D2149" t="s">
        <v>9</v>
      </c>
      <c r="E2149">
        <v>1300000</v>
      </c>
      <c r="F2149">
        <v>0</v>
      </c>
    </row>
    <row r="2150" spans="1:6" hidden="1" x14ac:dyDescent="0.3">
      <c r="A2150">
        <v>2149</v>
      </c>
      <c r="B2150" t="s">
        <v>39</v>
      </c>
      <c r="C2150">
        <v>2016</v>
      </c>
      <c r="D2150" t="s">
        <v>9</v>
      </c>
      <c r="E2150">
        <v>300</v>
      </c>
      <c r="F2150">
        <v>0</v>
      </c>
    </row>
    <row r="2151" spans="1:6" hidden="1" x14ac:dyDescent="0.3">
      <c r="A2151">
        <v>2150</v>
      </c>
      <c r="B2151" t="s">
        <v>21</v>
      </c>
      <c r="C2151">
        <v>2017</v>
      </c>
      <c r="D2151" t="s">
        <v>14</v>
      </c>
      <c r="E2151">
        <v>1200250</v>
      </c>
      <c r="F2151">
        <v>2300000000</v>
      </c>
    </row>
    <row r="2152" spans="1:6" hidden="1" x14ac:dyDescent="0.3">
      <c r="A2152">
        <v>2151</v>
      </c>
      <c r="B2152" t="s">
        <v>23</v>
      </c>
      <c r="C2152">
        <v>2017</v>
      </c>
      <c r="D2152" t="s">
        <v>11</v>
      </c>
      <c r="E2152">
        <v>120</v>
      </c>
      <c r="F2152">
        <v>0</v>
      </c>
    </row>
    <row r="2153" spans="1:6" hidden="1" x14ac:dyDescent="0.3">
      <c r="A2153">
        <v>2152</v>
      </c>
      <c r="B2153" t="s">
        <v>16</v>
      </c>
      <c r="C2153">
        <v>2017</v>
      </c>
      <c r="D2153" t="s">
        <v>11</v>
      </c>
      <c r="E2153">
        <v>1970</v>
      </c>
      <c r="F2153">
        <v>0</v>
      </c>
    </row>
    <row r="2154" spans="1:6" hidden="1" x14ac:dyDescent="0.3">
      <c r="A2154">
        <v>2153</v>
      </c>
      <c r="B2154" t="s">
        <v>17</v>
      </c>
      <c r="C2154">
        <v>2017</v>
      </c>
      <c r="D2154" t="s">
        <v>11</v>
      </c>
      <c r="E2154">
        <v>160077</v>
      </c>
      <c r="F2154">
        <v>346000000</v>
      </c>
    </row>
    <row r="2155" spans="1:6" hidden="1" x14ac:dyDescent="0.3">
      <c r="A2155">
        <v>2154</v>
      </c>
      <c r="B2155" t="s">
        <v>21</v>
      </c>
      <c r="C2155">
        <v>2017</v>
      </c>
      <c r="D2155" t="s">
        <v>11</v>
      </c>
      <c r="E2155">
        <v>600</v>
      </c>
      <c r="F2155">
        <v>0</v>
      </c>
    </row>
    <row r="2156" spans="1:6" hidden="1" x14ac:dyDescent="0.3">
      <c r="A2156">
        <v>2155</v>
      </c>
      <c r="B2156" t="s">
        <v>21</v>
      </c>
      <c r="C2156">
        <v>2017</v>
      </c>
      <c r="D2156" t="s">
        <v>11</v>
      </c>
      <c r="E2156">
        <v>300</v>
      </c>
      <c r="F2156">
        <v>2000000</v>
      </c>
    </row>
    <row r="2157" spans="1:6" hidden="1" x14ac:dyDescent="0.3">
      <c r="A2157">
        <v>2156</v>
      </c>
      <c r="B2157" t="s">
        <v>35</v>
      </c>
      <c r="C2157">
        <v>2017</v>
      </c>
      <c r="D2157" t="s">
        <v>11</v>
      </c>
      <c r="E2157">
        <v>0</v>
      </c>
      <c r="F2157">
        <v>0</v>
      </c>
    </row>
    <row r="2158" spans="1:6" hidden="1" x14ac:dyDescent="0.3">
      <c r="A2158">
        <v>2157</v>
      </c>
      <c r="B2158" t="s">
        <v>37</v>
      </c>
      <c r="C2158">
        <v>2017</v>
      </c>
      <c r="D2158" t="s">
        <v>11</v>
      </c>
      <c r="E2158">
        <v>7339</v>
      </c>
      <c r="F2158">
        <v>175000</v>
      </c>
    </row>
    <row r="2159" spans="1:6" hidden="1" x14ac:dyDescent="0.3">
      <c r="A2159">
        <v>2158</v>
      </c>
      <c r="B2159" t="s">
        <v>37</v>
      </c>
      <c r="C2159">
        <v>2017</v>
      </c>
      <c r="D2159" t="s">
        <v>11</v>
      </c>
      <c r="E2159">
        <v>305</v>
      </c>
      <c r="F2159">
        <v>0</v>
      </c>
    </row>
    <row r="2160" spans="1:6" hidden="1" x14ac:dyDescent="0.3">
      <c r="A2160">
        <v>2159</v>
      </c>
      <c r="B2160" t="s">
        <v>37</v>
      </c>
      <c r="C2160">
        <v>2017</v>
      </c>
      <c r="D2160" t="s">
        <v>11</v>
      </c>
      <c r="E2160">
        <v>923757</v>
      </c>
      <c r="F2160">
        <v>50000000</v>
      </c>
    </row>
    <row r="2161" spans="1:6" hidden="1" x14ac:dyDescent="0.3">
      <c r="A2161">
        <v>2160</v>
      </c>
      <c r="B2161" t="s">
        <v>37</v>
      </c>
      <c r="C2161">
        <v>2017</v>
      </c>
      <c r="D2161" t="s">
        <v>11</v>
      </c>
      <c r="E2161">
        <v>1861328</v>
      </c>
      <c r="F2161">
        <v>71901000</v>
      </c>
    </row>
    <row r="2162" spans="1:6" hidden="1" x14ac:dyDescent="0.3">
      <c r="A2162">
        <v>2161</v>
      </c>
      <c r="B2162" t="s">
        <v>37</v>
      </c>
      <c r="C2162">
        <v>2017</v>
      </c>
      <c r="D2162" t="s">
        <v>11</v>
      </c>
      <c r="E2162">
        <v>163349</v>
      </c>
      <c r="F2162">
        <v>3400000</v>
      </c>
    </row>
    <row r="2163" spans="1:6" hidden="1" x14ac:dyDescent="0.3">
      <c r="A2163">
        <v>2162</v>
      </c>
      <c r="B2163" t="s">
        <v>20</v>
      </c>
      <c r="C2163">
        <v>2017</v>
      </c>
      <c r="D2163" t="s">
        <v>11</v>
      </c>
      <c r="E2163">
        <v>2035</v>
      </c>
      <c r="F2163">
        <v>0</v>
      </c>
    </row>
    <row r="2164" spans="1:6" hidden="1" x14ac:dyDescent="0.3">
      <c r="A2164">
        <v>2163</v>
      </c>
      <c r="B2164" t="s">
        <v>21</v>
      </c>
      <c r="C2164">
        <v>2017</v>
      </c>
      <c r="D2164" t="s">
        <v>11</v>
      </c>
      <c r="E2164">
        <v>1110</v>
      </c>
      <c r="F2164">
        <v>0</v>
      </c>
    </row>
    <row r="2165" spans="1:6" hidden="1" x14ac:dyDescent="0.3">
      <c r="A2165">
        <v>2164</v>
      </c>
      <c r="B2165" t="s">
        <v>37</v>
      </c>
      <c r="C2165">
        <v>2017</v>
      </c>
      <c r="D2165" t="s">
        <v>11</v>
      </c>
      <c r="E2165">
        <v>9110</v>
      </c>
      <c r="F2165">
        <v>5300000</v>
      </c>
    </row>
    <row r="2166" spans="1:6" hidden="1" x14ac:dyDescent="0.3">
      <c r="A2166">
        <v>2165</v>
      </c>
      <c r="B2166" t="s">
        <v>27</v>
      </c>
      <c r="C2166">
        <v>2017</v>
      </c>
      <c r="D2166" t="s">
        <v>11</v>
      </c>
      <c r="E2166">
        <v>0</v>
      </c>
      <c r="F2166">
        <v>0</v>
      </c>
    </row>
    <row r="2167" spans="1:6" hidden="1" x14ac:dyDescent="0.3">
      <c r="A2167">
        <v>2166</v>
      </c>
      <c r="B2167" t="s">
        <v>21</v>
      </c>
      <c r="C2167">
        <v>2017</v>
      </c>
      <c r="D2167" t="s">
        <v>14</v>
      </c>
      <c r="E2167">
        <v>256000</v>
      </c>
      <c r="F2167">
        <v>6000000000</v>
      </c>
    </row>
    <row r="2168" spans="1:6" hidden="1" x14ac:dyDescent="0.3">
      <c r="A2168">
        <v>2167</v>
      </c>
      <c r="B2168" t="s">
        <v>23</v>
      </c>
      <c r="C2168">
        <v>2017</v>
      </c>
      <c r="D2168" t="s">
        <v>9</v>
      </c>
      <c r="E2168">
        <v>645</v>
      </c>
      <c r="F2168">
        <v>0</v>
      </c>
    </row>
    <row r="2169" spans="1:6" hidden="1" x14ac:dyDescent="0.3">
      <c r="A2169">
        <v>2168</v>
      </c>
      <c r="B2169" t="s">
        <v>27</v>
      </c>
      <c r="C2169">
        <v>2017</v>
      </c>
      <c r="D2169" t="s">
        <v>9</v>
      </c>
      <c r="E2169">
        <v>50000</v>
      </c>
      <c r="F2169">
        <v>0</v>
      </c>
    </row>
    <row r="2170" spans="1:6" hidden="1" x14ac:dyDescent="0.3">
      <c r="A2170">
        <v>2169</v>
      </c>
      <c r="B2170" t="s">
        <v>20</v>
      </c>
      <c r="C2170">
        <v>2017</v>
      </c>
      <c r="D2170" t="s">
        <v>9</v>
      </c>
      <c r="E2170">
        <v>25011</v>
      </c>
      <c r="F2170">
        <v>2000000</v>
      </c>
    </row>
    <row r="2171" spans="1:6" hidden="1" x14ac:dyDescent="0.3">
      <c r="A2171">
        <v>2170</v>
      </c>
      <c r="B2171" t="s">
        <v>20</v>
      </c>
      <c r="C2171">
        <v>2017</v>
      </c>
      <c r="D2171" t="s">
        <v>9</v>
      </c>
      <c r="E2171">
        <v>17410</v>
      </c>
      <c r="F2171">
        <v>19000000</v>
      </c>
    </row>
    <row r="2172" spans="1:6" hidden="1" x14ac:dyDescent="0.3">
      <c r="A2172">
        <v>2171</v>
      </c>
      <c r="B2172" t="s">
        <v>20</v>
      </c>
      <c r="C2172">
        <v>2017</v>
      </c>
      <c r="D2172" t="s">
        <v>9</v>
      </c>
      <c r="E2172">
        <v>12000</v>
      </c>
      <c r="F2172">
        <v>0</v>
      </c>
    </row>
    <row r="2173" spans="1:6" hidden="1" x14ac:dyDescent="0.3">
      <c r="A2173">
        <v>2172</v>
      </c>
      <c r="B2173" t="s">
        <v>18</v>
      </c>
      <c r="C2173">
        <v>2017</v>
      </c>
      <c r="D2173" t="s">
        <v>9</v>
      </c>
      <c r="E2173">
        <v>0</v>
      </c>
      <c r="F2173">
        <v>353000000</v>
      </c>
    </row>
    <row r="2174" spans="1:6" hidden="1" x14ac:dyDescent="0.3">
      <c r="A2174">
        <v>2173</v>
      </c>
      <c r="B2174" t="s">
        <v>17</v>
      </c>
      <c r="C2174">
        <v>2017</v>
      </c>
      <c r="D2174" t="s">
        <v>9</v>
      </c>
      <c r="E2174">
        <v>879932</v>
      </c>
      <c r="F2174">
        <v>389000000</v>
      </c>
    </row>
    <row r="2175" spans="1:6" hidden="1" x14ac:dyDescent="0.3">
      <c r="A2175">
        <v>2174</v>
      </c>
      <c r="B2175" t="s">
        <v>45</v>
      </c>
      <c r="C2175">
        <v>2017</v>
      </c>
      <c r="D2175" t="s">
        <v>9</v>
      </c>
      <c r="E2175">
        <v>92000</v>
      </c>
      <c r="F2175">
        <v>0</v>
      </c>
    </row>
    <row r="2176" spans="1:6" hidden="1" x14ac:dyDescent="0.3">
      <c r="A2176">
        <v>2175</v>
      </c>
      <c r="B2176" t="s">
        <v>33</v>
      </c>
      <c r="C2176">
        <v>2017</v>
      </c>
      <c r="D2176" t="s">
        <v>9</v>
      </c>
      <c r="E2176">
        <v>6000</v>
      </c>
      <c r="F2176">
        <v>0</v>
      </c>
    </row>
    <row r="2177" spans="1:6" hidden="1" x14ac:dyDescent="0.3">
      <c r="A2177">
        <v>2176</v>
      </c>
      <c r="B2177" t="s">
        <v>33</v>
      </c>
      <c r="C2177">
        <v>2017</v>
      </c>
      <c r="D2177" t="s">
        <v>9</v>
      </c>
      <c r="E2177">
        <v>1700134</v>
      </c>
      <c r="F2177">
        <v>595000000</v>
      </c>
    </row>
    <row r="2178" spans="1:6" hidden="1" x14ac:dyDescent="0.3">
      <c r="A2178">
        <v>2177</v>
      </c>
      <c r="B2178" t="s">
        <v>35</v>
      </c>
      <c r="C2178">
        <v>2017</v>
      </c>
      <c r="D2178" t="s">
        <v>9</v>
      </c>
      <c r="E2178">
        <v>2367</v>
      </c>
      <c r="F2178">
        <v>110000000</v>
      </c>
    </row>
    <row r="2179" spans="1:6" hidden="1" x14ac:dyDescent="0.3">
      <c r="A2179">
        <v>2178</v>
      </c>
      <c r="B2179" t="s">
        <v>36</v>
      </c>
      <c r="C2179">
        <v>2017</v>
      </c>
      <c r="D2179" t="s">
        <v>9</v>
      </c>
      <c r="E2179">
        <v>376000</v>
      </c>
      <c r="F2179">
        <v>100000000</v>
      </c>
    </row>
    <row r="2180" spans="1:6" hidden="1" x14ac:dyDescent="0.3">
      <c r="A2180">
        <v>2179</v>
      </c>
      <c r="B2180" t="s">
        <v>36</v>
      </c>
      <c r="C2180">
        <v>2017</v>
      </c>
      <c r="D2180" t="s">
        <v>9</v>
      </c>
      <c r="E2180">
        <v>1800505</v>
      </c>
      <c r="F2180">
        <v>3100000000</v>
      </c>
    </row>
    <row r="2181" spans="1:6" hidden="1" x14ac:dyDescent="0.3">
      <c r="A2181">
        <v>2180</v>
      </c>
      <c r="B2181" t="s">
        <v>37</v>
      </c>
      <c r="C2181">
        <v>2017</v>
      </c>
      <c r="D2181" t="s">
        <v>14</v>
      </c>
      <c r="E2181">
        <v>25000</v>
      </c>
      <c r="F2181">
        <v>2000000</v>
      </c>
    </row>
    <row r="2182" spans="1:6" hidden="1" x14ac:dyDescent="0.3">
      <c r="A2182">
        <v>2181</v>
      </c>
      <c r="B2182" t="s">
        <v>37</v>
      </c>
      <c r="C2182">
        <v>2017</v>
      </c>
      <c r="D2182" t="s">
        <v>9</v>
      </c>
      <c r="E2182">
        <v>1500000</v>
      </c>
      <c r="F2182">
        <v>8100000</v>
      </c>
    </row>
    <row r="2183" spans="1:6" hidden="1" x14ac:dyDescent="0.3">
      <c r="A2183">
        <v>2182</v>
      </c>
      <c r="B2183" t="s">
        <v>23</v>
      </c>
      <c r="C2183">
        <v>2017</v>
      </c>
      <c r="D2183" t="s">
        <v>9</v>
      </c>
      <c r="E2183">
        <v>46975</v>
      </c>
      <c r="F2183">
        <v>0</v>
      </c>
    </row>
    <row r="2184" spans="1:6" hidden="1" x14ac:dyDescent="0.3">
      <c r="A2184">
        <v>2183</v>
      </c>
      <c r="B2184" t="s">
        <v>27</v>
      </c>
      <c r="C2184">
        <v>2017</v>
      </c>
      <c r="D2184" t="s">
        <v>11</v>
      </c>
      <c r="E2184">
        <v>40092</v>
      </c>
      <c r="F2184">
        <v>0</v>
      </c>
    </row>
    <row r="2185" spans="1:6" hidden="1" x14ac:dyDescent="0.3">
      <c r="A2185">
        <v>2184</v>
      </c>
      <c r="B2185" t="s">
        <v>16</v>
      </c>
      <c r="C2185">
        <v>2017</v>
      </c>
      <c r="D2185" t="s">
        <v>11</v>
      </c>
      <c r="E2185">
        <v>60000</v>
      </c>
      <c r="F2185">
        <v>0</v>
      </c>
    </row>
    <row r="2186" spans="1:6" hidden="1" x14ac:dyDescent="0.3">
      <c r="A2186">
        <v>2185</v>
      </c>
      <c r="B2186" t="s">
        <v>22</v>
      </c>
      <c r="C2186">
        <v>2017</v>
      </c>
      <c r="D2186" t="s">
        <v>11</v>
      </c>
      <c r="E2186">
        <v>434253</v>
      </c>
      <c r="F2186">
        <v>20000000</v>
      </c>
    </row>
    <row r="2187" spans="1:6" hidden="1" x14ac:dyDescent="0.3">
      <c r="A2187">
        <v>2186</v>
      </c>
      <c r="B2187" t="s">
        <v>21</v>
      </c>
      <c r="C2187">
        <v>2017</v>
      </c>
      <c r="D2187" t="s">
        <v>11</v>
      </c>
      <c r="E2187">
        <v>1000</v>
      </c>
      <c r="F2187">
        <v>0</v>
      </c>
    </row>
    <row r="2188" spans="1:6" hidden="1" x14ac:dyDescent="0.3">
      <c r="A2188">
        <v>2187</v>
      </c>
      <c r="B2188" t="s">
        <v>30</v>
      </c>
      <c r="C2188">
        <v>2017</v>
      </c>
      <c r="D2188" t="s">
        <v>11</v>
      </c>
      <c r="E2188">
        <v>750102</v>
      </c>
      <c r="F2188">
        <v>17000000</v>
      </c>
    </row>
    <row r="2189" spans="1:6" hidden="1" x14ac:dyDescent="0.3">
      <c r="A2189">
        <v>2188</v>
      </c>
      <c r="B2189" t="s">
        <v>22</v>
      </c>
      <c r="C2189">
        <v>2017</v>
      </c>
      <c r="D2189" t="s">
        <v>7</v>
      </c>
      <c r="E2189">
        <v>1260000</v>
      </c>
      <c r="F2189">
        <v>0</v>
      </c>
    </row>
    <row r="2190" spans="1:6" hidden="1" x14ac:dyDescent="0.3">
      <c r="A2190">
        <v>2189</v>
      </c>
      <c r="B2190" t="s">
        <v>32</v>
      </c>
      <c r="C2190">
        <v>2017</v>
      </c>
      <c r="D2190" t="s">
        <v>7</v>
      </c>
      <c r="E2190">
        <v>1131300</v>
      </c>
      <c r="F2190">
        <v>0</v>
      </c>
    </row>
    <row r="2191" spans="1:6" hidden="1" x14ac:dyDescent="0.3">
      <c r="A2191">
        <v>2190</v>
      </c>
      <c r="B2191" t="s">
        <v>23</v>
      </c>
      <c r="C2191">
        <v>2017</v>
      </c>
      <c r="D2191" t="s">
        <v>9</v>
      </c>
      <c r="E2191">
        <v>400</v>
      </c>
      <c r="F2191">
        <v>0</v>
      </c>
    </row>
    <row r="2192" spans="1:6" hidden="1" x14ac:dyDescent="0.3">
      <c r="A2192">
        <v>2191</v>
      </c>
      <c r="B2192" t="s">
        <v>27</v>
      </c>
      <c r="C2192">
        <v>2017</v>
      </c>
      <c r="D2192" t="s">
        <v>11</v>
      </c>
      <c r="E2192">
        <v>0</v>
      </c>
      <c r="F2192">
        <v>0</v>
      </c>
    </row>
    <row r="2193" spans="1:6" hidden="1" x14ac:dyDescent="0.3">
      <c r="A2193">
        <v>2192</v>
      </c>
      <c r="B2193" t="s">
        <v>27</v>
      </c>
      <c r="C2193">
        <v>2017</v>
      </c>
      <c r="D2193" t="s">
        <v>9</v>
      </c>
      <c r="E2193">
        <v>342</v>
      </c>
      <c r="F2193">
        <v>0</v>
      </c>
    </row>
    <row r="2194" spans="1:6" hidden="1" x14ac:dyDescent="0.3">
      <c r="A2194">
        <v>2193</v>
      </c>
      <c r="B2194" t="s">
        <v>20</v>
      </c>
      <c r="C2194">
        <v>2017</v>
      </c>
      <c r="D2194" t="s">
        <v>14</v>
      </c>
      <c r="E2194">
        <v>8895</v>
      </c>
      <c r="F2194">
        <v>0</v>
      </c>
    </row>
    <row r="2195" spans="1:6" hidden="1" x14ac:dyDescent="0.3">
      <c r="A2195">
        <v>2194</v>
      </c>
      <c r="B2195" t="s">
        <v>20</v>
      </c>
      <c r="C2195">
        <v>2017</v>
      </c>
      <c r="D2195" t="s">
        <v>9</v>
      </c>
      <c r="E2195">
        <v>359</v>
      </c>
      <c r="F2195">
        <v>0</v>
      </c>
    </row>
    <row r="2196" spans="1:6" hidden="1" x14ac:dyDescent="0.3">
      <c r="A2196">
        <v>2195</v>
      </c>
      <c r="B2196" t="s">
        <v>20</v>
      </c>
      <c r="C2196">
        <v>2017</v>
      </c>
      <c r="D2196" t="s">
        <v>9</v>
      </c>
      <c r="E2196">
        <v>2280</v>
      </c>
      <c r="F2196">
        <v>0</v>
      </c>
    </row>
    <row r="2197" spans="1:6" hidden="1" x14ac:dyDescent="0.3">
      <c r="A2197">
        <v>2196</v>
      </c>
      <c r="B2197" t="s">
        <v>20</v>
      </c>
      <c r="C2197">
        <v>2017</v>
      </c>
      <c r="D2197" t="s">
        <v>9</v>
      </c>
      <c r="E2197">
        <v>282420</v>
      </c>
      <c r="F2197">
        <v>0</v>
      </c>
    </row>
    <row r="2198" spans="1:6" hidden="1" x14ac:dyDescent="0.3">
      <c r="A2198">
        <v>2197</v>
      </c>
      <c r="B2198" t="s">
        <v>20</v>
      </c>
      <c r="C2198">
        <v>2017</v>
      </c>
      <c r="D2198" t="s">
        <v>9</v>
      </c>
      <c r="E2198">
        <v>400</v>
      </c>
      <c r="F2198">
        <v>0</v>
      </c>
    </row>
    <row r="2199" spans="1:6" hidden="1" x14ac:dyDescent="0.3">
      <c r="A2199">
        <v>2198</v>
      </c>
      <c r="B2199" t="s">
        <v>16</v>
      </c>
      <c r="C2199">
        <v>2017</v>
      </c>
      <c r="D2199" t="s">
        <v>11</v>
      </c>
      <c r="E2199">
        <v>12</v>
      </c>
      <c r="F2199">
        <v>0</v>
      </c>
    </row>
    <row r="2200" spans="1:6" hidden="1" x14ac:dyDescent="0.3">
      <c r="A2200">
        <v>2199</v>
      </c>
      <c r="B2200" t="s">
        <v>16</v>
      </c>
      <c r="C2200">
        <v>2017</v>
      </c>
      <c r="D2200" t="s">
        <v>11</v>
      </c>
      <c r="E2200">
        <v>1250</v>
      </c>
      <c r="F2200">
        <v>0</v>
      </c>
    </row>
    <row r="2201" spans="1:6" hidden="1" x14ac:dyDescent="0.3">
      <c r="A2201">
        <v>2200</v>
      </c>
      <c r="B2201" t="s">
        <v>16</v>
      </c>
      <c r="C2201">
        <v>2017</v>
      </c>
      <c r="D2201" t="s">
        <v>11</v>
      </c>
      <c r="E2201">
        <v>60020</v>
      </c>
      <c r="F2201">
        <v>0</v>
      </c>
    </row>
    <row r="2202" spans="1:6" hidden="1" x14ac:dyDescent="0.3">
      <c r="A2202">
        <v>2201</v>
      </c>
      <c r="B2202" t="s">
        <v>16</v>
      </c>
      <c r="C2202">
        <v>2017</v>
      </c>
      <c r="D2202" t="s">
        <v>9</v>
      </c>
      <c r="E2202">
        <v>12</v>
      </c>
      <c r="F2202">
        <v>300000000</v>
      </c>
    </row>
    <row r="2203" spans="1:6" hidden="1" x14ac:dyDescent="0.3">
      <c r="A2203">
        <v>2202</v>
      </c>
      <c r="B2203" t="s">
        <v>16</v>
      </c>
      <c r="C2203">
        <v>2017</v>
      </c>
      <c r="D2203" t="s">
        <v>9</v>
      </c>
      <c r="E2203">
        <v>4000</v>
      </c>
      <c r="F2203">
        <v>0</v>
      </c>
    </row>
    <row r="2204" spans="1:6" hidden="1" x14ac:dyDescent="0.3">
      <c r="A2204">
        <v>2203</v>
      </c>
      <c r="B2204" t="s">
        <v>16</v>
      </c>
      <c r="C2204">
        <v>2017</v>
      </c>
      <c r="D2204" t="s">
        <v>9</v>
      </c>
      <c r="E2204">
        <v>1735000</v>
      </c>
      <c r="F2204">
        <v>0</v>
      </c>
    </row>
    <row r="2205" spans="1:6" hidden="1" x14ac:dyDescent="0.3">
      <c r="A2205">
        <v>2204</v>
      </c>
      <c r="B2205" t="s">
        <v>16</v>
      </c>
      <c r="C2205">
        <v>2017</v>
      </c>
      <c r="D2205" t="s">
        <v>9</v>
      </c>
      <c r="E2205">
        <v>100000</v>
      </c>
      <c r="F2205">
        <v>0</v>
      </c>
    </row>
    <row r="2206" spans="1:6" hidden="1" x14ac:dyDescent="0.3">
      <c r="A2206">
        <v>2205</v>
      </c>
      <c r="B2206" t="s">
        <v>16</v>
      </c>
      <c r="C2206">
        <v>2017</v>
      </c>
      <c r="D2206" t="s">
        <v>9</v>
      </c>
      <c r="E2206">
        <v>0</v>
      </c>
      <c r="F2206">
        <v>0</v>
      </c>
    </row>
    <row r="2207" spans="1:6" hidden="1" x14ac:dyDescent="0.3">
      <c r="A2207">
        <v>2206</v>
      </c>
      <c r="B2207" t="s">
        <v>16</v>
      </c>
      <c r="C2207">
        <v>2017</v>
      </c>
      <c r="D2207" t="s">
        <v>9</v>
      </c>
      <c r="E2207">
        <v>12831</v>
      </c>
      <c r="F2207">
        <v>0</v>
      </c>
    </row>
    <row r="2208" spans="1:6" hidden="1" x14ac:dyDescent="0.3">
      <c r="A2208">
        <v>2207</v>
      </c>
      <c r="B2208" t="s">
        <v>16</v>
      </c>
      <c r="C2208">
        <v>2017</v>
      </c>
      <c r="D2208" t="s">
        <v>9</v>
      </c>
      <c r="E2208">
        <v>520000</v>
      </c>
      <c r="F2208">
        <v>250000000</v>
      </c>
    </row>
    <row r="2209" spans="1:6" hidden="1" x14ac:dyDescent="0.3">
      <c r="A2209">
        <v>2208</v>
      </c>
      <c r="B2209" t="s">
        <v>16</v>
      </c>
      <c r="C2209">
        <v>2017</v>
      </c>
      <c r="D2209" t="s">
        <v>9</v>
      </c>
      <c r="E2209">
        <v>17200000</v>
      </c>
      <c r="F2209">
        <v>1567000000</v>
      </c>
    </row>
    <row r="2210" spans="1:6" hidden="1" x14ac:dyDescent="0.3">
      <c r="A2210">
        <v>2209</v>
      </c>
      <c r="B2210" t="s">
        <v>16</v>
      </c>
      <c r="C2210">
        <v>2017</v>
      </c>
      <c r="D2210" t="s">
        <v>9</v>
      </c>
      <c r="E2210">
        <v>2700000</v>
      </c>
      <c r="F2210">
        <v>0</v>
      </c>
    </row>
    <row r="2211" spans="1:6" hidden="1" x14ac:dyDescent="0.3">
      <c r="A2211">
        <v>2210</v>
      </c>
      <c r="B2211" t="s">
        <v>18</v>
      </c>
      <c r="C2211">
        <v>2017</v>
      </c>
      <c r="D2211" t="s">
        <v>14</v>
      </c>
      <c r="E2211">
        <v>2262</v>
      </c>
      <c r="F2211">
        <v>2000000</v>
      </c>
    </row>
    <row r="2212" spans="1:6" hidden="1" x14ac:dyDescent="0.3">
      <c r="A2212">
        <v>2211</v>
      </c>
      <c r="B2212" t="s">
        <v>18</v>
      </c>
      <c r="C2212">
        <v>2017</v>
      </c>
      <c r="D2212" t="s">
        <v>14</v>
      </c>
      <c r="E2212">
        <v>209000</v>
      </c>
      <c r="F2212">
        <v>740000000</v>
      </c>
    </row>
    <row r="2213" spans="1:6" hidden="1" x14ac:dyDescent="0.3">
      <c r="A2213">
        <v>2212</v>
      </c>
      <c r="B2213" t="s">
        <v>18</v>
      </c>
      <c r="C2213">
        <v>2017</v>
      </c>
      <c r="D2213" t="s">
        <v>14</v>
      </c>
      <c r="E2213">
        <v>120</v>
      </c>
      <c r="F2213">
        <v>0</v>
      </c>
    </row>
    <row r="2214" spans="1:6" hidden="1" x14ac:dyDescent="0.3">
      <c r="A2214">
        <v>2213</v>
      </c>
      <c r="B2214" t="s">
        <v>18</v>
      </c>
      <c r="C2214">
        <v>2017</v>
      </c>
      <c r="D2214" t="s">
        <v>9</v>
      </c>
      <c r="E2214">
        <v>2000</v>
      </c>
      <c r="F2214">
        <v>35000000</v>
      </c>
    </row>
    <row r="2215" spans="1:6" hidden="1" x14ac:dyDescent="0.3">
      <c r="A2215">
        <v>2214</v>
      </c>
      <c r="B2215" t="s">
        <v>28</v>
      </c>
      <c r="C2215">
        <v>2017</v>
      </c>
      <c r="D2215" t="s">
        <v>11</v>
      </c>
      <c r="E2215">
        <v>5000</v>
      </c>
      <c r="F2215">
        <v>0</v>
      </c>
    </row>
    <row r="2216" spans="1:6" hidden="1" x14ac:dyDescent="0.3">
      <c r="A2216">
        <v>2215</v>
      </c>
      <c r="B2216" t="s">
        <v>34</v>
      </c>
      <c r="C2216">
        <v>2017</v>
      </c>
      <c r="D2216" t="s">
        <v>9</v>
      </c>
      <c r="E2216">
        <v>25000</v>
      </c>
      <c r="F2216">
        <v>0</v>
      </c>
    </row>
    <row r="2217" spans="1:6" hidden="1" x14ac:dyDescent="0.3">
      <c r="A2217">
        <v>2216</v>
      </c>
      <c r="B2217" t="s">
        <v>48</v>
      </c>
      <c r="C2217">
        <v>2017</v>
      </c>
      <c r="D2217" t="s">
        <v>14</v>
      </c>
      <c r="E2217">
        <v>5000</v>
      </c>
      <c r="F2217">
        <v>0</v>
      </c>
    </row>
    <row r="2218" spans="1:6" hidden="1" x14ac:dyDescent="0.3">
      <c r="A2218">
        <v>2217</v>
      </c>
      <c r="B2218" t="s">
        <v>17</v>
      </c>
      <c r="C2218">
        <v>2017</v>
      </c>
      <c r="D2218" t="s">
        <v>9</v>
      </c>
      <c r="E2218">
        <v>13197</v>
      </c>
      <c r="F2218">
        <v>0</v>
      </c>
    </row>
    <row r="2219" spans="1:6" hidden="1" x14ac:dyDescent="0.3">
      <c r="A2219">
        <v>2218</v>
      </c>
      <c r="B2219" t="s">
        <v>21</v>
      </c>
      <c r="C2219">
        <v>2017</v>
      </c>
      <c r="D2219" t="s">
        <v>9</v>
      </c>
      <c r="E2219">
        <v>800</v>
      </c>
      <c r="F2219">
        <v>0</v>
      </c>
    </row>
    <row r="2220" spans="1:6" hidden="1" x14ac:dyDescent="0.3">
      <c r="A2220">
        <v>2219</v>
      </c>
      <c r="B2220" t="s">
        <v>45</v>
      </c>
      <c r="C2220">
        <v>2017</v>
      </c>
      <c r="D2220" t="s">
        <v>11</v>
      </c>
      <c r="E2220">
        <v>107520</v>
      </c>
      <c r="F2220">
        <v>0</v>
      </c>
    </row>
    <row r="2221" spans="1:6" hidden="1" x14ac:dyDescent="0.3">
      <c r="A2221">
        <v>2220</v>
      </c>
      <c r="B2221" t="s">
        <v>31</v>
      </c>
      <c r="C2221">
        <v>2017</v>
      </c>
      <c r="D2221" t="s">
        <v>9</v>
      </c>
      <c r="E2221">
        <v>2502</v>
      </c>
      <c r="F2221">
        <v>0</v>
      </c>
    </row>
    <row r="2222" spans="1:6" hidden="1" x14ac:dyDescent="0.3">
      <c r="A2222">
        <v>2221</v>
      </c>
      <c r="B2222" t="s">
        <v>32</v>
      </c>
      <c r="C2222">
        <v>2017</v>
      </c>
      <c r="D2222" t="s">
        <v>9</v>
      </c>
      <c r="E2222">
        <v>3000</v>
      </c>
      <c r="F2222">
        <v>0</v>
      </c>
    </row>
    <row r="2223" spans="1:6" hidden="1" x14ac:dyDescent="0.3">
      <c r="A2223">
        <v>2222</v>
      </c>
      <c r="B2223" t="s">
        <v>32</v>
      </c>
      <c r="C2223">
        <v>2017</v>
      </c>
      <c r="D2223" t="s">
        <v>9</v>
      </c>
      <c r="E2223">
        <v>206513</v>
      </c>
      <c r="F2223">
        <v>10000000</v>
      </c>
    </row>
    <row r="2224" spans="1:6" hidden="1" x14ac:dyDescent="0.3">
      <c r="A2224">
        <v>2223</v>
      </c>
      <c r="B2224" t="s">
        <v>24</v>
      </c>
      <c r="C2224">
        <v>2017</v>
      </c>
      <c r="D2224" t="s">
        <v>11</v>
      </c>
      <c r="E2224">
        <v>39200</v>
      </c>
      <c r="F2224">
        <v>0</v>
      </c>
    </row>
    <row r="2225" spans="1:6" hidden="1" x14ac:dyDescent="0.3">
      <c r="A2225">
        <v>2224</v>
      </c>
      <c r="B2225" t="s">
        <v>24</v>
      </c>
      <c r="C2225">
        <v>2017</v>
      </c>
      <c r="D2225" t="s">
        <v>9</v>
      </c>
      <c r="E2225">
        <v>13715</v>
      </c>
      <c r="F2225">
        <v>0</v>
      </c>
    </row>
    <row r="2226" spans="1:6" hidden="1" x14ac:dyDescent="0.3">
      <c r="A2226">
        <v>2225</v>
      </c>
      <c r="B2226" t="s">
        <v>35</v>
      </c>
      <c r="C2226">
        <v>2017</v>
      </c>
      <c r="D2226" t="s">
        <v>11</v>
      </c>
      <c r="E2226">
        <v>113</v>
      </c>
      <c r="F2226">
        <v>0</v>
      </c>
    </row>
    <row r="2227" spans="1:6" hidden="1" x14ac:dyDescent="0.3">
      <c r="A2227">
        <v>2226</v>
      </c>
      <c r="B2227" t="s">
        <v>35</v>
      </c>
      <c r="C2227">
        <v>2017</v>
      </c>
      <c r="D2227" t="s">
        <v>9</v>
      </c>
      <c r="E2227">
        <v>60650</v>
      </c>
      <c r="F2227">
        <v>0</v>
      </c>
    </row>
    <row r="2228" spans="1:6" hidden="1" x14ac:dyDescent="0.3">
      <c r="A2228">
        <v>2227</v>
      </c>
      <c r="B2228" t="s">
        <v>36</v>
      </c>
      <c r="C2228">
        <v>2017</v>
      </c>
      <c r="D2228" t="s">
        <v>9</v>
      </c>
      <c r="E2228">
        <v>12000</v>
      </c>
      <c r="F2228">
        <v>0</v>
      </c>
    </row>
    <row r="2229" spans="1:6" hidden="1" x14ac:dyDescent="0.3">
      <c r="A2229">
        <v>2228</v>
      </c>
      <c r="B2229" t="s">
        <v>37</v>
      </c>
      <c r="C2229">
        <v>2017</v>
      </c>
      <c r="D2229" t="s">
        <v>14</v>
      </c>
      <c r="E2229">
        <v>16857</v>
      </c>
      <c r="F2229">
        <v>13974000</v>
      </c>
    </row>
    <row r="2230" spans="1:6" hidden="1" x14ac:dyDescent="0.3">
      <c r="A2230">
        <v>2229</v>
      </c>
      <c r="B2230" t="s">
        <v>37</v>
      </c>
      <c r="C2230">
        <v>2017</v>
      </c>
      <c r="D2230" t="s">
        <v>14</v>
      </c>
      <c r="E2230">
        <v>16500</v>
      </c>
      <c r="F2230">
        <v>4364000</v>
      </c>
    </row>
    <row r="2231" spans="1:6" hidden="1" x14ac:dyDescent="0.3">
      <c r="A2231">
        <v>2230</v>
      </c>
      <c r="B2231" t="s">
        <v>37</v>
      </c>
      <c r="C2231">
        <v>2017</v>
      </c>
      <c r="D2231" t="s">
        <v>9</v>
      </c>
      <c r="E2231">
        <v>8000</v>
      </c>
      <c r="F2231">
        <v>0</v>
      </c>
    </row>
    <row r="2232" spans="1:6" hidden="1" x14ac:dyDescent="0.3">
      <c r="A2232">
        <v>2231</v>
      </c>
      <c r="B2232" t="s">
        <v>37</v>
      </c>
      <c r="C2232">
        <v>2017</v>
      </c>
      <c r="D2232" t="s">
        <v>11</v>
      </c>
      <c r="E2232">
        <v>860</v>
      </c>
      <c r="F2232">
        <v>2000000</v>
      </c>
    </row>
    <row r="2233" spans="1:6" hidden="1" x14ac:dyDescent="0.3">
      <c r="A2233">
        <v>2232</v>
      </c>
      <c r="B2233" t="s">
        <v>37</v>
      </c>
      <c r="C2233">
        <v>2017</v>
      </c>
      <c r="D2233" t="s">
        <v>11</v>
      </c>
      <c r="E2233">
        <v>0</v>
      </c>
      <c r="F2233">
        <v>0</v>
      </c>
    </row>
    <row r="2234" spans="1:6" hidden="1" x14ac:dyDescent="0.3">
      <c r="A2234">
        <v>2233</v>
      </c>
      <c r="B2234" t="s">
        <v>37</v>
      </c>
      <c r="C2234">
        <v>2017</v>
      </c>
      <c r="D2234" t="s">
        <v>9</v>
      </c>
      <c r="E2234">
        <v>334000</v>
      </c>
      <c r="F2234">
        <v>0</v>
      </c>
    </row>
    <row r="2235" spans="1:6" hidden="1" x14ac:dyDescent="0.3">
      <c r="A2235">
        <v>2234</v>
      </c>
      <c r="B2235" t="s">
        <v>39</v>
      </c>
      <c r="C2235">
        <v>2017</v>
      </c>
      <c r="D2235" t="s">
        <v>11</v>
      </c>
      <c r="E2235">
        <v>137</v>
      </c>
      <c r="F2235">
        <v>7300000</v>
      </c>
    </row>
    <row r="2236" spans="1:6" hidden="1" x14ac:dyDescent="0.3">
      <c r="A2236">
        <v>2235</v>
      </c>
      <c r="B2236" t="s">
        <v>22</v>
      </c>
      <c r="C2236">
        <v>2018</v>
      </c>
      <c r="D2236" t="s">
        <v>11</v>
      </c>
      <c r="E2236">
        <v>161318</v>
      </c>
      <c r="F2236">
        <v>0</v>
      </c>
    </row>
    <row r="2237" spans="1:6" hidden="1" x14ac:dyDescent="0.3">
      <c r="A2237">
        <v>2236</v>
      </c>
      <c r="B2237" t="s">
        <v>37</v>
      </c>
      <c r="C2237">
        <v>2018</v>
      </c>
      <c r="D2237" t="s">
        <v>11</v>
      </c>
      <c r="E2237">
        <v>254859</v>
      </c>
      <c r="F2237">
        <v>3070000</v>
      </c>
    </row>
    <row r="2238" spans="1:6" hidden="1" x14ac:dyDescent="0.3">
      <c r="A2238">
        <v>2237</v>
      </c>
      <c r="B2238" t="s">
        <v>37</v>
      </c>
      <c r="C2238">
        <v>2018</v>
      </c>
      <c r="D2238" t="s">
        <v>11</v>
      </c>
      <c r="E2238">
        <v>1016063</v>
      </c>
      <c r="F2238">
        <v>106753000</v>
      </c>
    </row>
    <row r="2239" spans="1:6" hidden="1" x14ac:dyDescent="0.3">
      <c r="A2239">
        <v>2238</v>
      </c>
      <c r="B2239" t="s">
        <v>20</v>
      </c>
      <c r="C2239">
        <v>2018</v>
      </c>
      <c r="D2239" t="s">
        <v>14</v>
      </c>
      <c r="E2239">
        <v>2000000</v>
      </c>
      <c r="F2239">
        <v>1450000000</v>
      </c>
    </row>
    <row r="2240" spans="1:6" hidden="1" x14ac:dyDescent="0.3">
      <c r="A2240">
        <v>2239</v>
      </c>
      <c r="B2240" t="s">
        <v>16</v>
      </c>
      <c r="C2240">
        <v>2018</v>
      </c>
      <c r="D2240" t="s">
        <v>9</v>
      </c>
      <c r="E2240">
        <v>23220000</v>
      </c>
      <c r="F2240">
        <v>2852480000</v>
      </c>
    </row>
    <row r="2241" spans="1:6" hidden="1" x14ac:dyDescent="0.3">
      <c r="A2241">
        <v>2240</v>
      </c>
      <c r="B2241" t="s">
        <v>16</v>
      </c>
      <c r="C2241">
        <v>2018</v>
      </c>
      <c r="D2241" t="s">
        <v>11</v>
      </c>
      <c r="E2241">
        <v>0</v>
      </c>
      <c r="F2241">
        <v>50000000</v>
      </c>
    </row>
    <row r="2242" spans="1:6" hidden="1" x14ac:dyDescent="0.3">
      <c r="A2242">
        <v>2241</v>
      </c>
      <c r="B2242" t="s">
        <v>16</v>
      </c>
      <c r="C2242">
        <v>2018</v>
      </c>
      <c r="D2242" t="s">
        <v>11</v>
      </c>
      <c r="E2242">
        <v>300200</v>
      </c>
      <c r="F2242">
        <v>920000000</v>
      </c>
    </row>
    <row r="2243" spans="1:6" hidden="1" x14ac:dyDescent="0.3">
      <c r="A2243">
        <v>2242</v>
      </c>
      <c r="B2243" t="s">
        <v>23</v>
      </c>
      <c r="C2243">
        <v>2018</v>
      </c>
      <c r="D2243" t="s">
        <v>9</v>
      </c>
      <c r="E2243">
        <v>6948</v>
      </c>
      <c r="F2243">
        <v>0</v>
      </c>
    </row>
    <row r="2244" spans="1:6" hidden="1" x14ac:dyDescent="0.3">
      <c r="A2244">
        <v>2243</v>
      </c>
      <c r="B2244" t="s">
        <v>20</v>
      </c>
      <c r="C2244">
        <v>2018</v>
      </c>
      <c r="D2244" t="s">
        <v>9</v>
      </c>
      <c r="E2244">
        <v>20000</v>
      </c>
      <c r="F2244">
        <v>0</v>
      </c>
    </row>
    <row r="2245" spans="1:6" hidden="1" x14ac:dyDescent="0.3">
      <c r="A2245">
        <v>2244</v>
      </c>
      <c r="B2245" t="s">
        <v>20</v>
      </c>
      <c r="C2245">
        <v>2018</v>
      </c>
      <c r="D2245" t="s">
        <v>9</v>
      </c>
      <c r="E2245">
        <v>3000</v>
      </c>
      <c r="F2245">
        <v>0</v>
      </c>
    </row>
    <row r="2246" spans="1:6" hidden="1" x14ac:dyDescent="0.3">
      <c r="A2246">
        <v>2245</v>
      </c>
      <c r="B2246" t="s">
        <v>20</v>
      </c>
      <c r="C2246">
        <v>2018</v>
      </c>
      <c r="D2246" t="s">
        <v>9</v>
      </c>
      <c r="E2246">
        <v>12001</v>
      </c>
      <c r="F2246">
        <v>0</v>
      </c>
    </row>
    <row r="2247" spans="1:6" hidden="1" x14ac:dyDescent="0.3">
      <c r="A2247">
        <v>2246</v>
      </c>
      <c r="B2247" t="s">
        <v>20</v>
      </c>
      <c r="C2247">
        <v>2018</v>
      </c>
      <c r="D2247" t="s">
        <v>9</v>
      </c>
      <c r="E2247">
        <v>5463</v>
      </c>
      <c r="F2247">
        <v>0</v>
      </c>
    </row>
    <row r="2248" spans="1:6" hidden="1" x14ac:dyDescent="0.3">
      <c r="A2248">
        <v>2247</v>
      </c>
      <c r="B2248" t="s">
        <v>20</v>
      </c>
      <c r="C2248">
        <v>2018</v>
      </c>
      <c r="D2248" t="s">
        <v>9</v>
      </c>
      <c r="E2248">
        <v>100000</v>
      </c>
      <c r="F2248">
        <v>0</v>
      </c>
    </row>
    <row r="2249" spans="1:6" hidden="1" x14ac:dyDescent="0.3">
      <c r="A2249">
        <v>2248</v>
      </c>
      <c r="B2249" t="s">
        <v>16</v>
      </c>
      <c r="C2249">
        <v>2018</v>
      </c>
      <c r="D2249" t="s">
        <v>11</v>
      </c>
      <c r="E2249">
        <v>0</v>
      </c>
      <c r="F2249">
        <v>0</v>
      </c>
    </row>
    <row r="2250" spans="1:6" hidden="1" x14ac:dyDescent="0.3">
      <c r="A2250">
        <v>2249</v>
      </c>
      <c r="B2250" t="s">
        <v>16</v>
      </c>
      <c r="C2250">
        <v>2018</v>
      </c>
      <c r="D2250" t="s">
        <v>9</v>
      </c>
      <c r="E2250">
        <v>0</v>
      </c>
      <c r="F2250">
        <v>0</v>
      </c>
    </row>
    <row r="2251" spans="1:6" hidden="1" x14ac:dyDescent="0.3">
      <c r="A2251">
        <v>2250</v>
      </c>
      <c r="B2251" t="s">
        <v>18</v>
      </c>
      <c r="C2251">
        <v>2018</v>
      </c>
      <c r="D2251" t="s">
        <v>9</v>
      </c>
      <c r="E2251">
        <v>7135</v>
      </c>
      <c r="F2251">
        <v>166000000</v>
      </c>
    </row>
    <row r="2252" spans="1:6" hidden="1" x14ac:dyDescent="0.3">
      <c r="A2252">
        <v>2251</v>
      </c>
      <c r="B2252" t="s">
        <v>17</v>
      </c>
      <c r="C2252">
        <v>2018</v>
      </c>
      <c r="D2252" t="s">
        <v>9</v>
      </c>
      <c r="E2252">
        <v>153712</v>
      </c>
      <c r="F2252">
        <v>0</v>
      </c>
    </row>
    <row r="2253" spans="1:6" hidden="1" x14ac:dyDescent="0.3">
      <c r="A2253">
        <v>2252</v>
      </c>
      <c r="B2253" t="s">
        <v>17</v>
      </c>
      <c r="C2253">
        <v>2018</v>
      </c>
      <c r="D2253" t="s">
        <v>9</v>
      </c>
      <c r="E2253">
        <v>75000</v>
      </c>
      <c r="F2253">
        <v>0</v>
      </c>
    </row>
    <row r="2254" spans="1:6" hidden="1" x14ac:dyDescent="0.3">
      <c r="A2254">
        <v>2253</v>
      </c>
      <c r="B2254" t="s">
        <v>45</v>
      </c>
      <c r="C2254">
        <v>2018</v>
      </c>
      <c r="D2254" t="s">
        <v>9</v>
      </c>
      <c r="E2254">
        <v>0</v>
      </c>
      <c r="F2254">
        <v>0</v>
      </c>
    </row>
    <row r="2255" spans="1:6" hidden="1" x14ac:dyDescent="0.3">
      <c r="A2255">
        <v>2254</v>
      </c>
      <c r="B2255" t="s">
        <v>24</v>
      </c>
      <c r="C2255">
        <v>2018</v>
      </c>
      <c r="D2255" t="s">
        <v>9</v>
      </c>
      <c r="E2255">
        <v>13000</v>
      </c>
      <c r="F2255">
        <v>0</v>
      </c>
    </row>
    <row r="2256" spans="1:6" hidden="1" x14ac:dyDescent="0.3">
      <c r="A2256">
        <v>2255</v>
      </c>
      <c r="B2256" t="s">
        <v>37</v>
      </c>
      <c r="C2256">
        <v>2018</v>
      </c>
      <c r="D2256" t="s">
        <v>11</v>
      </c>
      <c r="E2256">
        <v>3800138</v>
      </c>
      <c r="F2256">
        <v>32033000</v>
      </c>
    </row>
    <row r="2257" spans="1:6" hidden="1" x14ac:dyDescent="0.3">
      <c r="A2257">
        <v>2256</v>
      </c>
      <c r="B2257" t="s">
        <v>37</v>
      </c>
      <c r="C2257">
        <v>2018</v>
      </c>
      <c r="D2257" t="s">
        <v>11</v>
      </c>
      <c r="E2257">
        <v>253300</v>
      </c>
      <c r="F2257">
        <v>305000000</v>
      </c>
    </row>
    <row r="2258" spans="1:6" hidden="1" x14ac:dyDescent="0.3">
      <c r="A2258">
        <v>2257</v>
      </c>
      <c r="B2258" t="s">
        <v>39</v>
      </c>
      <c r="C2258">
        <v>2018</v>
      </c>
      <c r="D2258" t="s">
        <v>9</v>
      </c>
      <c r="E2258">
        <v>1500</v>
      </c>
      <c r="F2258">
        <v>0</v>
      </c>
    </row>
    <row r="2259" spans="1:6" hidden="1" x14ac:dyDescent="0.3">
      <c r="A2259">
        <v>2258</v>
      </c>
      <c r="B2259" t="s">
        <v>20</v>
      </c>
      <c r="C2259">
        <v>2018</v>
      </c>
      <c r="D2259" t="s">
        <v>14</v>
      </c>
      <c r="E2259">
        <v>516927</v>
      </c>
      <c r="F2259">
        <v>790000000</v>
      </c>
    </row>
    <row r="2260" spans="1:6" hidden="1" x14ac:dyDescent="0.3">
      <c r="A2260">
        <v>2259</v>
      </c>
      <c r="B2260" t="s">
        <v>34</v>
      </c>
      <c r="C2260">
        <v>2018</v>
      </c>
      <c r="D2260" t="s">
        <v>9</v>
      </c>
      <c r="E2260">
        <v>0</v>
      </c>
      <c r="F2260">
        <v>0</v>
      </c>
    </row>
    <row r="2261" spans="1:6" hidden="1" x14ac:dyDescent="0.3">
      <c r="A2261">
        <v>2260</v>
      </c>
      <c r="B2261" t="s">
        <v>45</v>
      </c>
      <c r="C2261">
        <v>2018</v>
      </c>
      <c r="D2261" t="s">
        <v>9</v>
      </c>
      <c r="E2261">
        <v>63400</v>
      </c>
      <c r="F2261">
        <v>0</v>
      </c>
    </row>
    <row r="2262" spans="1:6" hidden="1" x14ac:dyDescent="0.3">
      <c r="A2262">
        <v>2261</v>
      </c>
      <c r="B2262" t="s">
        <v>22</v>
      </c>
      <c r="C2262">
        <v>2018</v>
      </c>
      <c r="D2262" t="s">
        <v>11</v>
      </c>
      <c r="E2262">
        <v>50872</v>
      </c>
      <c r="F2262">
        <v>0</v>
      </c>
    </row>
    <row r="2263" spans="1:6" hidden="1" x14ac:dyDescent="0.3">
      <c r="A2263">
        <v>2262</v>
      </c>
      <c r="B2263" t="s">
        <v>21</v>
      </c>
      <c r="C2263">
        <v>2018</v>
      </c>
      <c r="D2263" t="s">
        <v>11</v>
      </c>
      <c r="E2263">
        <v>0</v>
      </c>
      <c r="F2263">
        <v>7005000</v>
      </c>
    </row>
    <row r="2264" spans="1:6" hidden="1" x14ac:dyDescent="0.3">
      <c r="A2264">
        <v>2263</v>
      </c>
      <c r="B2264" t="s">
        <v>37</v>
      </c>
      <c r="C2264">
        <v>2018</v>
      </c>
      <c r="D2264" t="s">
        <v>11</v>
      </c>
      <c r="E2264">
        <v>2231101</v>
      </c>
      <c r="F2264">
        <v>88000000</v>
      </c>
    </row>
    <row r="2265" spans="1:6" hidden="1" x14ac:dyDescent="0.3">
      <c r="A2265">
        <v>2264</v>
      </c>
      <c r="B2265" t="s">
        <v>31</v>
      </c>
      <c r="C2265">
        <v>2018</v>
      </c>
      <c r="D2265" t="s">
        <v>7</v>
      </c>
      <c r="E2265">
        <v>556000</v>
      </c>
      <c r="F2265">
        <v>0</v>
      </c>
    </row>
    <row r="2266" spans="1:6" hidden="1" x14ac:dyDescent="0.3">
      <c r="A2266">
        <v>2265</v>
      </c>
      <c r="B2266" t="s">
        <v>23</v>
      </c>
      <c r="C2266">
        <v>2018</v>
      </c>
      <c r="D2266" t="s">
        <v>7</v>
      </c>
      <c r="E2266">
        <v>360000</v>
      </c>
      <c r="F2266">
        <v>0</v>
      </c>
    </row>
    <row r="2267" spans="1:6" hidden="1" x14ac:dyDescent="0.3">
      <c r="A2267">
        <v>2266</v>
      </c>
      <c r="B2267" t="s">
        <v>27</v>
      </c>
      <c r="C2267">
        <v>2018</v>
      </c>
      <c r="D2267" t="s">
        <v>14</v>
      </c>
      <c r="E2267">
        <v>39336</v>
      </c>
      <c r="F2267">
        <v>0</v>
      </c>
    </row>
    <row r="2268" spans="1:6" hidden="1" x14ac:dyDescent="0.3">
      <c r="A2268">
        <v>2267</v>
      </c>
      <c r="B2268" t="s">
        <v>20</v>
      </c>
      <c r="C2268">
        <v>2018</v>
      </c>
      <c r="D2268" t="s">
        <v>14</v>
      </c>
      <c r="E2268">
        <v>13811</v>
      </c>
      <c r="F2268">
        <v>80000000</v>
      </c>
    </row>
    <row r="2269" spans="1:6" hidden="1" x14ac:dyDescent="0.3">
      <c r="A2269">
        <v>2268</v>
      </c>
      <c r="B2269" t="s">
        <v>20</v>
      </c>
      <c r="C2269">
        <v>2018</v>
      </c>
      <c r="D2269" t="s">
        <v>14</v>
      </c>
      <c r="E2269">
        <v>102852</v>
      </c>
      <c r="F2269">
        <v>29000000</v>
      </c>
    </row>
    <row r="2270" spans="1:6" hidden="1" x14ac:dyDescent="0.3">
      <c r="A2270">
        <v>2269</v>
      </c>
      <c r="B2270" t="s">
        <v>20</v>
      </c>
      <c r="C2270">
        <v>2018</v>
      </c>
      <c r="D2270" t="s">
        <v>14</v>
      </c>
      <c r="E2270">
        <v>779</v>
      </c>
      <c r="F2270">
        <v>5000000</v>
      </c>
    </row>
    <row r="2271" spans="1:6" hidden="1" x14ac:dyDescent="0.3">
      <c r="A2271">
        <v>2270</v>
      </c>
      <c r="B2271" t="s">
        <v>20</v>
      </c>
      <c r="C2271">
        <v>2018</v>
      </c>
      <c r="D2271" t="s">
        <v>9</v>
      </c>
      <c r="E2271">
        <v>3000</v>
      </c>
      <c r="F2271">
        <v>0</v>
      </c>
    </row>
    <row r="2272" spans="1:6" hidden="1" x14ac:dyDescent="0.3">
      <c r="A2272">
        <v>2271</v>
      </c>
      <c r="B2272" t="s">
        <v>16</v>
      </c>
      <c r="C2272">
        <v>2018</v>
      </c>
      <c r="D2272" t="s">
        <v>11</v>
      </c>
      <c r="E2272">
        <v>200</v>
      </c>
      <c r="F2272">
        <v>100000000</v>
      </c>
    </row>
    <row r="2273" spans="1:6" hidden="1" x14ac:dyDescent="0.3">
      <c r="A2273">
        <v>2272</v>
      </c>
      <c r="B2273" t="s">
        <v>16</v>
      </c>
      <c r="C2273">
        <v>2018</v>
      </c>
      <c r="D2273" t="s">
        <v>11</v>
      </c>
      <c r="E2273">
        <v>22050</v>
      </c>
      <c r="F2273">
        <v>100000000</v>
      </c>
    </row>
    <row r="2274" spans="1:6" hidden="1" x14ac:dyDescent="0.3">
      <c r="A2274">
        <v>2273</v>
      </c>
      <c r="B2274" t="s">
        <v>16</v>
      </c>
      <c r="C2274">
        <v>2018</v>
      </c>
      <c r="D2274" t="s">
        <v>11</v>
      </c>
      <c r="E2274">
        <v>0</v>
      </c>
      <c r="F2274">
        <v>0</v>
      </c>
    </row>
    <row r="2275" spans="1:6" hidden="1" x14ac:dyDescent="0.3">
      <c r="A2275">
        <v>2274</v>
      </c>
      <c r="B2275" t="s">
        <v>16</v>
      </c>
      <c r="C2275">
        <v>2018</v>
      </c>
      <c r="D2275" t="s">
        <v>11</v>
      </c>
      <c r="E2275">
        <v>21000</v>
      </c>
      <c r="F2275">
        <v>50000000</v>
      </c>
    </row>
    <row r="2276" spans="1:6" hidden="1" x14ac:dyDescent="0.3">
      <c r="A2276">
        <v>2275</v>
      </c>
      <c r="B2276" t="s">
        <v>16</v>
      </c>
      <c r="C2276">
        <v>2018</v>
      </c>
      <c r="D2276" t="s">
        <v>11</v>
      </c>
      <c r="E2276">
        <v>0</v>
      </c>
      <c r="F2276">
        <v>25000000</v>
      </c>
    </row>
    <row r="2277" spans="1:6" hidden="1" x14ac:dyDescent="0.3">
      <c r="A2277">
        <v>2276</v>
      </c>
      <c r="B2277" t="s">
        <v>16</v>
      </c>
      <c r="C2277">
        <v>2018</v>
      </c>
      <c r="D2277" t="s">
        <v>11</v>
      </c>
      <c r="E2277">
        <v>200</v>
      </c>
      <c r="F2277">
        <v>24000000</v>
      </c>
    </row>
    <row r="2278" spans="1:6" hidden="1" x14ac:dyDescent="0.3">
      <c r="A2278">
        <v>2277</v>
      </c>
      <c r="B2278" t="s">
        <v>16</v>
      </c>
      <c r="C2278">
        <v>2018</v>
      </c>
      <c r="D2278" t="s">
        <v>9</v>
      </c>
      <c r="E2278">
        <v>11728</v>
      </c>
      <c r="F2278">
        <v>10000000</v>
      </c>
    </row>
    <row r="2279" spans="1:6" hidden="1" x14ac:dyDescent="0.3">
      <c r="A2279">
        <v>2278</v>
      </c>
      <c r="B2279" t="s">
        <v>16</v>
      </c>
      <c r="C2279">
        <v>2018</v>
      </c>
      <c r="D2279" t="s">
        <v>11</v>
      </c>
      <c r="E2279">
        <v>500000</v>
      </c>
      <c r="F2279">
        <v>775000000</v>
      </c>
    </row>
    <row r="2280" spans="1:6" hidden="1" x14ac:dyDescent="0.3">
      <c r="A2280">
        <v>2279</v>
      </c>
      <c r="B2280" t="s">
        <v>16</v>
      </c>
      <c r="C2280">
        <v>2018</v>
      </c>
      <c r="D2280" t="s">
        <v>11</v>
      </c>
      <c r="E2280">
        <v>10000</v>
      </c>
      <c r="F2280">
        <v>100000000</v>
      </c>
    </row>
    <row r="2281" spans="1:6" hidden="1" x14ac:dyDescent="0.3">
      <c r="A2281">
        <v>2280</v>
      </c>
      <c r="B2281" t="s">
        <v>16</v>
      </c>
      <c r="C2281">
        <v>2018</v>
      </c>
      <c r="D2281" t="s">
        <v>7</v>
      </c>
      <c r="E2281">
        <v>8200000</v>
      </c>
      <c r="F2281">
        <v>1100000000</v>
      </c>
    </row>
    <row r="2282" spans="1:6" hidden="1" x14ac:dyDescent="0.3">
      <c r="A2282">
        <v>2281</v>
      </c>
      <c r="B2282" t="s">
        <v>16</v>
      </c>
      <c r="C2282">
        <v>2018</v>
      </c>
      <c r="D2282" t="s">
        <v>9</v>
      </c>
      <c r="E2282">
        <v>0</v>
      </c>
      <c r="F2282">
        <v>0</v>
      </c>
    </row>
    <row r="2283" spans="1:6" hidden="1" x14ac:dyDescent="0.3">
      <c r="A2283">
        <v>2282</v>
      </c>
      <c r="B2283" t="s">
        <v>16</v>
      </c>
      <c r="C2283">
        <v>2018</v>
      </c>
      <c r="D2283" t="s">
        <v>9</v>
      </c>
      <c r="E2283">
        <v>4945</v>
      </c>
      <c r="F2283">
        <v>2500000</v>
      </c>
    </row>
    <row r="2284" spans="1:6" hidden="1" x14ac:dyDescent="0.3">
      <c r="A2284">
        <v>2283</v>
      </c>
      <c r="B2284" t="s">
        <v>16</v>
      </c>
      <c r="C2284">
        <v>2018</v>
      </c>
      <c r="D2284" t="s">
        <v>9</v>
      </c>
      <c r="E2284">
        <v>1545</v>
      </c>
      <c r="F2284">
        <v>0</v>
      </c>
    </row>
    <row r="2285" spans="1:6" hidden="1" x14ac:dyDescent="0.3">
      <c r="A2285">
        <v>2284</v>
      </c>
      <c r="B2285" t="s">
        <v>16</v>
      </c>
      <c r="C2285">
        <v>2018</v>
      </c>
      <c r="D2285" t="s">
        <v>9</v>
      </c>
      <c r="E2285">
        <v>41430</v>
      </c>
      <c r="F2285">
        <v>0</v>
      </c>
    </row>
    <row r="2286" spans="1:6" hidden="1" x14ac:dyDescent="0.3">
      <c r="A2286">
        <v>2285</v>
      </c>
      <c r="B2286" t="s">
        <v>16</v>
      </c>
      <c r="C2286">
        <v>2018</v>
      </c>
      <c r="D2286" t="s">
        <v>9</v>
      </c>
      <c r="E2286">
        <v>25000</v>
      </c>
      <c r="F2286">
        <v>0</v>
      </c>
    </row>
    <row r="2287" spans="1:6" hidden="1" x14ac:dyDescent="0.3">
      <c r="A2287">
        <v>2286</v>
      </c>
      <c r="B2287" t="s">
        <v>16</v>
      </c>
      <c r="C2287">
        <v>2018</v>
      </c>
      <c r="D2287" t="s">
        <v>9</v>
      </c>
      <c r="E2287">
        <v>3050</v>
      </c>
      <c r="F2287">
        <v>0</v>
      </c>
    </row>
    <row r="2288" spans="1:6" hidden="1" x14ac:dyDescent="0.3">
      <c r="A2288">
        <v>2287</v>
      </c>
      <c r="B2288" t="s">
        <v>18</v>
      </c>
      <c r="C2288">
        <v>2018</v>
      </c>
      <c r="D2288" t="s">
        <v>14</v>
      </c>
      <c r="E2288">
        <v>5042</v>
      </c>
      <c r="F2288">
        <v>10000000</v>
      </c>
    </row>
    <row r="2289" spans="1:6" hidden="1" x14ac:dyDescent="0.3">
      <c r="A2289">
        <v>2288</v>
      </c>
      <c r="B2289" t="s">
        <v>18</v>
      </c>
      <c r="C2289">
        <v>2018</v>
      </c>
      <c r="D2289" t="s">
        <v>14</v>
      </c>
      <c r="E2289">
        <v>13255</v>
      </c>
      <c r="F2289">
        <v>0</v>
      </c>
    </row>
    <row r="2290" spans="1:6" hidden="1" x14ac:dyDescent="0.3">
      <c r="A2290">
        <v>2289</v>
      </c>
      <c r="B2290" t="s">
        <v>18</v>
      </c>
      <c r="C2290">
        <v>2018</v>
      </c>
      <c r="D2290" t="s">
        <v>14</v>
      </c>
      <c r="E2290">
        <v>716</v>
      </c>
      <c r="F2290">
        <v>10000000</v>
      </c>
    </row>
    <row r="2291" spans="1:6" hidden="1" x14ac:dyDescent="0.3">
      <c r="A2291">
        <v>2290</v>
      </c>
      <c r="B2291" t="s">
        <v>34</v>
      </c>
      <c r="C2291">
        <v>2018</v>
      </c>
      <c r="D2291" t="s">
        <v>9</v>
      </c>
      <c r="E2291">
        <v>0</v>
      </c>
      <c r="F2291">
        <v>0</v>
      </c>
    </row>
    <row r="2292" spans="1:6" hidden="1" x14ac:dyDescent="0.3">
      <c r="A2292">
        <v>2291</v>
      </c>
      <c r="B2292" t="s">
        <v>34</v>
      </c>
      <c r="C2292">
        <v>2018</v>
      </c>
      <c r="D2292" t="s">
        <v>9</v>
      </c>
      <c r="E2292">
        <v>211188</v>
      </c>
      <c r="F2292">
        <v>350000000</v>
      </c>
    </row>
    <row r="2293" spans="1:6" hidden="1" x14ac:dyDescent="0.3">
      <c r="A2293">
        <v>2292</v>
      </c>
      <c r="B2293" t="s">
        <v>17</v>
      </c>
      <c r="C2293">
        <v>2018</v>
      </c>
      <c r="D2293" t="s">
        <v>9</v>
      </c>
      <c r="E2293">
        <v>75000</v>
      </c>
      <c r="F2293">
        <v>0</v>
      </c>
    </row>
    <row r="2294" spans="1:6" hidden="1" x14ac:dyDescent="0.3">
      <c r="A2294">
        <v>2293</v>
      </c>
      <c r="B2294" t="s">
        <v>21</v>
      </c>
      <c r="C2294">
        <v>2018</v>
      </c>
      <c r="D2294" t="s">
        <v>14</v>
      </c>
      <c r="E2294">
        <v>3004</v>
      </c>
      <c r="F2294">
        <v>0</v>
      </c>
    </row>
    <row r="2295" spans="1:6" hidden="1" x14ac:dyDescent="0.3">
      <c r="A2295">
        <v>2294</v>
      </c>
      <c r="B2295" t="s">
        <v>21</v>
      </c>
      <c r="C2295">
        <v>2018</v>
      </c>
      <c r="D2295" t="s">
        <v>9</v>
      </c>
      <c r="E2295">
        <v>120</v>
      </c>
      <c r="F2295">
        <v>0</v>
      </c>
    </row>
    <row r="2296" spans="1:6" hidden="1" x14ac:dyDescent="0.3">
      <c r="A2296">
        <v>2295</v>
      </c>
      <c r="B2296" t="s">
        <v>21</v>
      </c>
      <c r="C2296">
        <v>2018</v>
      </c>
      <c r="D2296" t="s">
        <v>11</v>
      </c>
      <c r="E2296">
        <v>10000</v>
      </c>
      <c r="F2296">
        <v>536800000</v>
      </c>
    </row>
    <row r="2297" spans="1:6" hidden="1" x14ac:dyDescent="0.3">
      <c r="A2297">
        <v>2296</v>
      </c>
      <c r="B2297" t="s">
        <v>45</v>
      </c>
      <c r="C2297">
        <v>2018</v>
      </c>
      <c r="D2297" t="s">
        <v>9</v>
      </c>
      <c r="E2297">
        <v>109650</v>
      </c>
      <c r="F2297">
        <v>0</v>
      </c>
    </row>
    <row r="2298" spans="1:6" hidden="1" x14ac:dyDescent="0.3">
      <c r="A2298">
        <v>2297</v>
      </c>
      <c r="B2298" t="s">
        <v>30</v>
      </c>
      <c r="C2298">
        <v>2018</v>
      </c>
      <c r="D2298" t="s">
        <v>9</v>
      </c>
      <c r="E2298">
        <v>77150</v>
      </c>
      <c r="F2298">
        <v>5100000</v>
      </c>
    </row>
    <row r="2299" spans="1:6" hidden="1" x14ac:dyDescent="0.3">
      <c r="A2299">
        <v>2298</v>
      </c>
      <c r="B2299" t="s">
        <v>32</v>
      </c>
      <c r="C2299">
        <v>2018</v>
      </c>
      <c r="D2299" t="s">
        <v>9</v>
      </c>
      <c r="E2299">
        <v>130468</v>
      </c>
      <c r="F2299">
        <v>0</v>
      </c>
    </row>
    <row r="2300" spans="1:6" hidden="1" x14ac:dyDescent="0.3">
      <c r="A2300">
        <v>2299</v>
      </c>
      <c r="B2300" t="s">
        <v>24</v>
      </c>
      <c r="C2300">
        <v>2018</v>
      </c>
      <c r="D2300" t="s">
        <v>7</v>
      </c>
      <c r="E2300">
        <v>300000</v>
      </c>
      <c r="F2300">
        <v>0</v>
      </c>
    </row>
    <row r="2301" spans="1:6" hidden="1" x14ac:dyDescent="0.3">
      <c r="A2301">
        <v>2300</v>
      </c>
      <c r="B2301" t="s">
        <v>33</v>
      </c>
      <c r="C2301">
        <v>2018</v>
      </c>
      <c r="D2301" t="s">
        <v>9</v>
      </c>
      <c r="E2301">
        <v>1406</v>
      </c>
      <c r="F2301">
        <v>0</v>
      </c>
    </row>
    <row r="2302" spans="1:6" hidden="1" x14ac:dyDescent="0.3">
      <c r="A2302">
        <v>2301</v>
      </c>
      <c r="B2302" t="s">
        <v>35</v>
      </c>
      <c r="C2302">
        <v>2018</v>
      </c>
      <c r="D2302" t="s">
        <v>9</v>
      </c>
      <c r="E2302">
        <v>0</v>
      </c>
      <c r="F2302">
        <v>0</v>
      </c>
    </row>
    <row r="2303" spans="1:6" hidden="1" x14ac:dyDescent="0.3">
      <c r="A2303">
        <v>2302</v>
      </c>
      <c r="B2303" t="s">
        <v>36</v>
      </c>
      <c r="C2303">
        <v>2018</v>
      </c>
      <c r="D2303" t="s">
        <v>14</v>
      </c>
      <c r="E2303">
        <v>9319</v>
      </c>
      <c r="F2303">
        <v>0</v>
      </c>
    </row>
    <row r="2304" spans="1:6" hidden="1" x14ac:dyDescent="0.3">
      <c r="A2304">
        <v>2303</v>
      </c>
      <c r="B2304" t="s">
        <v>37</v>
      </c>
      <c r="C2304">
        <v>2018</v>
      </c>
      <c r="D2304" t="s">
        <v>11</v>
      </c>
      <c r="E2304">
        <v>83917</v>
      </c>
      <c r="F2304">
        <v>12292000</v>
      </c>
    </row>
    <row r="2305" spans="1:6" hidden="1" x14ac:dyDescent="0.3">
      <c r="A2305">
        <v>2304</v>
      </c>
      <c r="B2305" t="s">
        <v>37</v>
      </c>
      <c r="C2305">
        <v>2018</v>
      </c>
      <c r="D2305" t="s">
        <v>11</v>
      </c>
      <c r="E2305">
        <v>1709511</v>
      </c>
      <c r="F2305">
        <v>19000000</v>
      </c>
    </row>
    <row r="2306" spans="1:6" hidden="1" x14ac:dyDescent="0.3">
      <c r="A2306">
        <v>2305</v>
      </c>
      <c r="B2306" t="s">
        <v>37</v>
      </c>
      <c r="C2306">
        <v>2018</v>
      </c>
      <c r="D2306" t="s">
        <v>9</v>
      </c>
      <c r="E2306">
        <v>180000</v>
      </c>
      <c r="F2306">
        <v>0</v>
      </c>
    </row>
    <row r="2307" spans="1:6" hidden="1" x14ac:dyDescent="0.3">
      <c r="A2307">
        <v>2306</v>
      </c>
      <c r="B2307" t="s">
        <v>39</v>
      </c>
      <c r="C2307">
        <v>2018</v>
      </c>
      <c r="D2307" t="s">
        <v>9</v>
      </c>
      <c r="E2307">
        <v>1200</v>
      </c>
      <c r="F2307">
        <v>0</v>
      </c>
    </row>
    <row r="2308" spans="1:6" hidden="1" x14ac:dyDescent="0.3">
      <c r="A2308">
        <v>2307</v>
      </c>
      <c r="B2308" t="s">
        <v>22</v>
      </c>
      <c r="C2308">
        <v>2019</v>
      </c>
      <c r="D2308" t="s">
        <v>9</v>
      </c>
      <c r="E2308">
        <v>0</v>
      </c>
      <c r="F2308">
        <v>0</v>
      </c>
    </row>
    <row r="2309" spans="1:6" hidden="1" x14ac:dyDescent="0.3">
      <c r="A2309">
        <v>2308</v>
      </c>
      <c r="B2309" t="s">
        <v>36</v>
      </c>
      <c r="C2309">
        <v>2019</v>
      </c>
      <c r="D2309" t="s">
        <v>9</v>
      </c>
      <c r="E2309">
        <v>8379</v>
      </c>
      <c r="F2309">
        <v>0</v>
      </c>
    </row>
    <row r="2310" spans="1:6" hidden="1" x14ac:dyDescent="0.3">
      <c r="A2310">
        <v>2309</v>
      </c>
      <c r="B2310" t="s">
        <v>16</v>
      </c>
      <c r="C2310">
        <v>2019</v>
      </c>
      <c r="D2310" t="s">
        <v>11</v>
      </c>
      <c r="E2310">
        <v>0</v>
      </c>
      <c r="F2310">
        <v>0</v>
      </c>
    </row>
    <row r="2311" spans="1:6" hidden="1" x14ac:dyDescent="0.3">
      <c r="A2311">
        <v>2310</v>
      </c>
      <c r="B2311" t="s">
        <v>21</v>
      </c>
      <c r="C2311">
        <v>2019</v>
      </c>
      <c r="D2311" t="s">
        <v>9</v>
      </c>
      <c r="E2311">
        <v>3000</v>
      </c>
      <c r="F2311">
        <v>0</v>
      </c>
    </row>
    <row r="2312" spans="1:6" hidden="1" x14ac:dyDescent="0.3">
      <c r="A2312">
        <v>2311</v>
      </c>
      <c r="B2312" t="s">
        <v>39</v>
      </c>
      <c r="C2312">
        <v>2019</v>
      </c>
      <c r="D2312" t="s">
        <v>9</v>
      </c>
      <c r="E2312">
        <v>362</v>
      </c>
      <c r="F2312">
        <v>0</v>
      </c>
    </row>
    <row r="2313" spans="1:6" hidden="1" x14ac:dyDescent="0.3">
      <c r="A2313">
        <v>2312</v>
      </c>
      <c r="B2313" t="s">
        <v>20</v>
      </c>
      <c r="C2313">
        <v>2019</v>
      </c>
      <c r="D2313" t="s">
        <v>9</v>
      </c>
      <c r="E2313">
        <v>2650</v>
      </c>
      <c r="F2313">
        <v>0</v>
      </c>
    </row>
    <row r="2314" spans="1:6" hidden="1" x14ac:dyDescent="0.3">
      <c r="A2314">
        <v>2313</v>
      </c>
      <c r="B2314" t="s">
        <v>20</v>
      </c>
      <c r="C2314">
        <v>2019</v>
      </c>
      <c r="D2314" t="s">
        <v>9</v>
      </c>
      <c r="E2314">
        <v>168397</v>
      </c>
      <c r="F2314">
        <v>0</v>
      </c>
    </row>
    <row r="2315" spans="1:6" hidden="1" x14ac:dyDescent="0.3">
      <c r="A2315">
        <v>2314</v>
      </c>
      <c r="B2315" t="s">
        <v>20</v>
      </c>
      <c r="C2315">
        <v>2019</v>
      </c>
      <c r="D2315" t="s">
        <v>9</v>
      </c>
      <c r="E2315">
        <v>13002</v>
      </c>
      <c r="F2315">
        <v>15000000</v>
      </c>
    </row>
    <row r="2316" spans="1:6" hidden="1" x14ac:dyDescent="0.3">
      <c r="A2316">
        <v>2315</v>
      </c>
      <c r="B2316" t="s">
        <v>16</v>
      </c>
      <c r="C2316">
        <v>2019</v>
      </c>
      <c r="D2316" t="s">
        <v>9</v>
      </c>
      <c r="E2316">
        <v>3000000</v>
      </c>
      <c r="F2316">
        <v>10000000000</v>
      </c>
    </row>
    <row r="2317" spans="1:6" hidden="1" x14ac:dyDescent="0.3">
      <c r="A2317">
        <v>2316</v>
      </c>
      <c r="B2317" t="s">
        <v>18</v>
      </c>
      <c r="C2317">
        <v>2019</v>
      </c>
      <c r="D2317" t="s">
        <v>9</v>
      </c>
      <c r="E2317">
        <v>10001076</v>
      </c>
      <c r="F2317">
        <v>2500000000</v>
      </c>
    </row>
    <row r="2318" spans="1:6" hidden="1" x14ac:dyDescent="0.3">
      <c r="A2318">
        <v>2317</v>
      </c>
      <c r="B2318" t="s">
        <v>30</v>
      </c>
      <c r="C2318">
        <v>2019</v>
      </c>
      <c r="D2318" t="s">
        <v>11</v>
      </c>
      <c r="E2318">
        <v>1501500</v>
      </c>
      <c r="F2318">
        <v>2000000000</v>
      </c>
    </row>
    <row r="2319" spans="1:6" hidden="1" x14ac:dyDescent="0.3">
      <c r="A2319">
        <v>2318</v>
      </c>
      <c r="B2319" t="s">
        <v>33</v>
      </c>
      <c r="C2319">
        <v>2019</v>
      </c>
      <c r="D2319" t="s">
        <v>9</v>
      </c>
      <c r="E2319">
        <v>82541</v>
      </c>
      <c r="F2319">
        <v>204000000</v>
      </c>
    </row>
    <row r="2320" spans="1:6" hidden="1" x14ac:dyDescent="0.3">
      <c r="A2320">
        <v>2319</v>
      </c>
      <c r="B2320" t="s">
        <v>35</v>
      </c>
      <c r="C2320">
        <v>2019</v>
      </c>
      <c r="D2320" t="s">
        <v>9</v>
      </c>
      <c r="E2320">
        <v>22</v>
      </c>
      <c r="F2320">
        <v>0</v>
      </c>
    </row>
    <row r="2321" spans="1:6" hidden="1" x14ac:dyDescent="0.3">
      <c r="A2321">
        <v>2320</v>
      </c>
      <c r="B2321" t="s">
        <v>36</v>
      </c>
      <c r="C2321">
        <v>2019</v>
      </c>
      <c r="D2321" t="s">
        <v>9</v>
      </c>
      <c r="E2321">
        <v>0</v>
      </c>
      <c r="F2321">
        <v>0</v>
      </c>
    </row>
    <row r="2322" spans="1:6" hidden="1" x14ac:dyDescent="0.3">
      <c r="A2322">
        <v>2321</v>
      </c>
      <c r="B2322" t="s">
        <v>20</v>
      </c>
      <c r="C2322">
        <v>2019</v>
      </c>
      <c r="D2322" t="s">
        <v>14</v>
      </c>
      <c r="E2322">
        <v>11804</v>
      </c>
      <c r="F2322">
        <v>0</v>
      </c>
    </row>
    <row r="2323" spans="1:6" hidden="1" x14ac:dyDescent="0.3">
      <c r="A2323">
        <v>2322</v>
      </c>
      <c r="B2323" t="s">
        <v>16</v>
      </c>
      <c r="C2323">
        <v>2019</v>
      </c>
      <c r="D2323" t="s">
        <v>9</v>
      </c>
      <c r="E2323">
        <v>60</v>
      </c>
      <c r="F2323">
        <v>0</v>
      </c>
    </row>
    <row r="2324" spans="1:6" hidden="1" x14ac:dyDescent="0.3">
      <c r="A2324">
        <v>2323</v>
      </c>
      <c r="B2324" t="s">
        <v>16</v>
      </c>
      <c r="C2324">
        <v>2019</v>
      </c>
      <c r="D2324" t="s">
        <v>11</v>
      </c>
      <c r="E2324">
        <v>0</v>
      </c>
      <c r="F2324">
        <v>0</v>
      </c>
    </row>
    <row r="2325" spans="1:6" hidden="1" x14ac:dyDescent="0.3">
      <c r="A2325">
        <v>2324</v>
      </c>
      <c r="B2325" t="s">
        <v>34</v>
      </c>
      <c r="C2325">
        <v>2019</v>
      </c>
      <c r="D2325" t="s">
        <v>7</v>
      </c>
      <c r="E2325">
        <v>2600000</v>
      </c>
      <c r="F2325">
        <v>0</v>
      </c>
    </row>
    <row r="2326" spans="1:6" hidden="1" x14ac:dyDescent="0.3">
      <c r="A2326">
        <v>2325</v>
      </c>
      <c r="B2326" t="s">
        <v>35</v>
      </c>
      <c r="C2326">
        <v>2019</v>
      </c>
      <c r="D2326" t="s">
        <v>7</v>
      </c>
      <c r="E2326">
        <v>4680912</v>
      </c>
      <c r="F2326">
        <v>0</v>
      </c>
    </row>
    <row r="2327" spans="1:6" hidden="1" x14ac:dyDescent="0.3">
      <c r="A2327">
        <v>2326</v>
      </c>
      <c r="B2327" t="s">
        <v>27</v>
      </c>
      <c r="C2327">
        <v>2019</v>
      </c>
      <c r="D2327" t="s">
        <v>9</v>
      </c>
      <c r="E2327">
        <v>3108</v>
      </c>
      <c r="F2327">
        <v>0</v>
      </c>
    </row>
    <row r="2328" spans="1:6" hidden="1" x14ac:dyDescent="0.3">
      <c r="A2328">
        <v>2327</v>
      </c>
      <c r="B2328" t="s">
        <v>20</v>
      </c>
      <c r="C2328">
        <v>2019</v>
      </c>
      <c r="D2328" t="s">
        <v>14</v>
      </c>
      <c r="E2328">
        <v>1763</v>
      </c>
      <c r="F2328">
        <v>0</v>
      </c>
    </row>
    <row r="2329" spans="1:6" hidden="1" x14ac:dyDescent="0.3">
      <c r="A2329">
        <v>2328</v>
      </c>
      <c r="B2329" t="s">
        <v>20</v>
      </c>
      <c r="C2329">
        <v>2019</v>
      </c>
      <c r="D2329" t="s">
        <v>14</v>
      </c>
      <c r="E2329">
        <v>1295</v>
      </c>
      <c r="F2329">
        <v>0</v>
      </c>
    </row>
    <row r="2330" spans="1:6" hidden="1" x14ac:dyDescent="0.3">
      <c r="A2330">
        <v>2329</v>
      </c>
      <c r="B2330" t="s">
        <v>20</v>
      </c>
      <c r="C2330">
        <v>2019</v>
      </c>
      <c r="D2330" t="s">
        <v>9</v>
      </c>
      <c r="E2330">
        <v>59540</v>
      </c>
      <c r="F2330">
        <v>103000000</v>
      </c>
    </row>
    <row r="2331" spans="1:6" hidden="1" x14ac:dyDescent="0.3">
      <c r="A2331">
        <v>2330</v>
      </c>
      <c r="B2331" t="s">
        <v>20</v>
      </c>
      <c r="C2331">
        <v>2019</v>
      </c>
      <c r="D2331" t="s">
        <v>9</v>
      </c>
      <c r="E2331">
        <v>2258</v>
      </c>
      <c r="F2331">
        <v>0</v>
      </c>
    </row>
    <row r="2332" spans="1:6" hidden="1" x14ac:dyDescent="0.3">
      <c r="A2332">
        <v>2331</v>
      </c>
      <c r="B2332" t="s">
        <v>20</v>
      </c>
      <c r="C2332">
        <v>2019</v>
      </c>
      <c r="D2332" t="s">
        <v>9</v>
      </c>
      <c r="E2332">
        <v>52000</v>
      </c>
      <c r="F2332">
        <v>0</v>
      </c>
    </row>
    <row r="2333" spans="1:6" hidden="1" x14ac:dyDescent="0.3">
      <c r="A2333">
        <v>2332</v>
      </c>
      <c r="B2333" t="s">
        <v>20</v>
      </c>
      <c r="C2333">
        <v>2019</v>
      </c>
      <c r="D2333" t="s">
        <v>9</v>
      </c>
      <c r="E2333">
        <v>55495</v>
      </c>
      <c r="F2333">
        <v>0</v>
      </c>
    </row>
    <row r="2334" spans="1:6" hidden="1" x14ac:dyDescent="0.3">
      <c r="A2334">
        <v>2333</v>
      </c>
      <c r="B2334" t="s">
        <v>16</v>
      </c>
      <c r="C2334">
        <v>2019</v>
      </c>
      <c r="D2334" t="s">
        <v>11</v>
      </c>
      <c r="E2334">
        <v>0</v>
      </c>
      <c r="F2334">
        <v>0</v>
      </c>
    </row>
    <row r="2335" spans="1:6" hidden="1" x14ac:dyDescent="0.3">
      <c r="A2335">
        <v>2334</v>
      </c>
      <c r="B2335" t="s">
        <v>16</v>
      </c>
      <c r="C2335">
        <v>2019</v>
      </c>
      <c r="D2335" t="s">
        <v>11</v>
      </c>
      <c r="E2335">
        <v>20000000</v>
      </c>
      <c r="F2335">
        <v>1810000000</v>
      </c>
    </row>
    <row r="2336" spans="1:6" hidden="1" x14ac:dyDescent="0.3">
      <c r="A2336">
        <v>2335</v>
      </c>
      <c r="B2336" t="s">
        <v>18</v>
      </c>
      <c r="C2336">
        <v>2019</v>
      </c>
      <c r="D2336" t="s">
        <v>14</v>
      </c>
      <c r="E2336">
        <v>2100</v>
      </c>
      <c r="F2336">
        <v>0</v>
      </c>
    </row>
    <row r="2337" spans="1:6" hidden="1" x14ac:dyDescent="0.3">
      <c r="A2337">
        <v>2336</v>
      </c>
      <c r="B2337" t="s">
        <v>18</v>
      </c>
      <c r="C2337">
        <v>2019</v>
      </c>
      <c r="D2337" t="s">
        <v>9</v>
      </c>
      <c r="E2337">
        <v>20</v>
      </c>
      <c r="F2337">
        <v>80000000</v>
      </c>
    </row>
    <row r="2338" spans="1:6" hidden="1" x14ac:dyDescent="0.3">
      <c r="A2338">
        <v>2337</v>
      </c>
      <c r="B2338" t="s">
        <v>22</v>
      </c>
      <c r="C2338">
        <v>2019</v>
      </c>
      <c r="D2338" t="s">
        <v>11</v>
      </c>
      <c r="E2338">
        <v>1100</v>
      </c>
      <c r="F2338">
        <v>0</v>
      </c>
    </row>
    <row r="2339" spans="1:6" hidden="1" x14ac:dyDescent="0.3">
      <c r="A2339">
        <v>2338</v>
      </c>
      <c r="B2339" t="s">
        <v>21</v>
      </c>
      <c r="C2339">
        <v>2019</v>
      </c>
      <c r="D2339" t="s">
        <v>9</v>
      </c>
      <c r="E2339">
        <v>142</v>
      </c>
      <c r="F2339">
        <v>0</v>
      </c>
    </row>
    <row r="2340" spans="1:6" hidden="1" x14ac:dyDescent="0.3">
      <c r="A2340">
        <v>2339</v>
      </c>
      <c r="B2340" t="s">
        <v>30</v>
      </c>
      <c r="C2340">
        <v>2019</v>
      </c>
      <c r="D2340" t="s">
        <v>11</v>
      </c>
      <c r="E2340">
        <v>400094</v>
      </c>
      <c r="F2340">
        <v>230000000</v>
      </c>
    </row>
    <row r="2341" spans="1:6" hidden="1" x14ac:dyDescent="0.3">
      <c r="A2341">
        <v>2340</v>
      </c>
      <c r="B2341" t="s">
        <v>30</v>
      </c>
      <c r="C2341">
        <v>2019</v>
      </c>
      <c r="D2341" t="s">
        <v>9</v>
      </c>
      <c r="E2341">
        <v>0</v>
      </c>
      <c r="F2341">
        <v>0</v>
      </c>
    </row>
    <row r="2342" spans="1:6" hidden="1" x14ac:dyDescent="0.3">
      <c r="A2342">
        <v>2341</v>
      </c>
      <c r="B2342" t="s">
        <v>30</v>
      </c>
      <c r="C2342">
        <v>2019</v>
      </c>
      <c r="D2342" t="s">
        <v>9</v>
      </c>
      <c r="E2342">
        <v>63000</v>
      </c>
      <c r="F2342">
        <v>0</v>
      </c>
    </row>
    <row r="2343" spans="1:6" hidden="1" x14ac:dyDescent="0.3">
      <c r="A2343">
        <v>2342</v>
      </c>
      <c r="B2343" t="s">
        <v>33</v>
      </c>
      <c r="C2343">
        <v>2019</v>
      </c>
      <c r="D2343" t="s">
        <v>11</v>
      </c>
      <c r="E2343">
        <v>14854</v>
      </c>
      <c r="F2343">
        <v>0</v>
      </c>
    </row>
    <row r="2344" spans="1:6" hidden="1" x14ac:dyDescent="0.3">
      <c r="A2344">
        <v>2343</v>
      </c>
      <c r="B2344" t="s">
        <v>35</v>
      </c>
      <c r="C2344">
        <v>2019</v>
      </c>
      <c r="D2344" t="s">
        <v>9</v>
      </c>
      <c r="E2344">
        <v>0</v>
      </c>
      <c r="F2344">
        <v>0</v>
      </c>
    </row>
    <row r="2345" spans="1:6" hidden="1" x14ac:dyDescent="0.3">
      <c r="A2345">
        <v>2344</v>
      </c>
      <c r="B2345" t="s">
        <v>35</v>
      </c>
      <c r="C2345">
        <v>2019</v>
      </c>
      <c r="D2345" t="s">
        <v>11</v>
      </c>
      <c r="E2345">
        <v>135</v>
      </c>
      <c r="F2345">
        <v>0</v>
      </c>
    </row>
    <row r="2346" spans="1:6" hidden="1" x14ac:dyDescent="0.3">
      <c r="A2346">
        <v>2345</v>
      </c>
      <c r="B2346" t="s">
        <v>36</v>
      </c>
      <c r="C2346">
        <v>2019</v>
      </c>
      <c r="D2346" t="s">
        <v>14</v>
      </c>
      <c r="E2346">
        <v>4272</v>
      </c>
      <c r="F2346">
        <v>0</v>
      </c>
    </row>
    <row r="2347" spans="1:6" hidden="1" x14ac:dyDescent="0.3">
      <c r="A2347">
        <v>2346</v>
      </c>
      <c r="B2347" t="s">
        <v>37</v>
      </c>
      <c r="C2347">
        <v>2019</v>
      </c>
      <c r="D2347" t="s">
        <v>14</v>
      </c>
      <c r="E2347">
        <v>15555</v>
      </c>
      <c r="F2347">
        <v>50000000</v>
      </c>
    </row>
    <row r="2348" spans="1:6" hidden="1" x14ac:dyDescent="0.3">
      <c r="A2348">
        <v>2347</v>
      </c>
      <c r="B2348" t="s">
        <v>37</v>
      </c>
      <c r="C2348">
        <v>2019</v>
      </c>
      <c r="D2348" t="s">
        <v>11</v>
      </c>
      <c r="E2348">
        <v>13160</v>
      </c>
      <c r="F2348">
        <v>0</v>
      </c>
    </row>
    <row r="2349" spans="1:6" hidden="1" x14ac:dyDescent="0.3">
      <c r="A2349">
        <v>2348</v>
      </c>
      <c r="B2349" t="s">
        <v>37</v>
      </c>
      <c r="C2349">
        <v>2019</v>
      </c>
      <c r="D2349" t="s">
        <v>7</v>
      </c>
      <c r="E2349">
        <v>16000</v>
      </c>
      <c r="F2349">
        <v>0</v>
      </c>
    </row>
    <row r="2350" spans="1:6" hidden="1" x14ac:dyDescent="0.3">
      <c r="A2350">
        <v>2349</v>
      </c>
      <c r="B2350" t="s">
        <v>37</v>
      </c>
      <c r="C2350">
        <v>2019</v>
      </c>
      <c r="D2350" t="s">
        <v>9</v>
      </c>
      <c r="E2350">
        <v>45000</v>
      </c>
      <c r="F2350">
        <v>0</v>
      </c>
    </row>
    <row r="2351" spans="1:6" hidden="1" x14ac:dyDescent="0.3">
      <c r="A2351">
        <v>2350</v>
      </c>
      <c r="B2351" t="s">
        <v>43</v>
      </c>
      <c r="C2351">
        <v>2015</v>
      </c>
      <c r="D2351" t="s">
        <v>11</v>
      </c>
      <c r="E2351">
        <v>0</v>
      </c>
      <c r="F2351">
        <v>12800000</v>
      </c>
    </row>
    <row r="2352" spans="1:6" hidden="1" x14ac:dyDescent="0.3">
      <c r="A2352">
        <v>2351</v>
      </c>
      <c r="B2352" t="s">
        <v>43</v>
      </c>
      <c r="C2352">
        <v>2016</v>
      </c>
      <c r="D2352" t="s">
        <v>11</v>
      </c>
      <c r="E2352">
        <v>11090</v>
      </c>
      <c r="F2352">
        <v>157000</v>
      </c>
    </row>
    <row r="2353" spans="1:6" hidden="1" x14ac:dyDescent="0.3">
      <c r="A2353">
        <v>2352</v>
      </c>
      <c r="B2353" t="s">
        <v>43</v>
      </c>
      <c r="C2353">
        <v>2016</v>
      </c>
      <c r="D2353" t="s">
        <v>9</v>
      </c>
      <c r="E2353">
        <v>509</v>
      </c>
      <c r="F2353">
        <v>0</v>
      </c>
    </row>
    <row r="2354" spans="1:6" hidden="1" x14ac:dyDescent="0.3">
      <c r="A2354">
        <v>2353</v>
      </c>
      <c r="B2354" t="s">
        <v>43</v>
      </c>
      <c r="C2354">
        <v>2016</v>
      </c>
      <c r="D2354" t="s">
        <v>11</v>
      </c>
      <c r="E2354">
        <v>610000</v>
      </c>
      <c r="F2354">
        <v>350000000</v>
      </c>
    </row>
    <row r="2355" spans="1:6" hidden="1" x14ac:dyDescent="0.3">
      <c r="A2355">
        <v>2354</v>
      </c>
      <c r="B2355" t="s">
        <v>43</v>
      </c>
      <c r="C2355">
        <v>2016</v>
      </c>
      <c r="D2355" t="s">
        <v>11</v>
      </c>
      <c r="E2355">
        <v>182500</v>
      </c>
      <c r="F2355">
        <v>144000000</v>
      </c>
    </row>
    <row r="2356" spans="1:6" hidden="1" x14ac:dyDescent="0.3">
      <c r="A2356">
        <v>2355</v>
      </c>
      <c r="B2356" t="s">
        <v>43</v>
      </c>
      <c r="C2356">
        <v>2016</v>
      </c>
      <c r="D2356" t="s">
        <v>9</v>
      </c>
      <c r="E2356">
        <v>659615</v>
      </c>
      <c r="F2356">
        <v>104280000</v>
      </c>
    </row>
    <row r="2357" spans="1:6" hidden="1" x14ac:dyDescent="0.3">
      <c r="A2357">
        <v>2356</v>
      </c>
      <c r="B2357" t="s">
        <v>43</v>
      </c>
      <c r="C2357">
        <v>2016</v>
      </c>
      <c r="D2357" t="s">
        <v>9</v>
      </c>
      <c r="E2357">
        <v>562121</v>
      </c>
      <c r="F2357">
        <v>35000000</v>
      </c>
    </row>
    <row r="2358" spans="1:6" hidden="1" x14ac:dyDescent="0.3">
      <c r="A2358">
        <v>2357</v>
      </c>
      <c r="B2358" t="s">
        <v>43</v>
      </c>
      <c r="C2358">
        <v>2016</v>
      </c>
      <c r="D2358" t="s">
        <v>9</v>
      </c>
      <c r="E2358">
        <v>206340</v>
      </c>
      <c r="F2358">
        <v>22000000</v>
      </c>
    </row>
    <row r="2359" spans="1:6" hidden="1" x14ac:dyDescent="0.3">
      <c r="A2359">
        <v>2358</v>
      </c>
      <c r="B2359" t="s">
        <v>38</v>
      </c>
      <c r="C2359">
        <v>2016</v>
      </c>
      <c r="D2359" t="s">
        <v>9</v>
      </c>
      <c r="E2359">
        <v>600</v>
      </c>
      <c r="F2359">
        <v>100000000</v>
      </c>
    </row>
    <row r="2360" spans="1:6" x14ac:dyDescent="0.3">
      <c r="A2360">
        <v>2359</v>
      </c>
      <c r="B2360" t="s">
        <v>42</v>
      </c>
      <c r="C2360">
        <v>2017</v>
      </c>
      <c r="D2360" t="s">
        <v>9</v>
      </c>
      <c r="E2360">
        <v>700</v>
      </c>
      <c r="F2360">
        <v>0</v>
      </c>
    </row>
    <row r="2361" spans="1:6" hidden="1" x14ac:dyDescent="0.3">
      <c r="A2361">
        <v>2360</v>
      </c>
      <c r="B2361" t="s">
        <v>38</v>
      </c>
      <c r="C2361">
        <v>2017</v>
      </c>
      <c r="D2361" t="s">
        <v>11</v>
      </c>
      <c r="E2361">
        <v>6918</v>
      </c>
      <c r="F2361">
        <v>283000000</v>
      </c>
    </row>
    <row r="2362" spans="1:6" hidden="1" x14ac:dyDescent="0.3">
      <c r="A2362">
        <v>2361</v>
      </c>
      <c r="B2362" t="s">
        <v>40</v>
      </c>
      <c r="C2362">
        <v>2017</v>
      </c>
      <c r="D2362" t="s">
        <v>11</v>
      </c>
      <c r="E2362">
        <v>584</v>
      </c>
      <c r="F2362">
        <v>0</v>
      </c>
    </row>
    <row r="2363" spans="1:6" hidden="1" x14ac:dyDescent="0.3">
      <c r="A2363">
        <v>2362</v>
      </c>
      <c r="B2363" t="s">
        <v>43</v>
      </c>
      <c r="C2363">
        <v>2017</v>
      </c>
      <c r="D2363" t="s">
        <v>9</v>
      </c>
      <c r="E2363">
        <v>4161</v>
      </c>
      <c r="F2363">
        <v>88000000</v>
      </c>
    </row>
    <row r="2364" spans="1:6" hidden="1" x14ac:dyDescent="0.3">
      <c r="A2364">
        <v>2363</v>
      </c>
      <c r="B2364" t="s">
        <v>43</v>
      </c>
      <c r="C2364">
        <v>2017</v>
      </c>
      <c r="D2364" t="s">
        <v>9</v>
      </c>
      <c r="E2364">
        <v>4104</v>
      </c>
      <c r="F2364">
        <v>355000</v>
      </c>
    </row>
    <row r="2365" spans="1:6" hidden="1" x14ac:dyDescent="0.3">
      <c r="A2365">
        <v>2364</v>
      </c>
      <c r="B2365" t="s">
        <v>43</v>
      </c>
      <c r="C2365">
        <v>2017</v>
      </c>
      <c r="D2365" t="s">
        <v>9</v>
      </c>
      <c r="E2365">
        <v>400</v>
      </c>
      <c r="F2365">
        <v>1300000</v>
      </c>
    </row>
    <row r="2366" spans="1:6" hidden="1" x14ac:dyDescent="0.3">
      <c r="A2366">
        <v>2365</v>
      </c>
      <c r="B2366" t="s">
        <v>43</v>
      </c>
      <c r="C2366">
        <v>2017</v>
      </c>
      <c r="D2366" t="s">
        <v>9</v>
      </c>
      <c r="E2366">
        <v>40038</v>
      </c>
      <c r="F2366">
        <v>88000000</v>
      </c>
    </row>
    <row r="2367" spans="1:6" hidden="1" x14ac:dyDescent="0.3">
      <c r="A2367">
        <v>2366</v>
      </c>
      <c r="B2367" t="s">
        <v>43</v>
      </c>
      <c r="C2367">
        <v>2017</v>
      </c>
      <c r="D2367" t="s">
        <v>11</v>
      </c>
      <c r="E2367">
        <v>4330000</v>
      </c>
      <c r="F2367">
        <v>1000000000</v>
      </c>
    </row>
    <row r="2368" spans="1:6" hidden="1" x14ac:dyDescent="0.3">
      <c r="A2368">
        <v>2367</v>
      </c>
      <c r="B2368" t="s">
        <v>38</v>
      </c>
      <c r="C2368">
        <v>2017</v>
      </c>
      <c r="D2368" t="s">
        <v>11</v>
      </c>
      <c r="E2368">
        <v>518</v>
      </c>
      <c r="F2368">
        <v>320000000</v>
      </c>
    </row>
    <row r="2369" spans="1:6" hidden="1" x14ac:dyDescent="0.3">
      <c r="A2369">
        <v>2368</v>
      </c>
      <c r="B2369" t="s">
        <v>43</v>
      </c>
      <c r="C2369">
        <v>2017</v>
      </c>
      <c r="D2369" t="s">
        <v>11</v>
      </c>
      <c r="E2369">
        <v>21000</v>
      </c>
      <c r="F2369">
        <v>71000000</v>
      </c>
    </row>
    <row r="2370" spans="1:6" hidden="1" x14ac:dyDescent="0.3">
      <c r="A2370">
        <v>2369</v>
      </c>
      <c r="B2370" t="s">
        <v>43</v>
      </c>
      <c r="C2370">
        <v>2017</v>
      </c>
      <c r="D2370" t="s">
        <v>11</v>
      </c>
      <c r="E2370">
        <v>1</v>
      </c>
      <c r="F2370">
        <v>1430000000</v>
      </c>
    </row>
    <row r="2371" spans="1:6" hidden="1" x14ac:dyDescent="0.3">
      <c r="A2371">
        <v>2370</v>
      </c>
      <c r="B2371" t="s">
        <v>43</v>
      </c>
      <c r="C2371">
        <v>2017</v>
      </c>
      <c r="D2371" t="s">
        <v>11</v>
      </c>
      <c r="E2371">
        <v>692012</v>
      </c>
      <c r="F2371">
        <v>484000000</v>
      </c>
    </row>
    <row r="2372" spans="1:6" hidden="1" x14ac:dyDescent="0.3">
      <c r="A2372">
        <v>2371</v>
      </c>
      <c r="B2372" t="s">
        <v>43</v>
      </c>
      <c r="C2372">
        <v>2017</v>
      </c>
      <c r="D2372" t="s">
        <v>9</v>
      </c>
      <c r="E2372">
        <v>41500</v>
      </c>
      <c r="F2372">
        <v>0</v>
      </c>
    </row>
    <row r="2373" spans="1:6" hidden="1" x14ac:dyDescent="0.3">
      <c r="A2373">
        <v>2372</v>
      </c>
      <c r="B2373" t="s">
        <v>46</v>
      </c>
      <c r="C2373">
        <v>2017</v>
      </c>
      <c r="D2373" t="s">
        <v>9</v>
      </c>
      <c r="E2373">
        <v>8</v>
      </c>
      <c r="F2373">
        <v>0</v>
      </c>
    </row>
    <row r="2374" spans="1:6" hidden="1" x14ac:dyDescent="0.3">
      <c r="A2374">
        <v>2373</v>
      </c>
      <c r="B2374" t="s">
        <v>38</v>
      </c>
      <c r="C2374">
        <v>2017</v>
      </c>
      <c r="D2374" t="s">
        <v>7</v>
      </c>
      <c r="E2374">
        <v>0</v>
      </c>
      <c r="F2374">
        <v>1200000000</v>
      </c>
    </row>
    <row r="2375" spans="1:6" hidden="1" x14ac:dyDescent="0.3">
      <c r="A2375">
        <v>2374</v>
      </c>
      <c r="B2375" t="s">
        <v>38</v>
      </c>
      <c r="C2375">
        <v>2017</v>
      </c>
      <c r="D2375" t="s">
        <v>9</v>
      </c>
      <c r="E2375">
        <v>200</v>
      </c>
      <c r="F2375">
        <v>0</v>
      </c>
    </row>
    <row r="2376" spans="1:6" hidden="1" x14ac:dyDescent="0.3">
      <c r="A2376">
        <v>2375</v>
      </c>
      <c r="B2376" t="s">
        <v>43</v>
      </c>
      <c r="C2376">
        <v>2018</v>
      </c>
      <c r="D2376" t="s">
        <v>11</v>
      </c>
      <c r="E2376">
        <v>96000</v>
      </c>
      <c r="F2376">
        <v>220000000</v>
      </c>
    </row>
    <row r="2377" spans="1:6" hidden="1" x14ac:dyDescent="0.3">
      <c r="A2377">
        <v>2376</v>
      </c>
      <c r="B2377" t="s">
        <v>43</v>
      </c>
      <c r="C2377">
        <v>2018</v>
      </c>
      <c r="D2377" t="s">
        <v>11</v>
      </c>
      <c r="E2377">
        <v>50000</v>
      </c>
      <c r="F2377">
        <v>2000000</v>
      </c>
    </row>
    <row r="2378" spans="1:6" hidden="1" x14ac:dyDescent="0.3">
      <c r="A2378">
        <v>2377</v>
      </c>
      <c r="B2378" t="s">
        <v>40</v>
      </c>
      <c r="C2378">
        <v>2018</v>
      </c>
      <c r="D2378" t="s">
        <v>9</v>
      </c>
      <c r="E2378">
        <v>7099</v>
      </c>
      <c r="F2378">
        <v>0</v>
      </c>
    </row>
    <row r="2379" spans="1:6" hidden="1" x14ac:dyDescent="0.3">
      <c r="A2379">
        <v>2378</v>
      </c>
      <c r="B2379" t="s">
        <v>43</v>
      </c>
      <c r="C2379">
        <v>2018</v>
      </c>
      <c r="D2379" t="s">
        <v>9</v>
      </c>
      <c r="E2379">
        <v>16728</v>
      </c>
      <c r="F2379">
        <v>23000000</v>
      </c>
    </row>
    <row r="2380" spans="1:6" hidden="1" x14ac:dyDescent="0.3">
      <c r="A2380">
        <v>2379</v>
      </c>
      <c r="B2380" t="s">
        <v>43</v>
      </c>
      <c r="C2380">
        <v>2018</v>
      </c>
      <c r="D2380" t="s">
        <v>9</v>
      </c>
      <c r="E2380">
        <v>6000</v>
      </c>
      <c r="F2380">
        <v>0</v>
      </c>
    </row>
    <row r="2381" spans="1:6" hidden="1" x14ac:dyDescent="0.3">
      <c r="A2381">
        <v>2380</v>
      </c>
      <c r="B2381" t="s">
        <v>40</v>
      </c>
      <c r="C2381">
        <v>2018</v>
      </c>
      <c r="D2381" t="s">
        <v>7</v>
      </c>
      <c r="E2381">
        <v>386610</v>
      </c>
      <c r="F2381">
        <v>37000000</v>
      </c>
    </row>
    <row r="2382" spans="1:6" hidden="1" x14ac:dyDescent="0.3">
      <c r="A2382">
        <v>2381</v>
      </c>
      <c r="B2382" t="s">
        <v>41</v>
      </c>
      <c r="C2382">
        <v>2018</v>
      </c>
      <c r="D2382" t="s">
        <v>11</v>
      </c>
      <c r="E2382">
        <v>228000</v>
      </c>
      <c r="F2382">
        <v>0</v>
      </c>
    </row>
    <row r="2383" spans="1:6" hidden="1" x14ac:dyDescent="0.3">
      <c r="A2383">
        <v>2382</v>
      </c>
      <c r="B2383" t="s">
        <v>43</v>
      </c>
      <c r="C2383">
        <v>2018</v>
      </c>
      <c r="D2383" t="s">
        <v>11</v>
      </c>
      <c r="E2383">
        <v>0</v>
      </c>
      <c r="F2383">
        <v>0</v>
      </c>
    </row>
    <row r="2384" spans="1:6" hidden="1" x14ac:dyDescent="0.3">
      <c r="A2384">
        <v>2383</v>
      </c>
      <c r="B2384" t="s">
        <v>46</v>
      </c>
      <c r="C2384">
        <v>2018</v>
      </c>
      <c r="D2384" t="s">
        <v>11</v>
      </c>
      <c r="E2384">
        <v>750</v>
      </c>
      <c r="F2384">
        <v>0</v>
      </c>
    </row>
    <row r="2385" spans="1:6" hidden="1" x14ac:dyDescent="0.3">
      <c r="A2385">
        <v>2384</v>
      </c>
      <c r="B2385" t="s">
        <v>46</v>
      </c>
      <c r="C2385">
        <v>2018</v>
      </c>
      <c r="D2385" t="s">
        <v>11</v>
      </c>
      <c r="E2385">
        <v>15124</v>
      </c>
      <c r="F2385">
        <v>0</v>
      </c>
    </row>
    <row r="2386" spans="1:6" hidden="1" x14ac:dyDescent="0.3">
      <c r="A2386">
        <v>2385</v>
      </c>
      <c r="B2386" t="s">
        <v>40</v>
      </c>
      <c r="C2386">
        <v>2018</v>
      </c>
      <c r="D2386" t="s">
        <v>14</v>
      </c>
      <c r="E2386">
        <v>2499</v>
      </c>
      <c r="F2386">
        <v>0</v>
      </c>
    </row>
    <row r="2387" spans="1:6" hidden="1" x14ac:dyDescent="0.3">
      <c r="A2387">
        <v>2386</v>
      </c>
      <c r="B2387" t="s">
        <v>41</v>
      </c>
      <c r="C2387">
        <v>2018</v>
      </c>
      <c r="D2387" t="s">
        <v>9</v>
      </c>
      <c r="E2387">
        <v>700000</v>
      </c>
      <c r="F2387">
        <v>80000000</v>
      </c>
    </row>
    <row r="2388" spans="1:6" x14ac:dyDescent="0.3">
      <c r="A2388">
        <v>2387</v>
      </c>
      <c r="B2388" t="s">
        <v>42</v>
      </c>
      <c r="C2388">
        <v>2018</v>
      </c>
      <c r="D2388" t="s">
        <v>9</v>
      </c>
      <c r="E2388">
        <v>5725</v>
      </c>
      <c r="F2388">
        <v>0</v>
      </c>
    </row>
    <row r="2389" spans="1:6" hidden="1" x14ac:dyDescent="0.3">
      <c r="A2389">
        <v>2388</v>
      </c>
      <c r="B2389" t="s">
        <v>43</v>
      </c>
      <c r="C2389">
        <v>2018</v>
      </c>
      <c r="D2389" t="s">
        <v>9</v>
      </c>
      <c r="E2389">
        <v>105000</v>
      </c>
      <c r="F2389">
        <v>25000000</v>
      </c>
    </row>
    <row r="2390" spans="1:6" hidden="1" x14ac:dyDescent="0.3">
      <c r="A2390">
        <v>2389</v>
      </c>
      <c r="B2390" t="s">
        <v>43</v>
      </c>
      <c r="C2390">
        <v>2018</v>
      </c>
      <c r="D2390" t="s">
        <v>11</v>
      </c>
      <c r="E2390">
        <v>10028</v>
      </c>
      <c r="F2390">
        <v>17200000</v>
      </c>
    </row>
    <row r="2391" spans="1:6" hidden="1" x14ac:dyDescent="0.3">
      <c r="A2391">
        <v>2390</v>
      </c>
      <c r="B2391" t="s">
        <v>8</v>
      </c>
      <c r="C2391">
        <v>2019</v>
      </c>
      <c r="D2391" t="s">
        <v>9</v>
      </c>
      <c r="E2391">
        <v>7600000</v>
      </c>
      <c r="F2391">
        <v>75000000</v>
      </c>
    </row>
    <row r="2392" spans="1:6" hidden="1" x14ac:dyDescent="0.3">
      <c r="A2392">
        <v>2391</v>
      </c>
      <c r="B2392" t="s">
        <v>40</v>
      </c>
      <c r="C2392">
        <v>2019</v>
      </c>
      <c r="D2392" t="s">
        <v>14</v>
      </c>
      <c r="E2392">
        <v>160</v>
      </c>
      <c r="F2392">
        <v>0</v>
      </c>
    </row>
    <row r="2393" spans="1:6" x14ac:dyDescent="0.3">
      <c r="A2393">
        <v>2392</v>
      </c>
      <c r="B2393" t="s">
        <v>42</v>
      </c>
      <c r="C2393">
        <v>2019</v>
      </c>
      <c r="D2393" t="s">
        <v>9</v>
      </c>
      <c r="E2393">
        <v>6750</v>
      </c>
      <c r="F2393">
        <v>0</v>
      </c>
    </row>
    <row r="2394" spans="1:6" hidden="1" x14ac:dyDescent="0.3">
      <c r="A2394">
        <v>2393</v>
      </c>
      <c r="B2394" t="s">
        <v>43</v>
      </c>
      <c r="C2394">
        <v>2019</v>
      </c>
      <c r="D2394" t="s">
        <v>9</v>
      </c>
      <c r="E2394">
        <v>265</v>
      </c>
      <c r="F2394">
        <v>0</v>
      </c>
    </row>
    <row r="2395" spans="1:6" hidden="1" x14ac:dyDescent="0.3">
      <c r="A2395">
        <v>2394</v>
      </c>
      <c r="B2395" t="s">
        <v>38</v>
      </c>
      <c r="C2395">
        <v>2019</v>
      </c>
      <c r="D2395" t="s">
        <v>9</v>
      </c>
      <c r="E2395">
        <v>1000</v>
      </c>
      <c r="F2395">
        <v>50000000</v>
      </c>
    </row>
    <row r="2396" spans="1:6" hidden="1" x14ac:dyDescent="0.3">
      <c r="A2396">
        <v>2395</v>
      </c>
      <c r="B2396" t="s">
        <v>47</v>
      </c>
      <c r="C2396">
        <v>2019</v>
      </c>
      <c r="D2396" t="s">
        <v>9</v>
      </c>
      <c r="E2396">
        <v>250000</v>
      </c>
      <c r="F2396">
        <v>0</v>
      </c>
    </row>
    <row r="2397" spans="1:6" hidden="1" x14ac:dyDescent="0.3">
      <c r="A2397">
        <v>2396</v>
      </c>
      <c r="B2397" t="s">
        <v>38</v>
      </c>
      <c r="C2397">
        <v>2019</v>
      </c>
      <c r="D2397" t="s">
        <v>9</v>
      </c>
      <c r="E2397">
        <v>0</v>
      </c>
      <c r="F2397">
        <v>0</v>
      </c>
    </row>
    <row r="2398" spans="1:6" hidden="1" x14ac:dyDescent="0.3">
      <c r="A2398">
        <v>2397</v>
      </c>
      <c r="B2398" t="s">
        <v>41</v>
      </c>
      <c r="C2398">
        <v>2019</v>
      </c>
      <c r="D2398" t="s">
        <v>7</v>
      </c>
      <c r="E2398">
        <v>1500000</v>
      </c>
      <c r="F2398">
        <v>0</v>
      </c>
    </row>
    <row r="2399" spans="1:6" hidden="1" x14ac:dyDescent="0.3">
      <c r="A2399">
        <v>2398</v>
      </c>
      <c r="B2399" t="s">
        <v>46</v>
      </c>
      <c r="C2399">
        <v>2019</v>
      </c>
      <c r="D2399" t="s">
        <v>9</v>
      </c>
      <c r="E2399">
        <v>80000</v>
      </c>
      <c r="F2399">
        <v>0</v>
      </c>
    </row>
    <row r="2400" spans="1:6" hidden="1" x14ac:dyDescent="0.3">
      <c r="A2400">
        <v>2399</v>
      </c>
      <c r="B2400" t="s">
        <v>46</v>
      </c>
      <c r="C2400">
        <v>2019</v>
      </c>
      <c r="D2400" t="s">
        <v>9</v>
      </c>
      <c r="E2400">
        <v>0</v>
      </c>
      <c r="F2400">
        <v>0</v>
      </c>
    </row>
    <row r="2401" spans="1:6" hidden="1" x14ac:dyDescent="0.3">
      <c r="A2401">
        <v>2400</v>
      </c>
      <c r="B2401" t="s">
        <v>38</v>
      </c>
      <c r="C2401">
        <v>2019</v>
      </c>
      <c r="D2401" t="s">
        <v>9</v>
      </c>
      <c r="E2401">
        <v>0</v>
      </c>
      <c r="F2401">
        <v>0</v>
      </c>
    </row>
    <row r="2402" spans="1:6" hidden="1" x14ac:dyDescent="0.3">
      <c r="A2402">
        <v>2401</v>
      </c>
      <c r="B2402" t="s">
        <v>12</v>
      </c>
      <c r="C2402">
        <v>2019</v>
      </c>
      <c r="D2402" t="s">
        <v>9</v>
      </c>
      <c r="E2402">
        <v>11190</v>
      </c>
      <c r="F2402">
        <v>0</v>
      </c>
    </row>
    <row r="2403" spans="1:6" hidden="1" x14ac:dyDescent="0.3">
      <c r="A2403">
        <v>2402</v>
      </c>
      <c r="B2403" t="s">
        <v>8</v>
      </c>
      <c r="C2403">
        <v>2019</v>
      </c>
      <c r="D2403" t="s">
        <v>11</v>
      </c>
      <c r="E2403">
        <v>251506</v>
      </c>
      <c r="F2403">
        <v>5785000</v>
      </c>
    </row>
    <row r="2404" spans="1:6" hidden="1" x14ac:dyDescent="0.3">
      <c r="A2404">
        <v>2403</v>
      </c>
      <c r="B2404" t="s">
        <v>6</v>
      </c>
      <c r="C2404">
        <v>2020</v>
      </c>
      <c r="D2404" t="s">
        <v>11</v>
      </c>
      <c r="E2404">
        <v>7481</v>
      </c>
      <c r="F2404">
        <v>0</v>
      </c>
    </row>
    <row r="2405" spans="1:6" hidden="1" x14ac:dyDescent="0.3">
      <c r="A2405">
        <v>2404</v>
      </c>
      <c r="B2405" t="s">
        <v>8</v>
      </c>
      <c r="C2405">
        <v>2020</v>
      </c>
      <c r="D2405" t="s">
        <v>9</v>
      </c>
      <c r="E2405">
        <v>5448271</v>
      </c>
      <c r="F2405">
        <v>500000000</v>
      </c>
    </row>
    <row r="2406" spans="1:6" hidden="1" x14ac:dyDescent="0.3">
      <c r="A2406">
        <v>2405</v>
      </c>
      <c r="B2406" t="s">
        <v>10</v>
      </c>
      <c r="C2406">
        <v>2020</v>
      </c>
      <c r="D2406" t="s">
        <v>9</v>
      </c>
      <c r="E2406">
        <v>15000</v>
      </c>
      <c r="F2406">
        <v>0</v>
      </c>
    </row>
    <row r="2407" spans="1:6" hidden="1" x14ac:dyDescent="0.3">
      <c r="A2407">
        <v>2406</v>
      </c>
      <c r="B2407" t="s">
        <v>12</v>
      </c>
      <c r="C2407">
        <v>2020</v>
      </c>
      <c r="D2407" t="s">
        <v>7</v>
      </c>
      <c r="E2407">
        <v>1643316</v>
      </c>
      <c r="F2407">
        <v>0</v>
      </c>
    </row>
    <row r="2408" spans="1:6" hidden="1" x14ac:dyDescent="0.3">
      <c r="A2408">
        <v>2407</v>
      </c>
      <c r="B2408" t="s">
        <v>6</v>
      </c>
      <c r="C2408">
        <v>2020</v>
      </c>
      <c r="D2408" t="s">
        <v>9</v>
      </c>
      <c r="E2408">
        <v>18031</v>
      </c>
      <c r="F2408">
        <v>0</v>
      </c>
    </row>
    <row r="2409" spans="1:6" hidden="1" x14ac:dyDescent="0.3">
      <c r="A2409">
        <v>2408</v>
      </c>
      <c r="B2409" t="s">
        <v>6</v>
      </c>
      <c r="C2409">
        <v>2020</v>
      </c>
      <c r="D2409" t="s">
        <v>9</v>
      </c>
      <c r="E2409">
        <v>5500</v>
      </c>
      <c r="F2409">
        <v>0</v>
      </c>
    </row>
    <row r="2410" spans="1:6" hidden="1" x14ac:dyDescent="0.3">
      <c r="A2410">
        <v>2409</v>
      </c>
      <c r="B2410" t="s">
        <v>6</v>
      </c>
      <c r="C2410">
        <v>2020</v>
      </c>
      <c r="D2410" t="s">
        <v>9</v>
      </c>
      <c r="E2410">
        <v>100</v>
      </c>
      <c r="F2410">
        <v>0</v>
      </c>
    </row>
    <row r="2411" spans="1:6" hidden="1" x14ac:dyDescent="0.3">
      <c r="A2411">
        <v>2410</v>
      </c>
      <c r="B2411" t="s">
        <v>6</v>
      </c>
      <c r="C2411">
        <v>2020</v>
      </c>
      <c r="D2411" t="s">
        <v>9</v>
      </c>
      <c r="E2411">
        <v>20445</v>
      </c>
      <c r="F2411">
        <v>0</v>
      </c>
    </row>
    <row r="2412" spans="1:6" hidden="1" x14ac:dyDescent="0.3">
      <c r="A2412">
        <v>2411</v>
      </c>
      <c r="B2412" t="s">
        <v>6</v>
      </c>
      <c r="C2412">
        <v>2020</v>
      </c>
      <c r="D2412" t="s">
        <v>9</v>
      </c>
      <c r="E2412">
        <v>0</v>
      </c>
      <c r="F2412">
        <v>0</v>
      </c>
    </row>
    <row r="2413" spans="1:6" hidden="1" x14ac:dyDescent="0.3">
      <c r="A2413">
        <v>2412</v>
      </c>
      <c r="B2413" t="s">
        <v>12</v>
      </c>
      <c r="C2413">
        <v>2020</v>
      </c>
      <c r="D2413" t="s">
        <v>9</v>
      </c>
      <c r="E2413">
        <v>10600</v>
      </c>
      <c r="F2413">
        <v>0</v>
      </c>
    </row>
    <row r="2414" spans="1:6" hidden="1" x14ac:dyDescent="0.3">
      <c r="A2414">
        <v>2413</v>
      </c>
      <c r="B2414" t="s">
        <v>12</v>
      </c>
      <c r="C2414">
        <v>2020</v>
      </c>
      <c r="D2414" t="s">
        <v>9</v>
      </c>
      <c r="E2414">
        <v>10000</v>
      </c>
      <c r="F2414">
        <v>0</v>
      </c>
    </row>
    <row r="2415" spans="1:6" hidden="1" x14ac:dyDescent="0.3">
      <c r="A2415">
        <v>2414</v>
      </c>
      <c r="B2415" t="s">
        <v>8</v>
      </c>
      <c r="C2415">
        <v>2020</v>
      </c>
      <c r="D2415" t="s">
        <v>11</v>
      </c>
      <c r="E2415">
        <v>2600000</v>
      </c>
      <c r="F2415">
        <v>1500000000</v>
      </c>
    </row>
    <row r="2416" spans="1:6" hidden="1" x14ac:dyDescent="0.3">
      <c r="A2416">
        <v>2415</v>
      </c>
      <c r="B2416" t="s">
        <v>44</v>
      </c>
      <c r="C2416">
        <v>2020</v>
      </c>
      <c r="D2416" t="s">
        <v>11</v>
      </c>
      <c r="E2416">
        <v>25000</v>
      </c>
      <c r="F2416">
        <v>0</v>
      </c>
    </row>
    <row r="2417" spans="1:6" hidden="1" x14ac:dyDescent="0.3">
      <c r="A2417">
        <v>2416</v>
      </c>
      <c r="B2417" t="s">
        <v>47</v>
      </c>
      <c r="C2417">
        <v>2020</v>
      </c>
      <c r="D2417" t="s">
        <v>9</v>
      </c>
      <c r="E2417">
        <v>110000</v>
      </c>
      <c r="F2417">
        <v>0</v>
      </c>
    </row>
    <row r="2418" spans="1:6" hidden="1" x14ac:dyDescent="0.3">
      <c r="A2418">
        <v>2417</v>
      </c>
      <c r="B2418" t="s">
        <v>25</v>
      </c>
      <c r="C2418">
        <v>2020</v>
      </c>
      <c r="D2418" t="s">
        <v>14</v>
      </c>
      <c r="E2418">
        <v>15000</v>
      </c>
      <c r="F2418">
        <v>0</v>
      </c>
    </row>
    <row r="2419" spans="1:6" hidden="1" x14ac:dyDescent="0.3">
      <c r="A2419">
        <v>2418</v>
      </c>
      <c r="B2419" t="s">
        <v>8</v>
      </c>
      <c r="C2419">
        <v>2021</v>
      </c>
      <c r="D2419" t="s">
        <v>9</v>
      </c>
      <c r="E2419">
        <v>268744</v>
      </c>
      <c r="F2419">
        <v>0</v>
      </c>
    </row>
    <row r="2420" spans="1:6" hidden="1" x14ac:dyDescent="0.3">
      <c r="A2420">
        <v>2419</v>
      </c>
      <c r="B2420" t="s">
        <v>10</v>
      </c>
      <c r="C2420">
        <v>2021</v>
      </c>
      <c r="D2420" t="s">
        <v>9</v>
      </c>
      <c r="E2420">
        <v>250000</v>
      </c>
      <c r="F2420">
        <v>0</v>
      </c>
    </row>
    <row r="2421" spans="1:6" hidden="1" x14ac:dyDescent="0.3">
      <c r="A2421">
        <v>2420</v>
      </c>
      <c r="B2421" t="s">
        <v>6</v>
      </c>
      <c r="C2421">
        <v>2021</v>
      </c>
      <c r="D2421" t="s">
        <v>7</v>
      </c>
      <c r="E2421">
        <v>11000000</v>
      </c>
      <c r="F2421">
        <v>0</v>
      </c>
    </row>
    <row r="2422" spans="1:6" hidden="1" x14ac:dyDescent="0.3">
      <c r="A2422">
        <v>2421</v>
      </c>
      <c r="B2422" t="s">
        <v>25</v>
      </c>
      <c r="C2422">
        <v>2021</v>
      </c>
      <c r="D2422" t="s">
        <v>9</v>
      </c>
      <c r="E2422">
        <v>420</v>
      </c>
      <c r="F2422">
        <v>0</v>
      </c>
    </row>
    <row r="2423" spans="1:6" hidden="1" x14ac:dyDescent="0.3">
      <c r="A2423">
        <v>2422</v>
      </c>
      <c r="B2423" t="s">
        <v>6</v>
      </c>
      <c r="C2423">
        <v>2021</v>
      </c>
      <c r="D2423" t="s">
        <v>9</v>
      </c>
      <c r="E2423">
        <v>30833</v>
      </c>
      <c r="F2423">
        <v>0</v>
      </c>
    </row>
    <row r="2424" spans="1:6" hidden="1" x14ac:dyDescent="0.3">
      <c r="A2424">
        <v>2423</v>
      </c>
      <c r="B2424" t="s">
        <v>6</v>
      </c>
      <c r="C2424">
        <v>2021</v>
      </c>
      <c r="D2424" t="s">
        <v>9</v>
      </c>
      <c r="E2424">
        <v>4200</v>
      </c>
      <c r="F2424">
        <v>0</v>
      </c>
    </row>
    <row r="2425" spans="1:6" hidden="1" x14ac:dyDescent="0.3">
      <c r="A2425">
        <v>2424</v>
      </c>
      <c r="B2425" t="s">
        <v>12</v>
      </c>
      <c r="C2425">
        <v>2021</v>
      </c>
      <c r="D2425" t="s">
        <v>9</v>
      </c>
      <c r="E2425">
        <v>1770</v>
      </c>
      <c r="F2425">
        <v>0</v>
      </c>
    </row>
    <row r="2426" spans="1:6" hidden="1" x14ac:dyDescent="0.3">
      <c r="A2426">
        <v>2425</v>
      </c>
      <c r="B2426" t="s">
        <v>12</v>
      </c>
      <c r="C2426">
        <v>2021</v>
      </c>
      <c r="D2426" t="s">
        <v>9</v>
      </c>
      <c r="E2426">
        <v>8167</v>
      </c>
      <c r="F2426">
        <v>0</v>
      </c>
    </row>
    <row r="2427" spans="1:6" hidden="1" x14ac:dyDescent="0.3">
      <c r="A2427">
        <v>2426</v>
      </c>
      <c r="B2427" t="s">
        <v>8</v>
      </c>
      <c r="C2427">
        <v>2021</v>
      </c>
      <c r="D2427" t="s">
        <v>11</v>
      </c>
      <c r="E2427">
        <v>1300000</v>
      </c>
      <c r="F2427">
        <v>0</v>
      </c>
    </row>
    <row r="2428" spans="1:6" hidden="1" x14ac:dyDescent="0.3">
      <c r="A2428">
        <v>2427</v>
      </c>
      <c r="B2428" t="s">
        <v>15</v>
      </c>
      <c r="C2428">
        <v>2021</v>
      </c>
      <c r="D2428" t="s">
        <v>9</v>
      </c>
      <c r="E2428">
        <v>25</v>
      </c>
      <c r="F2428">
        <v>0</v>
      </c>
    </row>
    <row r="2429" spans="1:6" hidden="1" x14ac:dyDescent="0.3">
      <c r="A2429">
        <v>2428</v>
      </c>
      <c r="B2429" t="s">
        <v>44</v>
      </c>
      <c r="C2429">
        <v>2021</v>
      </c>
      <c r="D2429" t="s">
        <v>9</v>
      </c>
      <c r="E2429">
        <v>200000</v>
      </c>
      <c r="F2429">
        <v>0</v>
      </c>
    </row>
    <row r="2430" spans="1:6" hidden="1" x14ac:dyDescent="0.3">
      <c r="A2430">
        <v>2429</v>
      </c>
      <c r="B2430" t="s">
        <v>25</v>
      </c>
      <c r="C2430">
        <v>2021</v>
      </c>
      <c r="D2430" t="s">
        <v>9</v>
      </c>
      <c r="E2430">
        <v>2500</v>
      </c>
      <c r="F2430">
        <v>0</v>
      </c>
    </row>
    <row r="2431" spans="1:6" hidden="1" x14ac:dyDescent="0.3">
      <c r="A2431">
        <v>2430</v>
      </c>
      <c r="B2431" t="s">
        <v>6</v>
      </c>
      <c r="C2431">
        <v>2022</v>
      </c>
      <c r="D2431" t="s">
        <v>14</v>
      </c>
      <c r="E2431">
        <v>4004</v>
      </c>
      <c r="F2431">
        <v>0</v>
      </c>
    </row>
    <row r="2432" spans="1:6" hidden="1" x14ac:dyDescent="0.3">
      <c r="A2432">
        <v>2431</v>
      </c>
      <c r="B2432" t="s">
        <v>19</v>
      </c>
      <c r="C2432">
        <v>2019</v>
      </c>
      <c r="D2432" t="s">
        <v>11</v>
      </c>
      <c r="E2432">
        <v>15000</v>
      </c>
      <c r="F2432">
        <v>0</v>
      </c>
    </row>
    <row r="2433" spans="1:6" hidden="1" x14ac:dyDescent="0.3">
      <c r="A2433">
        <v>2432</v>
      </c>
      <c r="B2433" t="s">
        <v>22</v>
      </c>
      <c r="C2433">
        <v>2019</v>
      </c>
      <c r="D2433" t="s">
        <v>11</v>
      </c>
      <c r="E2433">
        <v>20293</v>
      </c>
      <c r="F2433">
        <v>25000000</v>
      </c>
    </row>
    <row r="2434" spans="1:6" hidden="1" x14ac:dyDescent="0.3">
      <c r="A2434">
        <v>2433</v>
      </c>
      <c r="B2434" t="s">
        <v>19</v>
      </c>
      <c r="C2434">
        <v>2019</v>
      </c>
      <c r="D2434" t="s">
        <v>11</v>
      </c>
      <c r="E2434">
        <v>63453</v>
      </c>
      <c r="F2434">
        <v>0</v>
      </c>
    </row>
    <row r="2435" spans="1:6" hidden="1" x14ac:dyDescent="0.3">
      <c r="A2435">
        <v>2434</v>
      </c>
      <c r="B2435" t="s">
        <v>20</v>
      </c>
      <c r="C2435">
        <v>2019</v>
      </c>
      <c r="D2435" t="s">
        <v>9</v>
      </c>
      <c r="E2435">
        <v>501110</v>
      </c>
      <c r="F2435">
        <v>1200000000</v>
      </c>
    </row>
    <row r="2436" spans="1:6" hidden="1" x14ac:dyDescent="0.3">
      <c r="A2436">
        <v>2435</v>
      </c>
      <c r="B2436" t="s">
        <v>20</v>
      </c>
      <c r="C2436">
        <v>2019</v>
      </c>
      <c r="D2436" t="s">
        <v>9</v>
      </c>
      <c r="E2436">
        <v>60000</v>
      </c>
      <c r="F2436">
        <v>0</v>
      </c>
    </row>
    <row r="2437" spans="1:6" hidden="1" x14ac:dyDescent="0.3">
      <c r="A2437">
        <v>2436</v>
      </c>
      <c r="B2437" t="s">
        <v>16</v>
      </c>
      <c r="C2437">
        <v>2019</v>
      </c>
      <c r="D2437" t="s">
        <v>9</v>
      </c>
      <c r="E2437">
        <v>27500</v>
      </c>
      <c r="F2437">
        <v>0</v>
      </c>
    </row>
    <row r="2438" spans="1:6" hidden="1" x14ac:dyDescent="0.3">
      <c r="A2438">
        <v>2437</v>
      </c>
      <c r="B2438" t="s">
        <v>34</v>
      </c>
      <c r="C2438">
        <v>2019</v>
      </c>
      <c r="D2438" t="s">
        <v>9</v>
      </c>
      <c r="E2438">
        <v>233339</v>
      </c>
      <c r="F2438">
        <v>0</v>
      </c>
    </row>
    <row r="2439" spans="1:6" hidden="1" x14ac:dyDescent="0.3">
      <c r="A2439">
        <v>2438</v>
      </c>
      <c r="B2439" t="s">
        <v>17</v>
      </c>
      <c r="C2439">
        <v>2019</v>
      </c>
      <c r="D2439" t="s">
        <v>9</v>
      </c>
      <c r="E2439">
        <v>136607</v>
      </c>
      <c r="F2439">
        <v>0</v>
      </c>
    </row>
    <row r="2440" spans="1:6" hidden="1" x14ac:dyDescent="0.3">
      <c r="A2440">
        <v>2439</v>
      </c>
      <c r="B2440" t="s">
        <v>17</v>
      </c>
      <c r="C2440">
        <v>2019</v>
      </c>
      <c r="D2440" t="s">
        <v>9</v>
      </c>
      <c r="E2440">
        <v>8200</v>
      </c>
      <c r="F2440">
        <v>0</v>
      </c>
    </row>
    <row r="2441" spans="1:6" hidden="1" x14ac:dyDescent="0.3">
      <c r="A2441">
        <v>2440</v>
      </c>
      <c r="B2441" t="s">
        <v>17</v>
      </c>
      <c r="C2441">
        <v>2019</v>
      </c>
      <c r="D2441" t="s">
        <v>9</v>
      </c>
      <c r="E2441">
        <v>155009</v>
      </c>
      <c r="F2441">
        <v>0</v>
      </c>
    </row>
    <row r="2442" spans="1:6" hidden="1" x14ac:dyDescent="0.3">
      <c r="A2442">
        <v>2441</v>
      </c>
      <c r="B2442" t="s">
        <v>45</v>
      </c>
      <c r="C2442">
        <v>2019</v>
      </c>
      <c r="D2442" t="s">
        <v>9</v>
      </c>
      <c r="E2442">
        <v>1875</v>
      </c>
      <c r="F2442">
        <v>0</v>
      </c>
    </row>
    <row r="2443" spans="1:6" hidden="1" x14ac:dyDescent="0.3">
      <c r="A2443">
        <v>2442</v>
      </c>
      <c r="B2443" t="s">
        <v>35</v>
      </c>
      <c r="C2443">
        <v>2019</v>
      </c>
      <c r="D2443" t="s">
        <v>9</v>
      </c>
      <c r="E2443">
        <v>871</v>
      </c>
      <c r="F2443">
        <v>0</v>
      </c>
    </row>
    <row r="2444" spans="1:6" hidden="1" x14ac:dyDescent="0.3">
      <c r="A2444">
        <v>2443</v>
      </c>
      <c r="B2444" t="s">
        <v>35</v>
      </c>
      <c r="C2444">
        <v>2019</v>
      </c>
      <c r="D2444" t="s">
        <v>9</v>
      </c>
      <c r="E2444">
        <v>0</v>
      </c>
      <c r="F2444">
        <v>0</v>
      </c>
    </row>
    <row r="2445" spans="1:6" hidden="1" x14ac:dyDescent="0.3">
      <c r="A2445">
        <v>2444</v>
      </c>
      <c r="B2445" t="s">
        <v>35</v>
      </c>
      <c r="C2445">
        <v>2019</v>
      </c>
      <c r="D2445" t="s">
        <v>9</v>
      </c>
      <c r="E2445">
        <v>4</v>
      </c>
      <c r="F2445">
        <v>0</v>
      </c>
    </row>
    <row r="2446" spans="1:6" hidden="1" x14ac:dyDescent="0.3">
      <c r="A2446">
        <v>2445</v>
      </c>
      <c r="B2446" t="s">
        <v>35</v>
      </c>
      <c r="C2446">
        <v>2019</v>
      </c>
      <c r="D2446" t="s">
        <v>9</v>
      </c>
      <c r="E2446">
        <v>0</v>
      </c>
      <c r="F2446">
        <v>0</v>
      </c>
    </row>
    <row r="2447" spans="1:6" hidden="1" x14ac:dyDescent="0.3">
      <c r="A2447">
        <v>2446</v>
      </c>
      <c r="B2447" t="s">
        <v>36</v>
      </c>
      <c r="C2447">
        <v>2019</v>
      </c>
      <c r="D2447" t="s">
        <v>9</v>
      </c>
      <c r="E2447">
        <v>900</v>
      </c>
      <c r="F2447">
        <v>0</v>
      </c>
    </row>
    <row r="2448" spans="1:6" hidden="1" x14ac:dyDescent="0.3">
      <c r="A2448">
        <v>2447</v>
      </c>
      <c r="B2448" t="s">
        <v>30</v>
      </c>
      <c r="C2448">
        <v>2019</v>
      </c>
      <c r="D2448" t="s">
        <v>9</v>
      </c>
      <c r="E2448">
        <v>58066</v>
      </c>
      <c r="F2448">
        <v>0</v>
      </c>
    </row>
    <row r="2449" spans="1:6" hidden="1" x14ac:dyDescent="0.3">
      <c r="A2449">
        <v>2448</v>
      </c>
      <c r="B2449" t="s">
        <v>21</v>
      </c>
      <c r="C2449">
        <v>2019</v>
      </c>
      <c r="D2449" t="s">
        <v>11</v>
      </c>
      <c r="E2449">
        <v>200</v>
      </c>
      <c r="F2449">
        <v>0</v>
      </c>
    </row>
    <row r="2450" spans="1:6" hidden="1" x14ac:dyDescent="0.3">
      <c r="A2450">
        <v>2449</v>
      </c>
      <c r="B2450" t="s">
        <v>21</v>
      </c>
      <c r="C2450">
        <v>2019</v>
      </c>
      <c r="D2450" t="s">
        <v>11</v>
      </c>
      <c r="E2450">
        <v>0</v>
      </c>
      <c r="F2450">
        <v>383000000</v>
      </c>
    </row>
    <row r="2451" spans="1:6" hidden="1" x14ac:dyDescent="0.3">
      <c r="A2451">
        <v>2450</v>
      </c>
      <c r="B2451" t="s">
        <v>29</v>
      </c>
      <c r="C2451">
        <v>2019</v>
      </c>
      <c r="D2451" t="s">
        <v>9</v>
      </c>
      <c r="E2451">
        <v>29</v>
      </c>
      <c r="F2451">
        <v>0</v>
      </c>
    </row>
    <row r="2452" spans="1:6" hidden="1" x14ac:dyDescent="0.3">
      <c r="A2452">
        <v>2451</v>
      </c>
      <c r="B2452" t="s">
        <v>26</v>
      </c>
      <c r="C2452">
        <v>2019</v>
      </c>
      <c r="D2452" t="s">
        <v>9</v>
      </c>
      <c r="E2452">
        <v>200000</v>
      </c>
      <c r="F2452">
        <v>0</v>
      </c>
    </row>
    <row r="2453" spans="1:6" hidden="1" x14ac:dyDescent="0.3">
      <c r="A2453">
        <v>2452</v>
      </c>
      <c r="B2453" t="s">
        <v>27</v>
      </c>
      <c r="C2453">
        <v>2019</v>
      </c>
      <c r="D2453" t="s">
        <v>9</v>
      </c>
      <c r="E2453">
        <v>1325</v>
      </c>
      <c r="F2453">
        <v>0</v>
      </c>
    </row>
    <row r="2454" spans="1:6" hidden="1" x14ac:dyDescent="0.3">
      <c r="A2454">
        <v>2453</v>
      </c>
      <c r="B2454" t="s">
        <v>20</v>
      </c>
      <c r="C2454">
        <v>2019</v>
      </c>
      <c r="D2454" t="s">
        <v>14</v>
      </c>
      <c r="E2454">
        <v>2104</v>
      </c>
      <c r="F2454">
        <v>0</v>
      </c>
    </row>
    <row r="2455" spans="1:6" hidden="1" x14ac:dyDescent="0.3">
      <c r="A2455">
        <v>2454</v>
      </c>
      <c r="B2455" t="s">
        <v>20</v>
      </c>
      <c r="C2455">
        <v>2019</v>
      </c>
      <c r="D2455" t="s">
        <v>14</v>
      </c>
      <c r="E2455">
        <v>247418</v>
      </c>
      <c r="F2455">
        <v>0</v>
      </c>
    </row>
    <row r="2456" spans="1:6" hidden="1" x14ac:dyDescent="0.3">
      <c r="A2456">
        <v>2455</v>
      </c>
      <c r="B2456" t="s">
        <v>20</v>
      </c>
      <c r="C2456">
        <v>2019</v>
      </c>
      <c r="D2456" t="s">
        <v>9</v>
      </c>
      <c r="E2456">
        <v>5000</v>
      </c>
      <c r="F2456">
        <v>0</v>
      </c>
    </row>
    <row r="2457" spans="1:6" hidden="1" x14ac:dyDescent="0.3">
      <c r="A2457">
        <v>2456</v>
      </c>
      <c r="B2457" t="s">
        <v>20</v>
      </c>
      <c r="C2457">
        <v>2019</v>
      </c>
      <c r="D2457" t="s">
        <v>9</v>
      </c>
      <c r="E2457">
        <v>9435</v>
      </c>
      <c r="F2457">
        <v>0</v>
      </c>
    </row>
    <row r="2458" spans="1:6" hidden="1" x14ac:dyDescent="0.3">
      <c r="A2458">
        <v>2457</v>
      </c>
      <c r="B2458" t="s">
        <v>16</v>
      </c>
      <c r="C2458">
        <v>2019</v>
      </c>
      <c r="D2458" t="s">
        <v>11</v>
      </c>
      <c r="E2458">
        <v>130000</v>
      </c>
      <c r="F2458">
        <v>0</v>
      </c>
    </row>
    <row r="2459" spans="1:6" hidden="1" x14ac:dyDescent="0.3">
      <c r="A2459">
        <v>2458</v>
      </c>
      <c r="B2459" t="s">
        <v>16</v>
      </c>
      <c r="C2459">
        <v>2019</v>
      </c>
      <c r="D2459" t="s">
        <v>9</v>
      </c>
      <c r="E2459">
        <v>17500</v>
      </c>
      <c r="F2459">
        <v>0</v>
      </c>
    </row>
    <row r="2460" spans="1:6" hidden="1" x14ac:dyDescent="0.3">
      <c r="A2460">
        <v>2459</v>
      </c>
      <c r="B2460" t="s">
        <v>16</v>
      </c>
      <c r="C2460">
        <v>2019</v>
      </c>
      <c r="D2460" t="s">
        <v>9</v>
      </c>
      <c r="E2460">
        <v>25000</v>
      </c>
      <c r="F2460">
        <v>0</v>
      </c>
    </row>
    <row r="2461" spans="1:6" hidden="1" x14ac:dyDescent="0.3">
      <c r="A2461">
        <v>2460</v>
      </c>
      <c r="B2461" t="s">
        <v>18</v>
      </c>
      <c r="C2461">
        <v>2019</v>
      </c>
      <c r="D2461" t="s">
        <v>14</v>
      </c>
      <c r="E2461">
        <v>23084</v>
      </c>
      <c r="F2461">
        <v>90000000</v>
      </c>
    </row>
    <row r="2462" spans="1:6" hidden="1" x14ac:dyDescent="0.3">
      <c r="A2462">
        <v>2461</v>
      </c>
      <c r="B2462" t="s">
        <v>18</v>
      </c>
      <c r="C2462">
        <v>2019</v>
      </c>
      <c r="D2462" t="s">
        <v>9</v>
      </c>
      <c r="E2462">
        <v>106</v>
      </c>
      <c r="F2462">
        <v>0</v>
      </c>
    </row>
    <row r="2463" spans="1:6" hidden="1" x14ac:dyDescent="0.3">
      <c r="A2463">
        <v>2462</v>
      </c>
      <c r="B2463" t="s">
        <v>17</v>
      </c>
      <c r="C2463">
        <v>2019</v>
      </c>
      <c r="D2463" t="s">
        <v>7</v>
      </c>
      <c r="E2463">
        <v>222091</v>
      </c>
      <c r="F2463">
        <v>0</v>
      </c>
    </row>
    <row r="2464" spans="1:6" hidden="1" x14ac:dyDescent="0.3">
      <c r="A2464">
        <v>2463</v>
      </c>
      <c r="B2464" t="s">
        <v>17</v>
      </c>
      <c r="C2464">
        <v>2019</v>
      </c>
      <c r="D2464" t="s">
        <v>9</v>
      </c>
      <c r="E2464">
        <v>65322</v>
      </c>
      <c r="F2464">
        <v>0</v>
      </c>
    </row>
    <row r="2465" spans="1:6" hidden="1" x14ac:dyDescent="0.3">
      <c r="A2465">
        <v>2464</v>
      </c>
      <c r="B2465" t="s">
        <v>17</v>
      </c>
      <c r="C2465">
        <v>2019</v>
      </c>
      <c r="D2465" t="s">
        <v>9</v>
      </c>
      <c r="E2465">
        <v>167436</v>
      </c>
      <c r="F2465">
        <v>0</v>
      </c>
    </row>
    <row r="2466" spans="1:6" hidden="1" x14ac:dyDescent="0.3">
      <c r="A2466">
        <v>2465</v>
      </c>
      <c r="B2466" t="s">
        <v>29</v>
      </c>
      <c r="C2466">
        <v>2019</v>
      </c>
      <c r="D2466" t="s">
        <v>9</v>
      </c>
      <c r="E2466">
        <v>200</v>
      </c>
      <c r="F2466">
        <v>0</v>
      </c>
    </row>
    <row r="2467" spans="1:6" hidden="1" x14ac:dyDescent="0.3">
      <c r="A2467">
        <v>2466</v>
      </c>
      <c r="B2467" t="s">
        <v>21</v>
      </c>
      <c r="C2467">
        <v>2019</v>
      </c>
      <c r="D2467" t="s">
        <v>11</v>
      </c>
      <c r="E2467">
        <v>1000</v>
      </c>
      <c r="F2467">
        <v>0</v>
      </c>
    </row>
    <row r="2468" spans="1:6" hidden="1" x14ac:dyDescent="0.3">
      <c r="A2468">
        <v>2467</v>
      </c>
      <c r="B2468" t="s">
        <v>21</v>
      </c>
      <c r="C2468">
        <v>2019</v>
      </c>
      <c r="D2468" t="s">
        <v>9</v>
      </c>
      <c r="E2468">
        <v>500</v>
      </c>
      <c r="F2468">
        <v>0</v>
      </c>
    </row>
    <row r="2469" spans="1:6" hidden="1" x14ac:dyDescent="0.3">
      <c r="A2469">
        <v>2468</v>
      </c>
      <c r="B2469" t="s">
        <v>45</v>
      </c>
      <c r="C2469">
        <v>2019</v>
      </c>
      <c r="D2469" t="s">
        <v>9</v>
      </c>
      <c r="E2469">
        <v>6200</v>
      </c>
      <c r="F2469">
        <v>0</v>
      </c>
    </row>
    <row r="2470" spans="1:6" hidden="1" x14ac:dyDescent="0.3">
      <c r="A2470">
        <v>2469</v>
      </c>
      <c r="B2470" t="s">
        <v>32</v>
      </c>
      <c r="C2470">
        <v>2019</v>
      </c>
      <c r="D2470" t="s">
        <v>9</v>
      </c>
      <c r="E2470">
        <v>200000</v>
      </c>
      <c r="F2470">
        <v>0</v>
      </c>
    </row>
    <row r="2471" spans="1:6" hidden="1" x14ac:dyDescent="0.3">
      <c r="A2471">
        <v>2470</v>
      </c>
      <c r="B2471" t="s">
        <v>32</v>
      </c>
      <c r="C2471">
        <v>2019</v>
      </c>
      <c r="D2471" t="s">
        <v>9</v>
      </c>
      <c r="E2471">
        <v>23000</v>
      </c>
      <c r="F2471">
        <v>0</v>
      </c>
    </row>
    <row r="2472" spans="1:6" hidden="1" x14ac:dyDescent="0.3">
      <c r="A2472">
        <v>2471</v>
      </c>
      <c r="B2472" t="s">
        <v>35</v>
      </c>
      <c r="C2472">
        <v>2019</v>
      </c>
      <c r="D2472" t="s">
        <v>14</v>
      </c>
      <c r="E2472">
        <v>130398</v>
      </c>
      <c r="F2472">
        <v>17000000</v>
      </c>
    </row>
    <row r="2473" spans="1:6" hidden="1" x14ac:dyDescent="0.3">
      <c r="A2473">
        <v>2472</v>
      </c>
      <c r="B2473" t="s">
        <v>35</v>
      </c>
      <c r="C2473">
        <v>2019</v>
      </c>
      <c r="D2473" t="s">
        <v>9</v>
      </c>
      <c r="E2473">
        <v>0</v>
      </c>
      <c r="F2473">
        <v>0</v>
      </c>
    </row>
    <row r="2474" spans="1:6" hidden="1" x14ac:dyDescent="0.3">
      <c r="A2474">
        <v>2473</v>
      </c>
      <c r="B2474" t="s">
        <v>35</v>
      </c>
      <c r="C2474">
        <v>2019</v>
      </c>
      <c r="D2474" t="s">
        <v>9</v>
      </c>
      <c r="E2474">
        <v>0</v>
      </c>
      <c r="F2474">
        <v>0</v>
      </c>
    </row>
    <row r="2475" spans="1:6" hidden="1" x14ac:dyDescent="0.3">
      <c r="A2475">
        <v>2474</v>
      </c>
      <c r="B2475" t="s">
        <v>37</v>
      </c>
      <c r="C2475">
        <v>2019</v>
      </c>
      <c r="D2475" t="s">
        <v>14</v>
      </c>
      <c r="E2475">
        <v>9577</v>
      </c>
      <c r="F2475">
        <v>0</v>
      </c>
    </row>
    <row r="2476" spans="1:6" hidden="1" x14ac:dyDescent="0.3">
      <c r="A2476">
        <v>2475</v>
      </c>
      <c r="B2476" t="s">
        <v>37</v>
      </c>
      <c r="C2476">
        <v>2019</v>
      </c>
      <c r="D2476" t="s">
        <v>14</v>
      </c>
      <c r="E2476">
        <v>3027</v>
      </c>
      <c r="F2476">
        <v>5258000</v>
      </c>
    </row>
    <row r="2477" spans="1:6" hidden="1" x14ac:dyDescent="0.3">
      <c r="A2477">
        <v>2476</v>
      </c>
      <c r="B2477" t="s">
        <v>37</v>
      </c>
      <c r="C2477">
        <v>2019</v>
      </c>
      <c r="D2477" t="s">
        <v>14</v>
      </c>
      <c r="E2477">
        <v>3283</v>
      </c>
      <c r="F2477">
        <v>0</v>
      </c>
    </row>
    <row r="2478" spans="1:6" hidden="1" x14ac:dyDescent="0.3">
      <c r="A2478">
        <v>2477</v>
      </c>
      <c r="B2478" t="s">
        <v>37</v>
      </c>
      <c r="C2478">
        <v>2019</v>
      </c>
      <c r="D2478" t="s">
        <v>14</v>
      </c>
      <c r="E2478">
        <v>26025</v>
      </c>
      <c r="F2478">
        <v>0</v>
      </c>
    </row>
    <row r="2479" spans="1:6" hidden="1" x14ac:dyDescent="0.3">
      <c r="A2479">
        <v>2478</v>
      </c>
      <c r="B2479" t="s">
        <v>19</v>
      </c>
      <c r="C2479">
        <v>2020</v>
      </c>
      <c r="D2479" t="s">
        <v>11</v>
      </c>
      <c r="E2479">
        <v>2415888</v>
      </c>
      <c r="F2479">
        <v>386000000</v>
      </c>
    </row>
    <row r="2480" spans="1:6" hidden="1" x14ac:dyDescent="0.3">
      <c r="A2480">
        <v>2479</v>
      </c>
      <c r="B2480" t="s">
        <v>35</v>
      </c>
      <c r="C2480">
        <v>2020</v>
      </c>
      <c r="D2480" t="s">
        <v>11</v>
      </c>
      <c r="E2480">
        <v>1000104</v>
      </c>
      <c r="F2480">
        <v>0</v>
      </c>
    </row>
    <row r="2481" spans="1:6" hidden="1" x14ac:dyDescent="0.3">
      <c r="A2481">
        <v>2480</v>
      </c>
      <c r="B2481" t="s">
        <v>19</v>
      </c>
      <c r="C2481">
        <v>2020</v>
      </c>
      <c r="D2481" t="s">
        <v>9</v>
      </c>
      <c r="E2481">
        <v>16000</v>
      </c>
      <c r="F2481">
        <v>0</v>
      </c>
    </row>
    <row r="2482" spans="1:6" hidden="1" x14ac:dyDescent="0.3">
      <c r="A2482">
        <v>2481</v>
      </c>
      <c r="B2482" t="s">
        <v>35</v>
      </c>
      <c r="C2482">
        <v>2020</v>
      </c>
      <c r="D2482" t="s">
        <v>9</v>
      </c>
      <c r="E2482">
        <v>4836</v>
      </c>
      <c r="F2482">
        <v>0</v>
      </c>
    </row>
    <row r="2483" spans="1:6" hidden="1" x14ac:dyDescent="0.3">
      <c r="A2483">
        <v>2482</v>
      </c>
      <c r="B2483" t="s">
        <v>24</v>
      </c>
      <c r="C2483">
        <v>2020</v>
      </c>
      <c r="D2483" t="s">
        <v>11</v>
      </c>
      <c r="E2483">
        <v>30000</v>
      </c>
      <c r="F2483">
        <v>178000000</v>
      </c>
    </row>
    <row r="2484" spans="1:6" hidden="1" x14ac:dyDescent="0.3">
      <c r="A2484">
        <v>2483</v>
      </c>
      <c r="B2484" t="s">
        <v>22</v>
      </c>
      <c r="C2484">
        <v>2020</v>
      </c>
      <c r="D2484" t="s">
        <v>7</v>
      </c>
      <c r="E2484">
        <v>1680000</v>
      </c>
      <c r="F2484">
        <v>0</v>
      </c>
    </row>
    <row r="2485" spans="1:6" hidden="1" x14ac:dyDescent="0.3">
      <c r="A2485">
        <v>2484</v>
      </c>
      <c r="B2485" t="s">
        <v>19</v>
      </c>
      <c r="C2485">
        <v>2020</v>
      </c>
      <c r="D2485" t="s">
        <v>11</v>
      </c>
      <c r="E2485">
        <v>306886</v>
      </c>
      <c r="F2485">
        <v>0</v>
      </c>
    </row>
    <row r="2486" spans="1:6" hidden="1" x14ac:dyDescent="0.3">
      <c r="A2486">
        <v>2485</v>
      </c>
      <c r="B2486" t="s">
        <v>19</v>
      </c>
      <c r="C2486">
        <v>2020</v>
      </c>
      <c r="D2486" t="s">
        <v>9</v>
      </c>
      <c r="E2486">
        <v>4070</v>
      </c>
      <c r="F2486">
        <v>0</v>
      </c>
    </row>
    <row r="2487" spans="1:6" hidden="1" x14ac:dyDescent="0.3">
      <c r="A2487">
        <v>2486</v>
      </c>
      <c r="B2487" t="s">
        <v>23</v>
      </c>
      <c r="C2487">
        <v>2020</v>
      </c>
      <c r="D2487" t="s">
        <v>11</v>
      </c>
      <c r="E2487">
        <v>1200</v>
      </c>
      <c r="F2487">
        <v>0</v>
      </c>
    </row>
    <row r="2488" spans="1:6" hidden="1" x14ac:dyDescent="0.3">
      <c r="A2488">
        <v>2487</v>
      </c>
      <c r="B2488" t="s">
        <v>20</v>
      </c>
      <c r="C2488">
        <v>2020</v>
      </c>
      <c r="D2488" t="s">
        <v>9</v>
      </c>
      <c r="E2488">
        <v>100</v>
      </c>
      <c r="F2488">
        <v>0</v>
      </c>
    </row>
    <row r="2489" spans="1:6" hidden="1" x14ac:dyDescent="0.3">
      <c r="A2489">
        <v>2488</v>
      </c>
      <c r="B2489" t="s">
        <v>20</v>
      </c>
      <c r="C2489">
        <v>2020</v>
      </c>
      <c r="D2489" t="s">
        <v>9</v>
      </c>
      <c r="E2489">
        <v>12003</v>
      </c>
      <c r="F2489">
        <v>2100000</v>
      </c>
    </row>
    <row r="2490" spans="1:6" hidden="1" x14ac:dyDescent="0.3">
      <c r="A2490">
        <v>2489</v>
      </c>
      <c r="B2490" t="s">
        <v>20</v>
      </c>
      <c r="C2490">
        <v>2020</v>
      </c>
      <c r="D2490" t="s">
        <v>9</v>
      </c>
      <c r="E2490">
        <v>1852</v>
      </c>
      <c r="F2490">
        <v>0</v>
      </c>
    </row>
    <row r="2491" spans="1:6" hidden="1" x14ac:dyDescent="0.3">
      <c r="A2491">
        <v>2490</v>
      </c>
      <c r="B2491" t="s">
        <v>20</v>
      </c>
      <c r="C2491">
        <v>2020</v>
      </c>
      <c r="D2491" t="s">
        <v>9</v>
      </c>
      <c r="E2491">
        <v>115000</v>
      </c>
      <c r="F2491">
        <v>10000000</v>
      </c>
    </row>
    <row r="2492" spans="1:6" hidden="1" x14ac:dyDescent="0.3">
      <c r="A2492">
        <v>2491</v>
      </c>
      <c r="B2492" t="s">
        <v>20</v>
      </c>
      <c r="C2492">
        <v>2020</v>
      </c>
      <c r="D2492" t="s">
        <v>9</v>
      </c>
      <c r="E2492">
        <v>2000</v>
      </c>
      <c r="F2492">
        <v>0</v>
      </c>
    </row>
    <row r="2493" spans="1:6" hidden="1" x14ac:dyDescent="0.3">
      <c r="A2493">
        <v>2492</v>
      </c>
      <c r="B2493" t="s">
        <v>20</v>
      </c>
      <c r="C2493">
        <v>2020</v>
      </c>
      <c r="D2493" t="s">
        <v>9</v>
      </c>
      <c r="E2493">
        <v>3805</v>
      </c>
      <c r="F2493">
        <v>0</v>
      </c>
    </row>
    <row r="2494" spans="1:6" hidden="1" x14ac:dyDescent="0.3">
      <c r="A2494">
        <v>2493</v>
      </c>
      <c r="B2494" t="s">
        <v>20</v>
      </c>
      <c r="C2494">
        <v>2020</v>
      </c>
      <c r="D2494" t="s">
        <v>9</v>
      </c>
      <c r="E2494">
        <v>14534</v>
      </c>
      <c r="F2494">
        <v>10000000</v>
      </c>
    </row>
    <row r="2495" spans="1:6" hidden="1" x14ac:dyDescent="0.3">
      <c r="A2495">
        <v>2494</v>
      </c>
      <c r="B2495" t="s">
        <v>20</v>
      </c>
      <c r="C2495">
        <v>2020</v>
      </c>
      <c r="D2495" t="s">
        <v>9</v>
      </c>
      <c r="E2495">
        <v>10000</v>
      </c>
      <c r="F2495">
        <v>0</v>
      </c>
    </row>
    <row r="2496" spans="1:6" hidden="1" x14ac:dyDescent="0.3">
      <c r="A2496">
        <v>2495</v>
      </c>
      <c r="B2496" t="s">
        <v>16</v>
      </c>
      <c r="C2496">
        <v>2020</v>
      </c>
      <c r="D2496" t="s">
        <v>9</v>
      </c>
      <c r="E2496">
        <v>30002</v>
      </c>
      <c r="F2496">
        <v>0</v>
      </c>
    </row>
    <row r="2497" spans="1:6" hidden="1" x14ac:dyDescent="0.3">
      <c r="A2497">
        <v>2496</v>
      </c>
      <c r="B2497" t="s">
        <v>16</v>
      </c>
      <c r="C2497">
        <v>2020</v>
      </c>
      <c r="D2497" t="s">
        <v>9</v>
      </c>
      <c r="E2497">
        <v>1300000</v>
      </c>
      <c r="F2497">
        <v>7500000000</v>
      </c>
    </row>
    <row r="2498" spans="1:6" hidden="1" x14ac:dyDescent="0.3">
      <c r="A2498">
        <v>2497</v>
      </c>
      <c r="B2498" t="s">
        <v>34</v>
      </c>
      <c r="C2498">
        <v>2020</v>
      </c>
      <c r="D2498" t="s">
        <v>9</v>
      </c>
      <c r="E2498">
        <v>810655</v>
      </c>
      <c r="F2498">
        <v>10000000</v>
      </c>
    </row>
    <row r="2499" spans="1:6" hidden="1" x14ac:dyDescent="0.3">
      <c r="A2499">
        <v>2498</v>
      </c>
      <c r="B2499" t="s">
        <v>22</v>
      </c>
      <c r="C2499">
        <v>2020</v>
      </c>
      <c r="D2499" t="s">
        <v>9</v>
      </c>
      <c r="E2499">
        <v>106846</v>
      </c>
      <c r="F2499">
        <v>0</v>
      </c>
    </row>
    <row r="2500" spans="1:6" hidden="1" x14ac:dyDescent="0.3">
      <c r="A2500">
        <v>2499</v>
      </c>
      <c r="B2500" t="s">
        <v>21</v>
      </c>
      <c r="C2500">
        <v>2020</v>
      </c>
      <c r="D2500" t="s">
        <v>11</v>
      </c>
      <c r="E2500">
        <v>606</v>
      </c>
      <c r="F2500">
        <v>0</v>
      </c>
    </row>
    <row r="2501" spans="1:6" hidden="1" x14ac:dyDescent="0.3">
      <c r="A2501">
        <v>2500</v>
      </c>
      <c r="B2501" t="s">
        <v>21</v>
      </c>
      <c r="C2501">
        <v>2020</v>
      </c>
      <c r="D2501" t="s">
        <v>9</v>
      </c>
      <c r="E2501">
        <v>5100</v>
      </c>
      <c r="F2501">
        <v>0</v>
      </c>
    </row>
    <row r="2502" spans="1:6" hidden="1" x14ac:dyDescent="0.3">
      <c r="A2502">
        <v>2501</v>
      </c>
      <c r="B2502" t="s">
        <v>21</v>
      </c>
      <c r="C2502">
        <v>2020</v>
      </c>
      <c r="D2502" t="s">
        <v>9</v>
      </c>
      <c r="E2502">
        <v>90000</v>
      </c>
      <c r="F2502">
        <v>0</v>
      </c>
    </row>
    <row r="2503" spans="1:6" hidden="1" x14ac:dyDescent="0.3">
      <c r="A2503">
        <v>2502</v>
      </c>
      <c r="B2503" t="s">
        <v>33</v>
      </c>
      <c r="C2503">
        <v>2020</v>
      </c>
      <c r="D2503" t="s">
        <v>9</v>
      </c>
      <c r="E2503">
        <v>117677</v>
      </c>
      <c r="F2503">
        <v>100000000</v>
      </c>
    </row>
    <row r="2504" spans="1:6" hidden="1" x14ac:dyDescent="0.3">
      <c r="A2504">
        <v>2503</v>
      </c>
      <c r="B2504" t="s">
        <v>35</v>
      </c>
      <c r="C2504">
        <v>2020</v>
      </c>
      <c r="D2504" t="s">
        <v>9</v>
      </c>
      <c r="E2504">
        <v>1550170</v>
      </c>
      <c r="F2504">
        <v>1500000000</v>
      </c>
    </row>
    <row r="2505" spans="1:6" hidden="1" x14ac:dyDescent="0.3">
      <c r="A2505">
        <v>2504</v>
      </c>
      <c r="B2505" t="s">
        <v>36</v>
      </c>
      <c r="C2505">
        <v>2020</v>
      </c>
      <c r="D2505" t="s">
        <v>9</v>
      </c>
      <c r="E2505">
        <v>240</v>
      </c>
      <c r="F2505">
        <v>0</v>
      </c>
    </row>
    <row r="2506" spans="1:6" hidden="1" x14ac:dyDescent="0.3">
      <c r="A2506">
        <v>2505</v>
      </c>
      <c r="B2506" t="s">
        <v>36</v>
      </c>
      <c r="C2506">
        <v>2020</v>
      </c>
      <c r="D2506" t="s">
        <v>9</v>
      </c>
      <c r="E2506">
        <v>6461</v>
      </c>
      <c r="F2506">
        <v>10000000</v>
      </c>
    </row>
    <row r="2507" spans="1:6" hidden="1" x14ac:dyDescent="0.3">
      <c r="A2507">
        <v>2506</v>
      </c>
      <c r="B2507" t="s">
        <v>36</v>
      </c>
      <c r="C2507">
        <v>2020</v>
      </c>
      <c r="D2507" t="s">
        <v>9</v>
      </c>
      <c r="E2507">
        <v>550</v>
      </c>
      <c r="F2507">
        <v>0</v>
      </c>
    </row>
    <row r="2508" spans="1:6" hidden="1" x14ac:dyDescent="0.3">
      <c r="A2508">
        <v>2507</v>
      </c>
      <c r="B2508" t="s">
        <v>20</v>
      </c>
      <c r="C2508">
        <v>2020</v>
      </c>
      <c r="D2508" t="s">
        <v>9</v>
      </c>
      <c r="E2508">
        <v>0</v>
      </c>
      <c r="F2508">
        <v>0</v>
      </c>
    </row>
    <row r="2509" spans="1:6" hidden="1" x14ac:dyDescent="0.3">
      <c r="A2509">
        <v>2508</v>
      </c>
      <c r="B2509" t="s">
        <v>45</v>
      </c>
      <c r="C2509">
        <v>2020</v>
      </c>
      <c r="D2509" t="s">
        <v>9</v>
      </c>
      <c r="E2509">
        <v>25000</v>
      </c>
      <c r="F2509">
        <v>0</v>
      </c>
    </row>
    <row r="2510" spans="1:6" hidden="1" x14ac:dyDescent="0.3">
      <c r="A2510">
        <v>2509</v>
      </c>
      <c r="B2510" t="s">
        <v>23</v>
      </c>
      <c r="C2510">
        <v>2020</v>
      </c>
      <c r="D2510" t="s">
        <v>9</v>
      </c>
      <c r="E2510">
        <v>17700</v>
      </c>
      <c r="F2510">
        <v>0</v>
      </c>
    </row>
    <row r="2511" spans="1:6" hidden="1" x14ac:dyDescent="0.3">
      <c r="A2511">
        <v>2510</v>
      </c>
      <c r="B2511" t="s">
        <v>16</v>
      </c>
      <c r="C2511">
        <v>2020</v>
      </c>
      <c r="D2511" t="s">
        <v>11</v>
      </c>
      <c r="E2511">
        <v>0</v>
      </c>
      <c r="F2511">
        <v>600000000</v>
      </c>
    </row>
    <row r="2512" spans="1:6" hidden="1" x14ac:dyDescent="0.3">
      <c r="A2512">
        <v>2511</v>
      </c>
      <c r="B2512" t="s">
        <v>22</v>
      </c>
      <c r="C2512">
        <v>2020</v>
      </c>
      <c r="D2512" t="s">
        <v>11</v>
      </c>
      <c r="E2512">
        <v>3200</v>
      </c>
      <c r="F2512">
        <v>0</v>
      </c>
    </row>
    <row r="2513" spans="1:6" hidden="1" x14ac:dyDescent="0.3">
      <c r="A2513">
        <v>2512</v>
      </c>
      <c r="B2513" t="s">
        <v>21</v>
      </c>
      <c r="C2513">
        <v>2020</v>
      </c>
      <c r="D2513" t="s">
        <v>11</v>
      </c>
      <c r="E2513">
        <v>0</v>
      </c>
      <c r="F2513">
        <v>135000000</v>
      </c>
    </row>
    <row r="2514" spans="1:6" hidden="1" x14ac:dyDescent="0.3">
      <c r="A2514">
        <v>2513</v>
      </c>
      <c r="B2514" t="s">
        <v>34</v>
      </c>
      <c r="C2514">
        <v>2020</v>
      </c>
      <c r="D2514" t="s">
        <v>7</v>
      </c>
      <c r="E2514">
        <v>4500000</v>
      </c>
      <c r="F2514">
        <v>250000000</v>
      </c>
    </row>
    <row r="2515" spans="1:6" hidden="1" x14ac:dyDescent="0.3">
      <c r="A2515">
        <v>2514</v>
      </c>
      <c r="B2515" t="s">
        <v>30</v>
      </c>
      <c r="C2515">
        <v>2020</v>
      </c>
      <c r="D2515" t="s">
        <v>7</v>
      </c>
      <c r="E2515">
        <v>2700000</v>
      </c>
      <c r="F2515">
        <v>0</v>
      </c>
    </row>
    <row r="2516" spans="1:6" hidden="1" x14ac:dyDescent="0.3">
      <c r="A2516">
        <v>2515</v>
      </c>
      <c r="B2516" t="s">
        <v>32</v>
      </c>
      <c r="C2516">
        <v>2020</v>
      </c>
      <c r="D2516" t="s">
        <v>7</v>
      </c>
      <c r="E2516">
        <v>3700000</v>
      </c>
      <c r="F2516">
        <v>0</v>
      </c>
    </row>
    <row r="2517" spans="1:6" hidden="1" x14ac:dyDescent="0.3">
      <c r="A2517">
        <v>2516</v>
      </c>
      <c r="B2517" t="s">
        <v>16</v>
      </c>
      <c r="C2517">
        <v>2020</v>
      </c>
      <c r="D2517" t="s">
        <v>11</v>
      </c>
      <c r="E2517">
        <v>0</v>
      </c>
      <c r="F2517">
        <v>0</v>
      </c>
    </row>
    <row r="2518" spans="1:6" hidden="1" x14ac:dyDescent="0.3">
      <c r="A2518">
        <v>2517</v>
      </c>
      <c r="B2518" t="s">
        <v>18</v>
      </c>
      <c r="C2518">
        <v>2020</v>
      </c>
      <c r="D2518" t="s">
        <v>9</v>
      </c>
      <c r="E2518">
        <v>4900</v>
      </c>
      <c r="F2518">
        <v>0</v>
      </c>
    </row>
    <row r="2519" spans="1:6" hidden="1" x14ac:dyDescent="0.3">
      <c r="A2519">
        <v>2518</v>
      </c>
      <c r="B2519" t="s">
        <v>26</v>
      </c>
      <c r="C2519">
        <v>2020</v>
      </c>
      <c r="D2519" t="s">
        <v>9</v>
      </c>
      <c r="E2519">
        <v>219000</v>
      </c>
      <c r="F2519">
        <v>0</v>
      </c>
    </row>
    <row r="2520" spans="1:6" hidden="1" x14ac:dyDescent="0.3">
      <c r="A2520">
        <v>2519</v>
      </c>
      <c r="B2520" t="s">
        <v>26</v>
      </c>
      <c r="C2520">
        <v>2020</v>
      </c>
      <c r="D2520" t="s">
        <v>9</v>
      </c>
      <c r="E2520">
        <v>1010854</v>
      </c>
      <c r="F2520">
        <v>0</v>
      </c>
    </row>
    <row r="2521" spans="1:6" hidden="1" x14ac:dyDescent="0.3">
      <c r="A2521">
        <v>2520</v>
      </c>
      <c r="B2521" t="s">
        <v>19</v>
      </c>
      <c r="C2521">
        <v>2020</v>
      </c>
      <c r="D2521" t="s">
        <v>11</v>
      </c>
      <c r="E2521">
        <v>131298</v>
      </c>
      <c r="F2521">
        <v>0</v>
      </c>
    </row>
    <row r="2522" spans="1:6" hidden="1" x14ac:dyDescent="0.3">
      <c r="A2522">
        <v>2521</v>
      </c>
      <c r="B2522" t="s">
        <v>23</v>
      </c>
      <c r="C2522">
        <v>2020</v>
      </c>
      <c r="D2522" t="s">
        <v>11</v>
      </c>
      <c r="E2522">
        <v>4566584</v>
      </c>
      <c r="F2522">
        <v>0</v>
      </c>
    </row>
    <row r="2523" spans="1:6" hidden="1" x14ac:dyDescent="0.3">
      <c r="A2523">
        <v>2522</v>
      </c>
      <c r="B2523" t="s">
        <v>23</v>
      </c>
      <c r="C2523">
        <v>2020</v>
      </c>
      <c r="D2523" t="s">
        <v>11</v>
      </c>
      <c r="E2523">
        <v>578000</v>
      </c>
      <c r="F2523">
        <v>0</v>
      </c>
    </row>
    <row r="2524" spans="1:6" hidden="1" x14ac:dyDescent="0.3">
      <c r="A2524">
        <v>2523</v>
      </c>
      <c r="B2524" t="s">
        <v>27</v>
      </c>
      <c r="C2524">
        <v>2020</v>
      </c>
      <c r="D2524" t="s">
        <v>11</v>
      </c>
      <c r="E2524">
        <v>44175</v>
      </c>
      <c r="F2524">
        <v>0</v>
      </c>
    </row>
    <row r="2525" spans="1:6" hidden="1" x14ac:dyDescent="0.3">
      <c r="A2525">
        <v>2524</v>
      </c>
      <c r="B2525" t="s">
        <v>20</v>
      </c>
      <c r="C2525">
        <v>2020</v>
      </c>
      <c r="D2525" t="s">
        <v>14</v>
      </c>
      <c r="E2525">
        <v>1560</v>
      </c>
      <c r="F2525">
        <v>0</v>
      </c>
    </row>
    <row r="2526" spans="1:6" hidden="1" x14ac:dyDescent="0.3">
      <c r="A2526">
        <v>2525</v>
      </c>
      <c r="B2526" t="s">
        <v>20</v>
      </c>
      <c r="C2526">
        <v>2020</v>
      </c>
      <c r="D2526" t="s">
        <v>9</v>
      </c>
      <c r="E2526">
        <v>40000</v>
      </c>
      <c r="F2526">
        <v>7200000</v>
      </c>
    </row>
    <row r="2527" spans="1:6" hidden="1" x14ac:dyDescent="0.3">
      <c r="A2527">
        <v>2526</v>
      </c>
      <c r="B2527" t="s">
        <v>20</v>
      </c>
      <c r="C2527">
        <v>2020</v>
      </c>
      <c r="D2527" t="s">
        <v>9</v>
      </c>
      <c r="E2527">
        <v>25000</v>
      </c>
      <c r="F2527">
        <v>0</v>
      </c>
    </row>
    <row r="2528" spans="1:6" hidden="1" x14ac:dyDescent="0.3">
      <c r="A2528">
        <v>2527</v>
      </c>
      <c r="B2528" t="s">
        <v>20</v>
      </c>
      <c r="C2528">
        <v>2020</v>
      </c>
      <c r="D2528" t="s">
        <v>9</v>
      </c>
      <c r="E2528">
        <v>41837</v>
      </c>
      <c r="F2528">
        <v>0</v>
      </c>
    </row>
    <row r="2529" spans="1:6" hidden="1" x14ac:dyDescent="0.3">
      <c r="A2529">
        <v>2528</v>
      </c>
      <c r="B2529" t="s">
        <v>20</v>
      </c>
      <c r="C2529">
        <v>2020</v>
      </c>
      <c r="D2529" t="s">
        <v>9</v>
      </c>
      <c r="E2529">
        <v>23461</v>
      </c>
      <c r="F2529">
        <v>0</v>
      </c>
    </row>
    <row r="2530" spans="1:6" hidden="1" x14ac:dyDescent="0.3">
      <c r="A2530">
        <v>2529</v>
      </c>
      <c r="B2530" t="s">
        <v>20</v>
      </c>
      <c r="C2530">
        <v>2020</v>
      </c>
      <c r="D2530" t="s">
        <v>9</v>
      </c>
      <c r="E2530">
        <v>18200</v>
      </c>
      <c r="F2530">
        <v>0</v>
      </c>
    </row>
    <row r="2531" spans="1:6" hidden="1" x14ac:dyDescent="0.3">
      <c r="A2531">
        <v>2530</v>
      </c>
      <c r="B2531" t="s">
        <v>20</v>
      </c>
      <c r="C2531">
        <v>2020</v>
      </c>
      <c r="D2531" t="s">
        <v>9</v>
      </c>
      <c r="E2531">
        <v>10905</v>
      </c>
      <c r="F2531">
        <v>0</v>
      </c>
    </row>
    <row r="2532" spans="1:6" hidden="1" x14ac:dyDescent="0.3">
      <c r="A2532">
        <v>2531</v>
      </c>
      <c r="B2532" t="s">
        <v>20</v>
      </c>
      <c r="C2532">
        <v>2020</v>
      </c>
      <c r="D2532" t="s">
        <v>9</v>
      </c>
      <c r="E2532">
        <v>7213</v>
      </c>
      <c r="F2532">
        <v>0</v>
      </c>
    </row>
    <row r="2533" spans="1:6" hidden="1" x14ac:dyDescent="0.3">
      <c r="A2533">
        <v>2532</v>
      </c>
      <c r="B2533" t="s">
        <v>20</v>
      </c>
      <c r="C2533">
        <v>2020</v>
      </c>
      <c r="D2533" t="s">
        <v>9</v>
      </c>
      <c r="E2533">
        <v>75000</v>
      </c>
      <c r="F2533">
        <v>0</v>
      </c>
    </row>
    <row r="2534" spans="1:6" hidden="1" x14ac:dyDescent="0.3">
      <c r="A2534">
        <v>2533</v>
      </c>
      <c r="B2534" t="s">
        <v>20</v>
      </c>
      <c r="C2534">
        <v>2020</v>
      </c>
      <c r="D2534" t="s">
        <v>9</v>
      </c>
      <c r="E2534">
        <v>2122</v>
      </c>
      <c r="F2534">
        <v>0</v>
      </c>
    </row>
    <row r="2535" spans="1:6" hidden="1" x14ac:dyDescent="0.3">
      <c r="A2535">
        <v>2534</v>
      </c>
      <c r="B2535" t="s">
        <v>20</v>
      </c>
      <c r="C2535">
        <v>2020</v>
      </c>
      <c r="D2535" t="s">
        <v>9</v>
      </c>
      <c r="E2535">
        <v>112000</v>
      </c>
      <c r="F2535">
        <v>0</v>
      </c>
    </row>
    <row r="2536" spans="1:6" hidden="1" x14ac:dyDescent="0.3">
      <c r="A2536">
        <v>2535</v>
      </c>
      <c r="B2536" t="s">
        <v>20</v>
      </c>
      <c r="C2536">
        <v>2020</v>
      </c>
      <c r="D2536" t="s">
        <v>9</v>
      </c>
      <c r="E2536">
        <v>84609</v>
      </c>
      <c r="F2536">
        <v>0</v>
      </c>
    </row>
    <row r="2537" spans="1:6" hidden="1" x14ac:dyDescent="0.3">
      <c r="A2537">
        <v>2536</v>
      </c>
      <c r="B2537" t="s">
        <v>20</v>
      </c>
      <c r="C2537">
        <v>2020</v>
      </c>
      <c r="D2537" t="s">
        <v>9</v>
      </c>
      <c r="E2537">
        <v>56488</v>
      </c>
      <c r="F2537">
        <v>0</v>
      </c>
    </row>
    <row r="2538" spans="1:6" hidden="1" x14ac:dyDescent="0.3">
      <c r="A2538">
        <v>2537</v>
      </c>
      <c r="B2538" t="s">
        <v>20</v>
      </c>
      <c r="C2538">
        <v>2020</v>
      </c>
      <c r="D2538" t="s">
        <v>9</v>
      </c>
      <c r="E2538">
        <v>110000</v>
      </c>
      <c r="F2538">
        <v>0</v>
      </c>
    </row>
    <row r="2539" spans="1:6" hidden="1" x14ac:dyDescent="0.3">
      <c r="A2539">
        <v>2538</v>
      </c>
      <c r="B2539" t="s">
        <v>20</v>
      </c>
      <c r="C2539">
        <v>2020</v>
      </c>
      <c r="D2539" t="s">
        <v>9</v>
      </c>
      <c r="E2539">
        <v>1835</v>
      </c>
      <c r="F2539">
        <v>0</v>
      </c>
    </row>
    <row r="2540" spans="1:6" hidden="1" x14ac:dyDescent="0.3">
      <c r="A2540">
        <v>2539</v>
      </c>
      <c r="B2540" t="s">
        <v>20</v>
      </c>
      <c r="C2540">
        <v>2020</v>
      </c>
      <c r="D2540" t="s">
        <v>9</v>
      </c>
      <c r="E2540">
        <v>10000</v>
      </c>
      <c r="F2540">
        <v>0</v>
      </c>
    </row>
    <row r="2541" spans="1:6" hidden="1" x14ac:dyDescent="0.3">
      <c r="A2541">
        <v>2540</v>
      </c>
      <c r="B2541" t="s">
        <v>20</v>
      </c>
      <c r="C2541">
        <v>2020</v>
      </c>
      <c r="D2541" t="s">
        <v>9</v>
      </c>
      <c r="E2541">
        <v>110000</v>
      </c>
      <c r="F2541">
        <v>0</v>
      </c>
    </row>
    <row r="2542" spans="1:6" hidden="1" x14ac:dyDescent="0.3">
      <c r="A2542">
        <v>2541</v>
      </c>
      <c r="B2542" t="s">
        <v>16</v>
      </c>
      <c r="C2542">
        <v>2020</v>
      </c>
      <c r="D2542" t="s">
        <v>11</v>
      </c>
      <c r="E2542">
        <v>18000000</v>
      </c>
      <c r="F2542">
        <v>13500000000</v>
      </c>
    </row>
    <row r="2543" spans="1:6" hidden="1" x14ac:dyDescent="0.3">
      <c r="A2543">
        <v>2542</v>
      </c>
      <c r="B2543" t="s">
        <v>16</v>
      </c>
      <c r="C2543">
        <v>2020</v>
      </c>
      <c r="D2543" t="s">
        <v>11</v>
      </c>
      <c r="E2543">
        <v>7500</v>
      </c>
      <c r="F2543">
        <v>820000000</v>
      </c>
    </row>
    <row r="2544" spans="1:6" hidden="1" x14ac:dyDescent="0.3">
      <c r="A2544">
        <v>2543</v>
      </c>
      <c r="B2544" t="s">
        <v>16</v>
      </c>
      <c r="C2544">
        <v>2020</v>
      </c>
      <c r="D2544" t="s">
        <v>9</v>
      </c>
      <c r="E2544">
        <v>0</v>
      </c>
      <c r="F2544">
        <v>10000000</v>
      </c>
    </row>
    <row r="2545" spans="1:6" hidden="1" x14ac:dyDescent="0.3">
      <c r="A2545">
        <v>2544</v>
      </c>
      <c r="B2545" t="s">
        <v>16</v>
      </c>
      <c r="C2545">
        <v>2020</v>
      </c>
      <c r="D2545" t="s">
        <v>9</v>
      </c>
      <c r="E2545">
        <v>5000</v>
      </c>
      <c r="F2545">
        <v>0</v>
      </c>
    </row>
    <row r="2546" spans="1:6" hidden="1" x14ac:dyDescent="0.3">
      <c r="A2546">
        <v>2545</v>
      </c>
      <c r="B2546" t="s">
        <v>16</v>
      </c>
      <c r="C2546">
        <v>2020</v>
      </c>
      <c r="D2546" t="s">
        <v>9</v>
      </c>
      <c r="E2546">
        <v>150000</v>
      </c>
      <c r="F2546">
        <v>4000000000</v>
      </c>
    </row>
    <row r="2547" spans="1:6" hidden="1" x14ac:dyDescent="0.3">
      <c r="A2547">
        <v>2546</v>
      </c>
      <c r="B2547" t="s">
        <v>18</v>
      </c>
      <c r="C2547">
        <v>2020</v>
      </c>
      <c r="D2547" t="s">
        <v>14</v>
      </c>
      <c r="E2547">
        <v>15075</v>
      </c>
      <c r="F2547">
        <v>0</v>
      </c>
    </row>
    <row r="2548" spans="1:6" hidden="1" x14ac:dyDescent="0.3">
      <c r="A2548">
        <v>2547</v>
      </c>
      <c r="B2548" t="s">
        <v>18</v>
      </c>
      <c r="C2548">
        <v>2020</v>
      </c>
      <c r="D2548" t="s">
        <v>9</v>
      </c>
      <c r="E2548">
        <v>196152</v>
      </c>
      <c r="F2548">
        <v>808000000</v>
      </c>
    </row>
    <row r="2549" spans="1:6" hidden="1" x14ac:dyDescent="0.3">
      <c r="A2549">
        <v>2548</v>
      </c>
      <c r="B2549" t="s">
        <v>18</v>
      </c>
      <c r="C2549">
        <v>2020</v>
      </c>
      <c r="D2549" t="s">
        <v>9</v>
      </c>
      <c r="E2549">
        <v>24000</v>
      </c>
      <c r="F2549">
        <v>0</v>
      </c>
    </row>
    <row r="2550" spans="1:6" hidden="1" x14ac:dyDescent="0.3">
      <c r="A2550">
        <v>2549</v>
      </c>
      <c r="B2550" t="s">
        <v>18</v>
      </c>
      <c r="C2550">
        <v>2020</v>
      </c>
      <c r="D2550" t="s">
        <v>9</v>
      </c>
      <c r="E2550">
        <v>22</v>
      </c>
      <c r="F2550">
        <v>1500000000</v>
      </c>
    </row>
    <row r="2551" spans="1:6" hidden="1" x14ac:dyDescent="0.3">
      <c r="A2551">
        <v>2550</v>
      </c>
      <c r="B2551" t="s">
        <v>18</v>
      </c>
      <c r="C2551">
        <v>2020</v>
      </c>
      <c r="D2551" t="s">
        <v>9</v>
      </c>
      <c r="E2551">
        <v>2501</v>
      </c>
      <c r="F2551">
        <v>0</v>
      </c>
    </row>
    <row r="2552" spans="1:6" hidden="1" x14ac:dyDescent="0.3">
      <c r="A2552">
        <v>2551</v>
      </c>
      <c r="B2552" t="s">
        <v>18</v>
      </c>
      <c r="C2552">
        <v>2020</v>
      </c>
      <c r="D2552" t="s">
        <v>9</v>
      </c>
      <c r="E2552">
        <v>1000</v>
      </c>
      <c r="F2552">
        <v>50000000</v>
      </c>
    </row>
    <row r="2553" spans="1:6" hidden="1" x14ac:dyDescent="0.3">
      <c r="A2553">
        <v>2552</v>
      </c>
      <c r="B2553" t="s">
        <v>17</v>
      </c>
      <c r="C2553">
        <v>2020</v>
      </c>
      <c r="D2553" t="s">
        <v>11</v>
      </c>
      <c r="E2553">
        <v>1100</v>
      </c>
      <c r="F2553">
        <v>0</v>
      </c>
    </row>
    <row r="2554" spans="1:6" hidden="1" x14ac:dyDescent="0.3">
      <c r="A2554">
        <v>2553</v>
      </c>
      <c r="B2554" t="s">
        <v>17</v>
      </c>
      <c r="C2554">
        <v>2020</v>
      </c>
      <c r="D2554" t="s">
        <v>9</v>
      </c>
      <c r="E2554">
        <v>40000</v>
      </c>
      <c r="F2554">
        <v>0</v>
      </c>
    </row>
    <row r="2555" spans="1:6" hidden="1" x14ac:dyDescent="0.3">
      <c r="A2555">
        <v>2554</v>
      </c>
      <c r="B2555" t="s">
        <v>17</v>
      </c>
      <c r="C2555">
        <v>2020</v>
      </c>
      <c r="D2555" t="s">
        <v>9</v>
      </c>
      <c r="E2555">
        <v>111665</v>
      </c>
      <c r="F2555">
        <v>0</v>
      </c>
    </row>
    <row r="2556" spans="1:6" hidden="1" x14ac:dyDescent="0.3">
      <c r="A2556">
        <v>2555</v>
      </c>
      <c r="B2556" t="s">
        <v>21</v>
      </c>
      <c r="C2556">
        <v>2020</v>
      </c>
      <c r="D2556" t="s">
        <v>14</v>
      </c>
      <c r="E2556">
        <v>24393</v>
      </c>
      <c r="F2556">
        <v>75000000</v>
      </c>
    </row>
    <row r="2557" spans="1:6" hidden="1" x14ac:dyDescent="0.3">
      <c r="A2557">
        <v>2556</v>
      </c>
      <c r="B2557" t="s">
        <v>21</v>
      </c>
      <c r="C2557">
        <v>2020</v>
      </c>
      <c r="D2557" t="s">
        <v>11</v>
      </c>
      <c r="E2557">
        <v>3500</v>
      </c>
      <c r="F2557">
        <v>100000000</v>
      </c>
    </row>
    <row r="2558" spans="1:6" hidden="1" x14ac:dyDescent="0.3">
      <c r="A2558">
        <v>2557</v>
      </c>
      <c r="B2558" t="s">
        <v>21</v>
      </c>
      <c r="C2558">
        <v>2020</v>
      </c>
      <c r="D2558" t="s">
        <v>11</v>
      </c>
      <c r="E2558">
        <v>0</v>
      </c>
      <c r="F2558">
        <v>0</v>
      </c>
    </row>
    <row r="2559" spans="1:6" hidden="1" x14ac:dyDescent="0.3">
      <c r="A2559">
        <v>2558</v>
      </c>
      <c r="B2559" t="s">
        <v>21</v>
      </c>
      <c r="C2559">
        <v>2020</v>
      </c>
      <c r="D2559" t="s">
        <v>11</v>
      </c>
      <c r="E2559">
        <v>0</v>
      </c>
      <c r="F2559">
        <v>100000000</v>
      </c>
    </row>
    <row r="2560" spans="1:6" hidden="1" x14ac:dyDescent="0.3">
      <c r="A2560">
        <v>2559</v>
      </c>
      <c r="B2560" t="s">
        <v>30</v>
      </c>
      <c r="C2560">
        <v>2020</v>
      </c>
      <c r="D2560" t="s">
        <v>9</v>
      </c>
      <c r="E2560">
        <v>8700</v>
      </c>
      <c r="F2560">
        <v>0</v>
      </c>
    </row>
    <row r="2561" spans="1:6" hidden="1" x14ac:dyDescent="0.3">
      <c r="A2561">
        <v>2560</v>
      </c>
      <c r="B2561" t="s">
        <v>30</v>
      </c>
      <c r="C2561">
        <v>2020</v>
      </c>
      <c r="D2561" t="s">
        <v>9</v>
      </c>
      <c r="E2561">
        <v>145000</v>
      </c>
      <c r="F2561">
        <v>0</v>
      </c>
    </row>
    <row r="2562" spans="1:6" hidden="1" x14ac:dyDescent="0.3">
      <c r="A2562">
        <v>2561</v>
      </c>
      <c r="B2562" t="s">
        <v>31</v>
      </c>
      <c r="C2562">
        <v>2020</v>
      </c>
      <c r="D2562" t="s">
        <v>9</v>
      </c>
      <c r="E2562">
        <v>1000</v>
      </c>
      <c r="F2562">
        <v>0</v>
      </c>
    </row>
    <row r="2563" spans="1:6" hidden="1" x14ac:dyDescent="0.3">
      <c r="A2563">
        <v>2562</v>
      </c>
      <c r="B2563" t="s">
        <v>32</v>
      </c>
      <c r="C2563">
        <v>2020</v>
      </c>
      <c r="D2563" t="s">
        <v>9</v>
      </c>
      <c r="E2563">
        <v>632608</v>
      </c>
      <c r="F2563">
        <v>10000000</v>
      </c>
    </row>
    <row r="2564" spans="1:6" hidden="1" x14ac:dyDescent="0.3">
      <c r="A2564">
        <v>2563</v>
      </c>
      <c r="B2564" t="s">
        <v>32</v>
      </c>
      <c r="C2564">
        <v>2020</v>
      </c>
      <c r="D2564" t="s">
        <v>9</v>
      </c>
      <c r="E2564">
        <v>50012</v>
      </c>
      <c r="F2564">
        <v>0</v>
      </c>
    </row>
    <row r="2565" spans="1:6" hidden="1" x14ac:dyDescent="0.3">
      <c r="A2565">
        <v>2564</v>
      </c>
      <c r="B2565" t="s">
        <v>24</v>
      </c>
      <c r="C2565">
        <v>2020</v>
      </c>
      <c r="D2565" t="s">
        <v>11</v>
      </c>
      <c r="E2565">
        <v>900000</v>
      </c>
      <c r="F2565">
        <v>741000000</v>
      </c>
    </row>
    <row r="2566" spans="1:6" hidden="1" x14ac:dyDescent="0.3">
      <c r="A2566">
        <v>2565</v>
      </c>
      <c r="B2566" t="s">
        <v>35</v>
      </c>
      <c r="C2566">
        <v>2020</v>
      </c>
      <c r="D2566" t="s">
        <v>9</v>
      </c>
      <c r="E2566">
        <v>179</v>
      </c>
      <c r="F2566">
        <v>0</v>
      </c>
    </row>
    <row r="2567" spans="1:6" hidden="1" x14ac:dyDescent="0.3">
      <c r="A2567">
        <v>2566</v>
      </c>
      <c r="B2567" t="s">
        <v>35</v>
      </c>
      <c r="C2567">
        <v>2020</v>
      </c>
      <c r="D2567" t="s">
        <v>9</v>
      </c>
      <c r="E2567">
        <v>5000</v>
      </c>
      <c r="F2567">
        <v>0</v>
      </c>
    </row>
    <row r="2568" spans="1:6" hidden="1" x14ac:dyDescent="0.3">
      <c r="A2568">
        <v>2567</v>
      </c>
      <c r="B2568" t="s">
        <v>21</v>
      </c>
      <c r="C2568">
        <v>2021</v>
      </c>
      <c r="D2568" t="s">
        <v>11</v>
      </c>
      <c r="E2568">
        <v>621</v>
      </c>
      <c r="F2568">
        <v>50000000</v>
      </c>
    </row>
    <row r="2569" spans="1:6" hidden="1" x14ac:dyDescent="0.3">
      <c r="A2569">
        <v>2568</v>
      </c>
      <c r="B2569" t="s">
        <v>21</v>
      </c>
      <c r="C2569">
        <v>2021</v>
      </c>
      <c r="D2569" t="s">
        <v>11</v>
      </c>
      <c r="E2569">
        <v>0</v>
      </c>
      <c r="F2569">
        <v>500000000</v>
      </c>
    </row>
    <row r="2570" spans="1:6" hidden="1" x14ac:dyDescent="0.3">
      <c r="A2570">
        <v>2569</v>
      </c>
      <c r="B2570" t="s">
        <v>21</v>
      </c>
      <c r="C2570">
        <v>2021</v>
      </c>
      <c r="D2570" t="s">
        <v>11</v>
      </c>
      <c r="E2570">
        <v>1503</v>
      </c>
      <c r="F2570">
        <v>100000000</v>
      </c>
    </row>
    <row r="2571" spans="1:6" hidden="1" x14ac:dyDescent="0.3">
      <c r="A2571">
        <v>2570</v>
      </c>
      <c r="B2571" t="s">
        <v>21</v>
      </c>
      <c r="C2571">
        <v>2021</v>
      </c>
      <c r="D2571" t="s">
        <v>11</v>
      </c>
      <c r="E2571">
        <v>600</v>
      </c>
      <c r="F2571">
        <v>50000000</v>
      </c>
    </row>
    <row r="2572" spans="1:6" hidden="1" x14ac:dyDescent="0.3">
      <c r="A2572">
        <v>2571</v>
      </c>
      <c r="B2572" t="s">
        <v>33</v>
      </c>
      <c r="C2572">
        <v>2021</v>
      </c>
      <c r="D2572" t="s">
        <v>9</v>
      </c>
      <c r="E2572">
        <v>1010</v>
      </c>
      <c r="F2572">
        <v>0</v>
      </c>
    </row>
    <row r="2573" spans="1:6" hidden="1" x14ac:dyDescent="0.3">
      <c r="A2573">
        <v>2572</v>
      </c>
      <c r="B2573" t="s">
        <v>35</v>
      </c>
      <c r="C2573">
        <v>2021</v>
      </c>
      <c r="D2573" t="s">
        <v>9</v>
      </c>
      <c r="E2573">
        <v>4</v>
      </c>
      <c r="F2573">
        <v>0</v>
      </c>
    </row>
    <row r="2574" spans="1:6" hidden="1" x14ac:dyDescent="0.3">
      <c r="A2574">
        <v>2573</v>
      </c>
      <c r="B2574" t="s">
        <v>21</v>
      </c>
      <c r="C2574">
        <v>2021</v>
      </c>
      <c r="D2574" t="s">
        <v>11</v>
      </c>
      <c r="E2574">
        <v>0</v>
      </c>
      <c r="F2574">
        <v>50000000</v>
      </c>
    </row>
    <row r="2575" spans="1:6" hidden="1" x14ac:dyDescent="0.3">
      <c r="A2575">
        <v>2574</v>
      </c>
      <c r="B2575" t="s">
        <v>18</v>
      </c>
      <c r="C2575">
        <v>2021</v>
      </c>
      <c r="D2575" t="s">
        <v>11</v>
      </c>
      <c r="E2575">
        <v>2600</v>
      </c>
      <c r="F2575">
        <v>0</v>
      </c>
    </row>
    <row r="2576" spans="1:6" hidden="1" x14ac:dyDescent="0.3">
      <c r="A2576">
        <v>2575</v>
      </c>
      <c r="B2576" t="s">
        <v>17</v>
      </c>
      <c r="C2576">
        <v>2021</v>
      </c>
      <c r="D2576" t="s">
        <v>9</v>
      </c>
      <c r="E2576">
        <v>50190</v>
      </c>
      <c r="F2576">
        <v>0</v>
      </c>
    </row>
    <row r="2577" spans="1:6" hidden="1" x14ac:dyDescent="0.3">
      <c r="A2577">
        <v>2576</v>
      </c>
      <c r="B2577" t="s">
        <v>35</v>
      </c>
      <c r="C2577">
        <v>2021</v>
      </c>
      <c r="D2577" t="s">
        <v>11</v>
      </c>
      <c r="E2577">
        <v>6</v>
      </c>
      <c r="F2577">
        <v>0</v>
      </c>
    </row>
    <row r="2578" spans="1:6" hidden="1" x14ac:dyDescent="0.3">
      <c r="A2578">
        <v>2577</v>
      </c>
      <c r="B2578" t="s">
        <v>35</v>
      </c>
      <c r="C2578">
        <v>2021</v>
      </c>
      <c r="D2578" t="s">
        <v>11</v>
      </c>
      <c r="E2578">
        <v>22</v>
      </c>
      <c r="F2578">
        <v>0</v>
      </c>
    </row>
    <row r="2579" spans="1:6" hidden="1" x14ac:dyDescent="0.3">
      <c r="A2579">
        <v>2578</v>
      </c>
      <c r="B2579" t="s">
        <v>19</v>
      </c>
      <c r="C2579">
        <v>2021</v>
      </c>
      <c r="D2579" t="s">
        <v>9</v>
      </c>
      <c r="E2579">
        <v>2245</v>
      </c>
      <c r="F2579">
        <v>0</v>
      </c>
    </row>
    <row r="2580" spans="1:6" hidden="1" x14ac:dyDescent="0.3">
      <c r="A2580">
        <v>2579</v>
      </c>
      <c r="B2580" t="s">
        <v>19</v>
      </c>
      <c r="C2580">
        <v>2021</v>
      </c>
      <c r="D2580" t="s">
        <v>9</v>
      </c>
      <c r="E2580">
        <v>11799</v>
      </c>
      <c r="F2580">
        <v>0</v>
      </c>
    </row>
    <row r="2581" spans="1:6" hidden="1" x14ac:dyDescent="0.3">
      <c r="A2581">
        <v>2580</v>
      </c>
      <c r="B2581" t="s">
        <v>20</v>
      </c>
      <c r="C2581">
        <v>2021</v>
      </c>
      <c r="D2581" t="s">
        <v>14</v>
      </c>
      <c r="E2581">
        <v>100653</v>
      </c>
      <c r="F2581">
        <v>58700000</v>
      </c>
    </row>
    <row r="2582" spans="1:6" hidden="1" x14ac:dyDescent="0.3">
      <c r="A2582">
        <v>2581</v>
      </c>
      <c r="B2582" t="s">
        <v>20</v>
      </c>
      <c r="C2582">
        <v>2021</v>
      </c>
      <c r="D2582" t="s">
        <v>9</v>
      </c>
      <c r="E2582">
        <v>126025</v>
      </c>
      <c r="F2582">
        <v>0</v>
      </c>
    </row>
    <row r="2583" spans="1:6" hidden="1" x14ac:dyDescent="0.3">
      <c r="A2583">
        <v>2582</v>
      </c>
      <c r="B2583" t="s">
        <v>20</v>
      </c>
      <c r="C2583">
        <v>2021</v>
      </c>
      <c r="D2583" t="s">
        <v>9</v>
      </c>
      <c r="E2583">
        <v>1974</v>
      </c>
      <c r="F2583">
        <v>0</v>
      </c>
    </row>
    <row r="2584" spans="1:6" hidden="1" x14ac:dyDescent="0.3">
      <c r="A2584">
        <v>2583</v>
      </c>
      <c r="B2584" t="s">
        <v>20</v>
      </c>
      <c r="C2584">
        <v>2021</v>
      </c>
      <c r="D2584" t="s">
        <v>9</v>
      </c>
      <c r="E2584">
        <v>75506</v>
      </c>
      <c r="F2584">
        <v>0</v>
      </c>
    </row>
    <row r="2585" spans="1:6" hidden="1" x14ac:dyDescent="0.3">
      <c r="A2585">
        <v>2584</v>
      </c>
      <c r="B2585" t="s">
        <v>20</v>
      </c>
      <c r="C2585">
        <v>2021</v>
      </c>
      <c r="D2585" t="s">
        <v>9</v>
      </c>
      <c r="E2585">
        <v>6408</v>
      </c>
      <c r="F2585">
        <v>0</v>
      </c>
    </row>
    <row r="2586" spans="1:6" hidden="1" x14ac:dyDescent="0.3">
      <c r="A2586">
        <v>2585</v>
      </c>
      <c r="B2586" t="s">
        <v>20</v>
      </c>
      <c r="C2586">
        <v>2021</v>
      </c>
      <c r="D2586" t="s">
        <v>9</v>
      </c>
      <c r="E2586">
        <v>62900</v>
      </c>
      <c r="F2586">
        <v>0</v>
      </c>
    </row>
    <row r="2587" spans="1:6" hidden="1" x14ac:dyDescent="0.3">
      <c r="A2587">
        <v>2586</v>
      </c>
      <c r="B2587" t="s">
        <v>20</v>
      </c>
      <c r="C2587">
        <v>2021</v>
      </c>
      <c r="D2587" t="s">
        <v>9</v>
      </c>
      <c r="E2587">
        <v>11839</v>
      </c>
      <c r="F2587">
        <v>0</v>
      </c>
    </row>
    <row r="2588" spans="1:6" hidden="1" x14ac:dyDescent="0.3">
      <c r="A2588">
        <v>2587</v>
      </c>
      <c r="B2588" t="s">
        <v>20</v>
      </c>
      <c r="C2588">
        <v>2021</v>
      </c>
      <c r="D2588" t="s">
        <v>9</v>
      </c>
      <c r="E2588">
        <v>43000</v>
      </c>
      <c r="F2588">
        <v>0</v>
      </c>
    </row>
    <row r="2589" spans="1:6" hidden="1" x14ac:dyDescent="0.3">
      <c r="A2589">
        <v>2588</v>
      </c>
      <c r="B2589" t="s">
        <v>16</v>
      </c>
      <c r="C2589">
        <v>2021</v>
      </c>
      <c r="D2589" t="s">
        <v>9</v>
      </c>
      <c r="E2589">
        <v>375000</v>
      </c>
      <c r="F2589">
        <v>3100000000</v>
      </c>
    </row>
    <row r="2590" spans="1:6" hidden="1" x14ac:dyDescent="0.3">
      <c r="A2590">
        <v>2589</v>
      </c>
      <c r="B2590" t="s">
        <v>16</v>
      </c>
      <c r="C2590">
        <v>2021</v>
      </c>
      <c r="D2590" t="s">
        <v>9</v>
      </c>
      <c r="E2590">
        <v>1402</v>
      </c>
      <c r="F2590">
        <v>0</v>
      </c>
    </row>
    <row r="2591" spans="1:6" hidden="1" x14ac:dyDescent="0.3">
      <c r="A2591">
        <v>2590</v>
      </c>
      <c r="B2591" t="s">
        <v>17</v>
      </c>
      <c r="C2591">
        <v>2021</v>
      </c>
      <c r="D2591" t="s">
        <v>9</v>
      </c>
      <c r="E2591">
        <v>43704</v>
      </c>
      <c r="F2591">
        <v>0</v>
      </c>
    </row>
    <row r="2592" spans="1:6" hidden="1" x14ac:dyDescent="0.3">
      <c r="A2592">
        <v>2591</v>
      </c>
      <c r="B2592" t="s">
        <v>17</v>
      </c>
      <c r="C2592">
        <v>2021</v>
      </c>
      <c r="D2592" t="s">
        <v>9</v>
      </c>
      <c r="E2592">
        <v>230004</v>
      </c>
      <c r="F2592">
        <v>0</v>
      </c>
    </row>
    <row r="2593" spans="1:6" hidden="1" x14ac:dyDescent="0.3">
      <c r="A2593">
        <v>2592</v>
      </c>
      <c r="B2593" t="s">
        <v>22</v>
      </c>
      <c r="C2593">
        <v>2021</v>
      </c>
      <c r="D2593" t="s">
        <v>9</v>
      </c>
      <c r="E2593">
        <v>1400</v>
      </c>
      <c r="F2593">
        <v>0</v>
      </c>
    </row>
    <row r="2594" spans="1:6" hidden="1" x14ac:dyDescent="0.3">
      <c r="A2594">
        <v>2593</v>
      </c>
      <c r="B2594" t="s">
        <v>33</v>
      </c>
      <c r="C2594">
        <v>2021</v>
      </c>
      <c r="D2594" t="s">
        <v>9</v>
      </c>
      <c r="E2594">
        <v>820</v>
      </c>
      <c r="F2594">
        <v>0</v>
      </c>
    </row>
    <row r="2595" spans="1:6" hidden="1" x14ac:dyDescent="0.3">
      <c r="A2595">
        <v>2594</v>
      </c>
      <c r="B2595" t="s">
        <v>33</v>
      </c>
      <c r="C2595">
        <v>2021</v>
      </c>
      <c r="D2595" t="s">
        <v>9</v>
      </c>
      <c r="E2595">
        <v>2101</v>
      </c>
      <c r="F2595">
        <v>0</v>
      </c>
    </row>
    <row r="2596" spans="1:6" hidden="1" x14ac:dyDescent="0.3">
      <c r="A2596">
        <v>2595</v>
      </c>
      <c r="B2596" t="s">
        <v>33</v>
      </c>
      <c r="C2596">
        <v>2021</v>
      </c>
      <c r="D2596" t="s">
        <v>9</v>
      </c>
      <c r="E2596">
        <v>10</v>
      </c>
      <c r="F2596">
        <v>0</v>
      </c>
    </row>
    <row r="2597" spans="1:6" hidden="1" x14ac:dyDescent="0.3">
      <c r="A2597">
        <v>2596</v>
      </c>
      <c r="B2597" t="s">
        <v>35</v>
      </c>
      <c r="C2597">
        <v>2021</v>
      </c>
      <c r="D2597" t="s">
        <v>14</v>
      </c>
      <c r="E2597">
        <v>64100</v>
      </c>
      <c r="F2597">
        <v>0</v>
      </c>
    </row>
    <row r="2598" spans="1:6" hidden="1" x14ac:dyDescent="0.3">
      <c r="A2598">
        <v>2597</v>
      </c>
      <c r="B2598" t="s">
        <v>36</v>
      </c>
      <c r="C2598">
        <v>2021</v>
      </c>
      <c r="D2598" t="s">
        <v>9</v>
      </c>
      <c r="E2598">
        <v>1875</v>
      </c>
      <c r="F2598">
        <v>0</v>
      </c>
    </row>
    <row r="2599" spans="1:6" hidden="1" x14ac:dyDescent="0.3">
      <c r="A2599">
        <v>2598</v>
      </c>
      <c r="B2599" t="s">
        <v>36</v>
      </c>
      <c r="C2599">
        <v>2021</v>
      </c>
      <c r="D2599" t="s">
        <v>9</v>
      </c>
      <c r="E2599">
        <v>12000</v>
      </c>
      <c r="F2599">
        <v>25000000</v>
      </c>
    </row>
    <row r="2600" spans="1:6" hidden="1" x14ac:dyDescent="0.3">
      <c r="A2600">
        <v>2599</v>
      </c>
      <c r="B2600" t="s">
        <v>36</v>
      </c>
      <c r="C2600">
        <v>2021</v>
      </c>
      <c r="D2600" t="s">
        <v>9</v>
      </c>
      <c r="E2600">
        <v>561</v>
      </c>
      <c r="F2600">
        <v>0</v>
      </c>
    </row>
    <row r="2601" spans="1:6" hidden="1" x14ac:dyDescent="0.3">
      <c r="A2601">
        <v>2600</v>
      </c>
      <c r="B2601" t="s">
        <v>36</v>
      </c>
      <c r="C2601">
        <v>2021</v>
      </c>
      <c r="D2601" t="s">
        <v>9</v>
      </c>
      <c r="E2601">
        <v>2595</v>
      </c>
      <c r="F2601">
        <v>0</v>
      </c>
    </row>
    <row r="2602" spans="1:6" hidden="1" x14ac:dyDescent="0.3">
      <c r="A2602">
        <v>2601</v>
      </c>
      <c r="B2602" t="s">
        <v>36</v>
      </c>
      <c r="C2602">
        <v>2021</v>
      </c>
      <c r="D2602" t="s">
        <v>9</v>
      </c>
      <c r="E2602">
        <v>105</v>
      </c>
      <c r="F2602">
        <v>0</v>
      </c>
    </row>
    <row r="2603" spans="1:6" hidden="1" x14ac:dyDescent="0.3">
      <c r="A2603">
        <v>2602</v>
      </c>
      <c r="B2603" t="s">
        <v>20</v>
      </c>
      <c r="C2603">
        <v>2021</v>
      </c>
      <c r="D2603" t="s">
        <v>14</v>
      </c>
      <c r="E2603">
        <v>750</v>
      </c>
      <c r="F2603">
        <v>0</v>
      </c>
    </row>
    <row r="2604" spans="1:6" hidden="1" x14ac:dyDescent="0.3">
      <c r="A2604">
        <v>2603</v>
      </c>
      <c r="B2604" t="s">
        <v>21</v>
      </c>
      <c r="C2604">
        <v>2021</v>
      </c>
      <c r="D2604" t="s">
        <v>14</v>
      </c>
      <c r="E2604">
        <v>21951</v>
      </c>
      <c r="F2604">
        <v>200000000</v>
      </c>
    </row>
    <row r="2605" spans="1:6" hidden="1" x14ac:dyDescent="0.3">
      <c r="A2605">
        <v>2604</v>
      </c>
      <c r="B2605" t="s">
        <v>16</v>
      </c>
      <c r="C2605">
        <v>2021</v>
      </c>
      <c r="D2605" t="s">
        <v>9</v>
      </c>
      <c r="E2605">
        <v>850000</v>
      </c>
      <c r="F2605">
        <v>0</v>
      </c>
    </row>
    <row r="2606" spans="1:6" hidden="1" x14ac:dyDescent="0.3">
      <c r="A2606">
        <v>2605</v>
      </c>
      <c r="B2606" t="s">
        <v>16</v>
      </c>
      <c r="C2606">
        <v>2021</v>
      </c>
      <c r="D2606" t="s">
        <v>9</v>
      </c>
      <c r="E2606">
        <v>74500</v>
      </c>
      <c r="F2606">
        <v>0</v>
      </c>
    </row>
    <row r="2607" spans="1:6" hidden="1" x14ac:dyDescent="0.3">
      <c r="A2607">
        <v>2606</v>
      </c>
      <c r="B2607" t="s">
        <v>35</v>
      </c>
      <c r="C2607">
        <v>2021</v>
      </c>
      <c r="D2607" t="s">
        <v>9</v>
      </c>
      <c r="E2607">
        <v>256</v>
      </c>
      <c r="F2607">
        <v>0</v>
      </c>
    </row>
    <row r="2608" spans="1:6" hidden="1" x14ac:dyDescent="0.3">
      <c r="A2608">
        <v>2607</v>
      </c>
      <c r="B2608" t="s">
        <v>20</v>
      </c>
      <c r="C2608">
        <v>2021</v>
      </c>
      <c r="D2608" t="s">
        <v>11</v>
      </c>
      <c r="E2608">
        <v>509625</v>
      </c>
      <c r="F2608">
        <v>800000000</v>
      </c>
    </row>
    <row r="2609" spans="1:6" hidden="1" x14ac:dyDescent="0.3">
      <c r="A2609">
        <v>2608</v>
      </c>
      <c r="B2609" t="s">
        <v>21</v>
      </c>
      <c r="C2609">
        <v>2021</v>
      </c>
      <c r="D2609" t="s">
        <v>11</v>
      </c>
      <c r="E2609">
        <v>150</v>
      </c>
      <c r="F2609">
        <v>10000000</v>
      </c>
    </row>
    <row r="2610" spans="1:6" hidden="1" x14ac:dyDescent="0.3">
      <c r="A2610">
        <v>2609</v>
      </c>
      <c r="B2610" t="s">
        <v>30</v>
      </c>
      <c r="C2610">
        <v>2021</v>
      </c>
      <c r="D2610" t="s">
        <v>11</v>
      </c>
      <c r="E2610">
        <v>481901</v>
      </c>
      <c r="F2610">
        <v>0</v>
      </c>
    </row>
    <row r="2611" spans="1:6" hidden="1" x14ac:dyDescent="0.3">
      <c r="A2611">
        <v>2610</v>
      </c>
      <c r="B2611" t="s">
        <v>37</v>
      </c>
      <c r="C2611">
        <v>2021</v>
      </c>
      <c r="D2611" t="s">
        <v>11</v>
      </c>
      <c r="E2611">
        <v>37830</v>
      </c>
      <c r="F2611">
        <v>0</v>
      </c>
    </row>
    <row r="2612" spans="1:6" hidden="1" x14ac:dyDescent="0.3">
      <c r="A2612">
        <v>2611</v>
      </c>
      <c r="B2612" t="s">
        <v>26</v>
      </c>
      <c r="C2612">
        <v>2021</v>
      </c>
      <c r="D2612" t="s">
        <v>7</v>
      </c>
      <c r="E2612">
        <v>6800000</v>
      </c>
      <c r="F2612">
        <v>0</v>
      </c>
    </row>
    <row r="2613" spans="1:6" hidden="1" x14ac:dyDescent="0.3">
      <c r="A2613">
        <v>2612</v>
      </c>
      <c r="B2613" t="s">
        <v>16</v>
      </c>
      <c r="C2613">
        <v>2021</v>
      </c>
      <c r="D2613" t="s">
        <v>11</v>
      </c>
      <c r="E2613">
        <v>1625000</v>
      </c>
      <c r="F2613">
        <v>3000000000</v>
      </c>
    </row>
    <row r="2614" spans="1:6" hidden="1" x14ac:dyDescent="0.3">
      <c r="A2614">
        <v>2613</v>
      </c>
      <c r="B2614" t="s">
        <v>17</v>
      </c>
      <c r="C2614">
        <v>2021</v>
      </c>
      <c r="D2614" t="s">
        <v>9</v>
      </c>
      <c r="E2614">
        <v>6000</v>
      </c>
      <c r="F2614">
        <v>0</v>
      </c>
    </row>
    <row r="2615" spans="1:6" hidden="1" x14ac:dyDescent="0.3">
      <c r="A2615">
        <v>2614</v>
      </c>
      <c r="B2615" t="s">
        <v>26</v>
      </c>
      <c r="C2615">
        <v>2021</v>
      </c>
      <c r="D2615" t="s">
        <v>9</v>
      </c>
      <c r="E2615">
        <v>0</v>
      </c>
      <c r="F2615">
        <v>0</v>
      </c>
    </row>
    <row r="2616" spans="1:6" hidden="1" x14ac:dyDescent="0.3">
      <c r="A2616">
        <v>2615</v>
      </c>
      <c r="B2616" t="s">
        <v>19</v>
      </c>
      <c r="C2616">
        <v>2021</v>
      </c>
      <c r="D2616" t="s">
        <v>9</v>
      </c>
      <c r="E2616">
        <v>10572</v>
      </c>
      <c r="F2616">
        <v>0</v>
      </c>
    </row>
    <row r="2617" spans="1:6" hidden="1" x14ac:dyDescent="0.3">
      <c r="A2617">
        <v>2616</v>
      </c>
      <c r="B2617" t="s">
        <v>27</v>
      </c>
      <c r="C2617">
        <v>2021</v>
      </c>
      <c r="D2617" t="s">
        <v>14</v>
      </c>
      <c r="E2617">
        <v>702763</v>
      </c>
      <c r="F2617">
        <v>1620071000</v>
      </c>
    </row>
    <row r="2618" spans="1:6" hidden="1" x14ac:dyDescent="0.3">
      <c r="A2618">
        <v>2617</v>
      </c>
      <c r="B2618" t="s">
        <v>27</v>
      </c>
      <c r="C2618">
        <v>2021</v>
      </c>
      <c r="D2618" t="s">
        <v>9</v>
      </c>
      <c r="E2618">
        <v>13380</v>
      </c>
      <c r="F2618">
        <v>0</v>
      </c>
    </row>
    <row r="2619" spans="1:6" hidden="1" x14ac:dyDescent="0.3">
      <c r="A2619">
        <v>2618</v>
      </c>
      <c r="B2619" t="s">
        <v>27</v>
      </c>
      <c r="C2619">
        <v>2021</v>
      </c>
      <c r="D2619" t="s">
        <v>11</v>
      </c>
      <c r="E2619">
        <v>3</v>
      </c>
      <c r="F2619">
        <v>0</v>
      </c>
    </row>
    <row r="2620" spans="1:6" hidden="1" x14ac:dyDescent="0.3">
      <c r="A2620">
        <v>2619</v>
      </c>
      <c r="B2620" t="s">
        <v>27</v>
      </c>
      <c r="C2620">
        <v>2021</v>
      </c>
      <c r="D2620" t="s">
        <v>11</v>
      </c>
      <c r="E2620">
        <v>0</v>
      </c>
      <c r="F2620">
        <v>0</v>
      </c>
    </row>
    <row r="2621" spans="1:6" hidden="1" x14ac:dyDescent="0.3">
      <c r="A2621">
        <v>2620</v>
      </c>
      <c r="B2621" t="s">
        <v>20</v>
      </c>
      <c r="C2621">
        <v>2021</v>
      </c>
      <c r="D2621" t="s">
        <v>14</v>
      </c>
      <c r="E2621">
        <v>5979</v>
      </c>
      <c r="F2621">
        <v>0</v>
      </c>
    </row>
    <row r="2622" spans="1:6" hidden="1" x14ac:dyDescent="0.3">
      <c r="A2622">
        <v>2621</v>
      </c>
      <c r="B2622" t="s">
        <v>20</v>
      </c>
      <c r="C2622">
        <v>2021</v>
      </c>
      <c r="D2622" t="s">
        <v>14</v>
      </c>
      <c r="E2622">
        <v>4532</v>
      </c>
      <c r="F2622">
        <v>0</v>
      </c>
    </row>
    <row r="2623" spans="1:6" hidden="1" x14ac:dyDescent="0.3">
      <c r="A2623">
        <v>2622</v>
      </c>
      <c r="B2623" t="s">
        <v>20</v>
      </c>
      <c r="C2623">
        <v>2021</v>
      </c>
      <c r="D2623" t="s">
        <v>14</v>
      </c>
      <c r="E2623">
        <v>1737</v>
      </c>
      <c r="F2623">
        <v>0</v>
      </c>
    </row>
    <row r="2624" spans="1:6" hidden="1" x14ac:dyDescent="0.3">
      <c r="A2624">
        <v>2623</v>
      </c>
      <c r="B2624" t="s">
        <v>20</v>
      </c>
      <c r="C2624">
        <v>2021</v>
      </c>
      <c r="D2624" t="s">
        <v>9</v>
      </c>
      <c r="E2624">
        <v>1275</v>
      </c>
      <c r="F2624">
        <v>0</v>
      </c>
    </row>
    <row r="2625" spans="1:6" hidden="1" x14ac:dyDescent="0.3">
      <c r="A2625">
        <v>2624</v>
      </c>
      <c r="B2625" t="s">
        <v>20</v>
      </c>
      <c r="C2625">
        <v>2021</v>
      </c>
      <c r="D2625" t="s">
        <v>9</v>
      </c>
      <c r="E2625">
        <v>10000</v>
      </c>
      <c r="F2625">
        <v>0</v>
      </c>
    </row>
    <row r="2626" spans="1:6" hidden="1" x14ac:dyDescent="0.3">
      <c r="A2626">
        <v>2625</v>
      </c>
      <c r="B2626" t="s">
        <v>20</v>
      </c>
      <c r="C2626">
        <v>2021</v>
      </c>
      <c r="D2626" t="s">
        <v>9</v>
      </c>
      <c r="E2626">
        <v>25400</v>
      </c>
      <c r="F2626">
        <v>0</v>
      </c>
    </row>
    <row r="2627" spans="1:6" hidden="1" x14ac:dyDescent="0.3">
      <c r="A2627">
        <v>2626</v>
      </c>
      <c r="B2627" t="s">
        <v>20</v>
      </c>
      <c r="C2627">
        <v>2021</v>
      </c>
      <c r="D2627" t="s">
        <v>9</v>
      </c>
      <c r="E2627">
        <v>228650</v>
      </c>
      <c r="F2627">
        <v>50000000</v>
      </c>
    </row>
    <row r="2628" spans="1:6" hidden="1" x14ac:dyDescent="0.3">
      <c r="A2628">
        <v>2627</v>
      </c>
      <c r="B2628" t="s">
        <v>20</v>
      </c>
      <c r="C2628">
        <v>2021</v>
      </c>
      <c r="D2628" t="s">
        <v>9</v>
      </c>
      <c r="E2628">
        <v>90590</v>
      </c>
      <c r="F2628">
        <v>0</v>
      </c>
    </row>
    <row r="2629" spans="1:6" hidden="1" x14ac:dyDescent="0.3">
      <c r="A2629">
        <v>2628</v>
      </c>
      <c r="B2629" t="s">
        <v>20</v>
      </c>
      <c r="C2629">
        <v>2021</v>
      </c>
      <c r="D2629" t="s">
        <v>9</v>
      </c>
      <c r="E2629">
        <v>59800</v>
      </c>
      <c r="F2629">
        <v>0</v>
      </c>
    </row>
    <row r="2630" spans="1:6" hidden="1" x14ac:dyDescent="0.3">
      <c r="A2630">
        <v>2629</v>
      </c>
      <c r="B2630" t="s">
        <v>20</v>
      </c>
      <c r="C2630">
        <v>2021</v>
      </c>
      <c r="D2630" t="s">
        <v>9</v>
      </c>
      <c r="E2630">
        <v>79095</v>
      </c>
      <c r="F2630">
        <v>0</v>
      </c>
    </row>
    <row r="2631" spans="1:6" hidden="1" x14ac:dyDescent="0.3">
      <c r="A2631">
        <v>2630</v>
      </c>
      <c r="B2631" t="s">
        <v>20</v>
      </c>
      <c r="C2631">
        <v>2021</v>
      </c>
      <c r="D2631" t="s">
        <v>9</v>
      </c>
      <c r="E2631">
        <v>2226</v>
      </c>
      <c r="F2631">
        <v>0</v>
      </c>
    </row>
    <row r="2632" spans="1:6" hidden="1" x14ac:dyDescent="0.3">
      <c r="A2632">
        <v>2631</v>
      </c>
      <c r="B2632" t="s">
        <v>20</v>
      </c>
      <c r="C2632">
        <v>2021</v>
      </c>
      <c r="D2632" t="s">
        <v>9</v>
      </c>
      <c r="E2632">
        <v>11028</v>
      </c>
      <c r="F2632">
        <v>0</v>
      </c>
    </row>
    <row r="2633" spans="1:6" hidden="1" x14ac:dyDescent="0.3">
      <c r="A2633">
        <v>2632</v>
      </c>
      <c r="B2633" t="s">
        <v>20</v>
      </c>
      <c r="C2633">
        <v>2021</v>
      </c>
      <c r="D2633" t="s">
        <v>9</v>
      </c>
      <c r="E2633">
        <v>78738</v>
      </c>
      <c r="F2633">
        <v>0</v>
      </c>
    </row>
    <row r="2634" spans="1:6" hidden="1" x14ac:dyDescent="0.3">
      <c r="A2634">
        <v>2633</v>
      </c>
      <c r="B2634" t="s">
        <v>20</v>
      </c>
      <c r="C2634">
        <v>2021</v>
      </c>
      <c r="D2634" t="s">
        <v>9</v>
      </c>
      <c r="E2634">
        <v>27500</v>
      </c>
      <c r="F2634">
        <v>0</v>
      </c>
    </row>
    <row r="2635" spans="1:6" hidden="1" x14ac:dyDescent="0.3">
      <c r="A2635">
        <v>2634</v>
      </c>
      <c r="B2635" t="s">
        <v>16</v>
      </c>
      <c r="C2635">
        <v>2021</v>
      </c>
      <c r="D2635" t="s">
        <v>14</v>
      </c>
      <c r="E2635">
        <v>3010</v>
      </c>
      <c r="F2635">
        <v>0</v>
      </c>
    </row>
    <row r="2636" spans="1:6" hidden="1" x14ac:dyDescent="0.3">
      <c r="A2636">
        <v>2635</v>
      </c>
      <c r="B2636" t="s">
        <v>16</v>
      </c>
      <c r="C2636">
        <v>2021</v>
      </c>
      <c r="D2636" t="s">
        <v>9</v>
      </c>
      <c r="E2636">
        <v>122</v>
      </c>
      <c r="F2636">
        <v>0</v>
      </c>
    </row>
    <row r="2637" spans="1:6" hidden="1" x14ac:dyDescent="0.3">
      <c r="A2637">
        <v>2636</v>
      </c>
      <c r="B2637" t="s">
        <v>16</v>
      </c>
      <c r="C2637">
        <v>2021</v>
      </c>
      <c r="D2637" t="s">
        <v>11</v>
      </c>
      <c r="E2637">
        <v>700153</v>
      </c>
      <c r="F2637">
        <v>1400000000</v>
      </c>
    </row>
    <row r="2638" spans="1:6" hidden="1" x14ac:dyDescent="0.3">
      <c r="A2638">
        <v>2637</v>
      </c>
      <c r="B2638" t="s">
        <v>16</v>
      </c>
      <c r="C2638">
        <v>2021</v>
      </c>
      <c r="D2638" t="s">
        <v>11</v>
      </c>
      <c r="E2638">
        <v>0</v>
      </c>
      <c r="F2638">
        <v>0</v>
      </c>
    </row>
    <row r="2639" spans="1:6" hidden="1" x14ac:dyDescent="0.3">
      <c r="A2639">
        <v>2638</v>
      </c>
      <c r="B2639" t="s">
        <v>16</v>
      </c>
      <c r="C2639">
        <v>2021</v>
      </c>
      <c r="D2639" t="s">
        <v>11</v>
      </c>
      <c r="E2639">
        <v>179000</v>
      </c>
      <c r="F2639">
        <v>0</v>
      </c>
    </row>
    <row r="2640" spans="1:6" hidden="1" x14ac:dyDescent="0.3">
      <c r="A2640">
        <v>2639</v>
      </c>
      <c r="B2640" t="s">
        <v>16</v>
      </c>
      <c r="C2640">
        <v>2021</v>
      </c>
      <c r="D2640" t="s">
        <v>11</v>
      </c>
      <c r="E2640">
        <v>2050</v>
      </c>
      <c r="F2640">
        <v>0</v>
      </c>
    </row>
    <row r="2641" spans="1:6" hidden="1" x14ac:dyDescent="0.3">
      <c r="A2641">
        <v>2640</v>
      </c>
      <c r="B2641" t="s">
        <v>16</v>
      </c>
      <c r="C2641">
        <v>2021</v>
      </c>
      <c r="D2641" t="s">
        <v>9</v>
      </c>
      <c r="E2641">
        <v>1000</v>
      </c>
      <c r="F2641">
        <v>100000000</v>
      </c>
    </row>
    <row r="2642" spans="1:6" hidden="1" x14ac:dyDescent="0.3">
      <c r="A2642">
        <v>2641</v>
      </c>
      <c r="B2642" t="s">
        <v>16</v>
      </c>
      <c r="C2642">
        <v>2021</v>
      </c>
      <c r="D2642" t="s">
        <v>9</v>
      </c>
      <c r="E2642">
        <v>7587</v>
      </c>
      <c r="F2642">
        <v>0</v>
      </c>
    </row>
    <row r="2643" spans="1:6" hidden="1" x14ac:dyDescent="0.3">
      <c r="A2643">
        <v>2642</v>
      </c>
      <c r="B2643" t="s">
        <v>16</v>
      </c>
      <c r="C2643">
        <v>2021</v>
      </c>
      <c r="D2643" t="s">
        <v>9</v>
      </c>
      <c r="E2643">
        <v>3950</v>
      </c>
      <c r="F2643">
        <v>0</v>
      </c>
    </row>
    <row r="2644" spans="1:6" hidden="1" x14ac:dyDescent="0.3">
      <c r="A2644">
        <v>2643</v>
      </c>
      <c r="B2644" t="s">
        <v>16</v>
      </c>
      <c r="C2644">
        <v>2021</v>
      </c>
      <c r="D2644" t="s">
        <v>9</v>
      </c>
      <c r="E2644">
        <v>11000</v>
      </c>
      <c r="F2644">
        <v>0</v>
      </c>
    </row>
    <row r="2645" spans="1:6" hidden="1" x14ac:dyDescent="0.3">
      <c r="A2645">
        <v>2644</v>
      </c>
      <c r="B2645" t="s">
        <v>18</v>
      </c>
      <c r="C2645">
        <v>2021</v>
      </c>
      <c r="D2645" t="s">
        <v>14</v>
      </c>
      <c r="E2645">
        <v>257724</v>
      </c>
      <c r="F2645">
        <v>10000000</v>
      </c>
    </row>
    <row r="2646" spans="1:6" hidden="1" x14ac:dyDescent="0.3">
      <c r="A2646">
        <v>2645</v>
      </c>
      <c r="B2646" t="s">
        <v>18</v>
      </c>
      <c r="C2646">
        <v>2021</v>
      </c>
      <c r="D2646" t="s">
        <v>14</v>
      </c>
      <c r="E2646">
        <v>3543</v>
      </c>
      <c r="F2646">
        <v>0</v>
      </c>
    </row>
    <row r="2647" spans="1:6" hidden="1" x14ac:dyDescent="0.3">
      <c r="A2647">
        <v>2646</v>
      </c>
      <c r="B2647" t="s">
        <v>18</v>
      </c>
      <c r="C2647">
        <v>2021</v>
      </c>
      <c r="D2647" t="s">
        <v>14</v>
      </c>
      <c r="E2647">
        <v>36588</v>
      </c>
      <c r="F2647">
        <v>165000000</v>
      </c>
    </row>
    <row r="2648" spans="1:6" hidden="1" x14ac:dyDescent="0.3">
      <c r="A2648">
        <v>2647</v>
      </c>
      <c r="B2648" t="s">
        <v>18</v>
      </c>
      <c r="C2648">
        <v>2021</v>
      </c>
      <c r="D2648" t="s">
        <v>9</v>
      </c>
      <c r="E2648">
        <v>1810</v>
      </c>
      <c r="F2648">
        <v>0</v>
      </c>
    </row>
    <row r="2649" spans="1:6" hidden="1" x14ac:dyDescent="0.3">
      <c r="A2649">
        <v>2648</v>
      </c>
      <c r="B2649" t="s">
        <v>18</v>
      </c>
      <c r="C2649">
        <v>2021</v>
      </c>
      <c r="D2649" t="s">
        <v>11</v>
      </c>
      <c r="E2649">
        <v>122</v>
      </c>
      <c r="F2649">
        <v>0</v>
      </c>
    </row>
    <row r="2650" spans="1:6" hidden="1" x14ac:dyDescent="0.3">
      <c r="A2650">
        <v>2649</v>
      </c>
      <c r="B2650" t="s">
        <v>18</v>
      </c>
      <c r="C2650">
        <v>2021</v>
      </c>
      <c r="D2650" t="s">
        <v>7</v>
      </c>
      <c r="E2650">
        <v>4900000</v>
      </c>
      <c r="F2650">
        <v>0</v>
      </c>
    </row>
    <row r="2651" spans="1:6" hidden="1" x14ac:dyDescent="0.3">
      <c r="A2651">
        <v>2650</v>
      </c>
      <c r="B2651" t="s">
        <v>34</v>
      </c>
      <c r="C2651">
        <v>2021</v>
      </c>
      <c r="D2651" t="s">
        <v>9</v>
      </c>
      <c r="E2651">
        <v>300000</v>
      </c>
      <c r="F2651">
        <v>0</v>
      </c>
    </row>
    <row r="2652" spans="1:6" hidden="1" x14ac:dyDescent="0.3">
      <c r="A2652">
        <v>2651</v>
      </c>
      <c r="B2652" t="s">
        <v>17</v>
      </c>
      <c r="C2652">
        <v>2021</v>
      </c>
      <c r="D2652" t="s">
        <v>11</v>
      </c>
      <c r="E2652">
        <v>879</v>
      </c>
      <c r="F2652">
        <v>0</v>
      </c>
    </row>
    <row r="2653" spans="1:6" hidden="1" x14ac:dyDescent="0.3">
      <c r="A2653">
        <v>2652</v>
      </c>
      <c r="B2653" t="s">
        <v>29</v>
      </c>
      <c r="C2653">
        <v>2021</v>
      </c>
      <c r="D2653" t="s">
        <v>9</v>
      </c>
      <c r="E2653">
        <v>1375</v>
      </c>
      <c r="F2653">
        <v>0</v>
      </c>
    </row>
    <row r="2654" spans="1:6" hidden="1" x14ac:dyDescent="0.3">
      <c r="A2654">
        <v>2653</v>
      </c>
      <c r="B2654" t="s">
        <v>29</v>
      </c>
      <c r="C2654">
        <v>2021</v>
      </c>
      <c r="D2654" t="s">
        <v>9</v>
      </c>
      <c r="E2654">
        <v>10</v>
      </c>
      <c r="F2654">
        <v>0</v>
      </c>
    </row>
    <row r="2655" spans="1:6" hidden="1" x14ac:dyDescent="0.3">
      <c r="A2655">
        <v>2654</v>
      </c>
      <c r="B2655" t="s">
        <v>22</v>
      </c>
      <c r="C2655">
        <v>2021</v>
      </c>
      <c r="D2655" t="s">
        <v>11</v>
      </c>
      <c r="E2655">
        <v>1000</v>
      </c>
      <c r="F2655">
        <v>0</v>
      </c>
    </row>
    <row r="2656" spans="1:6" hidden="1" x14ac:dyDescent="0.3">
      <c r="A2656">
        <v>2655</v>
      </c>
      <c r="B2656" t="s">
        <v>21</v>
      </c>
      <c r="C2656">
        <v>2021</v>
      </c>
      <c r="D2656" t="s">
        <v>11</v>
      </c>
      <c r="E2656">
        <v>0</v>
      </c>
      <c r="F2656">
        <v>100000000</v>
      </c>
    </row>
    <row r="2657" spans="1:6" hidden="1" x14ac:dyDescent="0.3">
      <c r="A2657">
        <v>2656</v>
      </c>
      <c r="B2657" t="s">
        <v>21</v>
      </c>
      <c r="C2657">
        <v>2021</v>
      </c>
      <c r="D2657" t="s">
        <v>9</v>
      </c>
      <c r="E2657">
        <v>1000</v>
      </c>
      <c r="F2657">
        <v>50000000</v>
      </c>
    </row>
    <row r="2658" spans="1:6" hidden="1" x14ac:dyDescent="0.3">
      <c r="A2658">
        <v>2657</v>
      </c>
      <c r="B2658" t="s">
        <v>21</v>
      </c>
      <c r="C2658">
        <v>2021</v>
      </c>
      <c r="D2658" t="s">
        <v>9</v>
      </c>
      <c r="E2658">
        <v>1020</v>
      </c>
      <c r="F2658">
        <v>0</v>
      </c>
    </row>
    <row r="2659" spans="1:6" hidden="1" x14ac:dyDescent="0.3">
      <c r="A2659">
        <v>2658</v>
      </c>
      <c r="B2659" t="s">
        <v>21</v>
      </c>
      <c r="C2659">
        <v>2021</v>
      </c>
      <c r="D2659" t="s">
        <v>9</v>
      </c>
      <c r="E2659">
        <v>10500</v>
      </c>
      <c r="F2659">
        <v>10000000</v>
      </c>
    </row>
    <row r="2660" spans="1:6" hidden="1" x14ac:dyDescent="0.3">
      <c r="A2660">
        <v>2659</v>
      </c>
      <c r="B2660" t="s">
        <v>45</v>
      </c>
      <c r="C2660">
        <v>2021</v>
      </c>
      <c r="D2660" t="s">
        <v>9</v>
      </c>
      <c r="E2660">
        <v>125000</v>
      </c>
      <c r="F2660">
        <v>0</v>
      </c>
    </row>
    <row r="2661" spans="1:6" hidden="1" x14ac:dyDescent="0.3">
      <c r="A2661">
        <v>2660</v>
      </c>
      <c r="B2661" t="s">
        <v>30</v>
      </c>
      <c r="C2661">
        <v>2021</v>
      </c>
      <c r="D2661" t="s">
        <v>7</v>
      </c>
      <c r="E2661">
        <v>1562771</v>
      </c>
      <c r="F2661">
        <v>0</v>
      </c>
    </row>
    <row r="2662" spans="1:6" hidden="1" x14ac:dyDescent="0.3">
      <c r="A2662">
        <v>2661</v>
      </c>
      <c r="B2662" t="s">
        <v>30</v>
      </c>
      <c r="C2662">
        <v>2021</v>
      </c>
      <c r="D2662" t="s">
        <v>9</v>
      </c>
      <c r="E2662">
        <v>11410</v>
      </c>
      <c r="F2662">
        <v>0</v>
      </c>
    </row>
    <row r="2663" spans="1:6" hidden="1" x14ac:dyDescent="0.3">
      <c r="A2663">
        <v>2662</v>
      </c>
      <c r="B2663" t="s">
        <v>31</v>
      </c>
      <c r="C2663">
        <v>2021</v>
      </c>
      <c r="D2663" t="s">
        <v>9</v>
      </c>
      <c r="E2663">
        <v>401</v>
      </c>
      <c r="F2663">
        <v>0</v>
      </c>
    </row>
    <row r="2664" spans="1:6" hidden="1" x14ac:dyDescent="0.3">
      <c r="A2664">
        <v>2663</v>
      </c>
      <c r="B2664" t="s">
        <v>32</v>
      </c>
      <c r="C2664">
        <v>2021</v>
      </c>
      <c r="D2664" t="s">
        <v>9</v>
      </c>
      <c r="E2664">
        <v>105750</v>
      </c>
      <c r="F2664">
        <v>0</v>
      </c>
    </row>
    <row r="2665" spans="1:6" hidden="1" x14ac:dyDescent="0.3">
      <c r="A2665">
        <v>2664</v>
      </c>
      <c r="B2665" t="s">
        <v>35</v>
      </c>
      <c r="C2665">
        <v>2021</v>
      </c>
      <c r="D2665" t="s">
        <v>9</v>
      </c>
      <c r="E2665">
        <v>97</v>
      </c>
      <c r="F2665">
        <v>0</v>
      </c>
    </row>
    <row r="2666" spans="1:6" hidden="1" x14ac:dyDescent="0.3">
      <c r="A2666">
        <v>2665</v>
      </c>
      <c r="B2666" t="s">
        <v>35</v>
      </c>
      <c r="C2666">
        <v>2021</v>
      </c>
      <c r="D2666" t="s">
        <v>9</v>
      </c>
      <c r="E2666">
        <v>0</v>
      </c>
      <c r="F2666">
        <v>10000000</v>
      </c>
    </row>
    <row r="2667" spans="1:6" hidden="1" x14ac:dyDescent="0.3">
      <c r="A2667">
        <v>2666</v>
      </c>
      <c r="B2667" t="s">
        <v>36</v>
      </c>
      <c r="C2667">
        <v>2021</v>
      </c>
      <c r="D2667" t="s">
        <v>14</v>
      </c>
      <c r="E2667">
        <v>1421</v>
      </c>
      <c r="F2667">
        <v>0</v>
      </c>
    </row>
    <row r="2668" spans="1:6" hidden="1" x14ac:dyDescent="0.3">
      <c r="A2668">
        <v>2667</v>
      </c>
      <c r="B2668" t="s">
        <v>36</v>
      </c>
      <c r="C2668">
        <v>2021</v>
      </c>
      <c r="D2668" t="s">
        <v>14</v>
      </c>
      <c r="E2668">
        <v>17912</v>
      </c>
      <c r="F2668">
        <v>0</v>
      </c>
    </row>
    <row r="2669" spans="1:6" hidden="1" x14ac:dyDescent="0.3">
      <c r="A2669">
        <v>2668</v>
      </c>
      <c r="B2669" t="s">
        <v>36</v>
      </c>
      <c r="C2669">
        <v>2021</v>
      </c>
      <c r="D2669" t="s">
        <v>9</v>
      </c>
      <c r="E2669">
        <v>84</v>
      </c>
      <c r="F2669">
        <v>0</v>
      </c>
    </row>
    <row r="2670" spans="1:6" hidden="1" x14ac:dyDescent="0.3">
      <c r="A2670">
        <v>2669</v>
      </c>
      <c r="B2670" t="s">
        <v>36</v>
      </c>
      <c r="C2670">
        <v>2021</v>
      </c>
      <c r="D2670" t="s">
        <v>9</v>
      </c>
      <c r="E2670">
        <v>9000</v>
      </c>
      <c r="F2670">
        <v>0</v>
      </c>
    </row>
    <row r="2671" spans="1:6" hidden="1" x14ac:dyDescent="0.3">
      <c r="A2671">
        <v>2670</v>
      </c>
      <c r="B2671" t="s">
        <v>36</v>
      </c>
      <c r="C2671">
        <v>2021</v>
      </c>
      <c r="D2671" t="s">
        <v>9</v>
      </c>
      <c r="E2671">
        <v>2984</v>
      </c>
      <c r="F2671">
        <v>0</v>
      </c>
    </row>
    <row r="2672" spans="1:6" hidden="1" x14ac:dyDescent="0.3">
      <c r="A2672">
        <v>2671</v>
      </c>
      <c r="B2672" t="s">
        <v>35</v>
      </c>
      <c r="C2672">
        <v>2022</v>
      </c>
      <c r="D2672" t="s">
        <v>11</v>
      </c>
      <c r="E2672">
        <v>0</v>
      </c>
      <c r="F2672">
        <v>0</v>
      </c>
    </row>
    <row r="2673" spans="1:6" hidden="1" x14ac:dyDescent="0.3">
      <c r="A2673">
        <v>2672</v>
      </c>
      <c r="B2673" t="s">
        <v>22</v>
      </c>
      <c r="C2673">
        <v>2022</v>
      </c>
      <c r="D2673" t="s">
        <v>9</v>
      </c>
      <c r="E2673">
        <v>62114</v>
      </c>
      <c r="F2673">
        <v>0</v>
      </c>
    </row>
    <row r="2674" spans="1:6" hidden="1" x14ac:dyDescent="0.3">
      <c r="A2674">
        <v>2673</v>
      </c>
      <c r="B2674" t="s">
        <v>20</v>
      </c>
      <c r="C2674">
        <v>2022</v>
      </c>
      <c r="D2674" t="s">
        <v>9</v>
      </c>
      <c r="E2674">
        <v>6500</v>
      </c>
      <c r="F2674">
        <v>0</v>
      </c>
    </row>
    <row r="2675" spans="1:6" hidden="1" x14ac:dyDescent="0.3">
      <c r="A2675">
        <v>2674</v>
      </c>
      <c r="B2675" t="s">
        <v>20</v>
      </c>
      <c r="C2675">
        <v>2022</v>
      </c>
      <c r="D2675" t="s">
        <v>9</v>
      </c>
      <c r="E2675">
        <v>16003</v>
      </c>
      <c r="F2675">
        <v>0</v>
      </c>
    </row>
    <row r="2676" spans="1:6" hidden="1" x14ac:dyDescent="0.3">
      <c r="A2676">
        <v>2675</v>
      </c>
      <c r="B2676" t="s">
        <v>36</v>
      </c>
      <c r="C2676">
        <v>2022</v>
      </c>
      <c r="D2676" t="s">
        <v>9</v>
      </c>
      <c r="E2676">
        <v>500</v>
      </c>
      <c r="F2676">
        <v>0</v>
      </c>
    </row>
    <row r="2677" spans="1:6" hidden="1" x14ac:dyDescent="0.3">
      <c r="A2677">
        <v>2676</v>
      </c>
      <c r="B2677" t="s">
        <v>22</v>
      </c>
      <c r="C2677">
        <v>2022</v>
      </c>
      <c r="D2677" t="s">
        <v>11</v>
      </c>
      <c r="E2677">
        <v>112115</v>
      </c>
      <c r="F2677">
        <v>0</v>
      </c>
    </row>
    <row r="2678" spans="1:6" hidden="1" x14ac:dyDescent="0.3">
      <c r="A2678">
        <v>2677</v>
      </c>
      <c r="B2678" t="s">
        <v>30</v>
      </c>
      <c r="C2678">
        <v>2022</v>
      </c>
      <c r="D2678" t="s">
        <v>11</v>
      </c>
      <c r="E2678">
        <v>185636</v>
      </c>
      <c r="F2678">
        <v>0</v>
      </c>
    </row>
    <row r="2679" spans="1:6" hidden="1" x14ac:dyDescent="0.3">
      <c r="A2679">
        <v>2678</v>
      </c>
      <c r="B2679" t="s">
        <v>30</v>
      </c>
      <c r="C2679">
        <v>2022</v>
      </c>
      <c r="D2679" t="s">
        <v>11</v>
      </c>
      <c r="E2679">
        <v>736123</v>
      </c>
      <c r="F2679">
        <v>0</v>
      </c>
    </row>
    <row r="2680" spans="1:6" hidden="1" x14ac:dyDescent="0.3">
      <c r="A2680">
        <v>2679</v>
      </c>
      <c r="B2680" t="s">
        <v>19</v>
      </c>
      <c r="C2680">
        <v>2022</v>
      </c>
      <c r="D2680" t="s">
        <v>14</v>
      </c>
      <c r="E2680">
        <v>31302</v>
      </c>
      <c r="F2680">
        <v>0</v>
      </c>
    </row>
    <row r="2681" spans="1:6" hidden="1" x14ac:dyDescent="0.3">
      <c r="A2681">
        <v>2680</v>
      </c>
      <c r="B2681" t="s">
        <v>23</v>
      </c>
      <c r="C2681">
        <v>2022</v>
      </c>
      <c r="D2681" t="s">
        <v>9</v>
      </c>
      <c r="E2681">
        <v>1800</v>
      </c>
      <c r="F2681">
        <v>0</v>
      </c>
    </row>
    <row r="2682" spans="1:6" hidden="1" x14ac:dyDescent="0.3">
      <c r="A2682">
        <v>2681</v>
      </c>
      <c r="B2682" t="s">
        <v>27</v>
      </c>
      <c r="C2682">
        <v>2022</v>
      </c>
      <c r="D2682" t="s">
        <v>14</v>
      </c>
      <c r="E2682">
        <v>1017</v>
      </c>
      <c r="F2682">
        <v>0</v>
      </c>
    </row>
    <row r="2683" spans="1:6" hidden="1" x14ac:dyDescent="0.3">
      <c r="A2683">
        <v>2682</v>
      </c>
      <c r="B2683" t="s">
        <v>27</v>
      </c>
      <c r="C2683">
        <v>2022</v>
      </c>
      <c r="D2683" t="s">
        <v>9</v>
      </c>
      <c r="E2683">
        <v>500</v>
      </c>
      <c r="F2683">
        <v>0</v>
      </c>
    </row>
    <row r="2684" spans="1:6" hidden="1" x14ac:dyDescent="0.3">
      <c r="A2684">
        <v>2683</v>
      </c>
      <c r="B2684" t="s">
        <v>27</v>
      </c>
      <c r="C2684">
        <v>2022</v>
      </c>
      <c r="D2684" t="s">
        <v>9</v>
      </c>
      <c r="E2684">
        <v>12500</v>
      </c>
      <c r="F2684">
        <v>0</v>
      </c>
    </row>
    <row r="2685" spans="1:6" hidden="1" x14ac:dyDescent="0.3">
      <c r="A2685">
        <v>2684</v>
      </c>
      <c r="B2685" t="s">
        <v>20</v>
      </c>
      <c r="C2685">
        <v>2022</v>
      </c>
      <c r="D2685" t="s">
        <v>14</v>
      </c>
      <c r="E2685">
        <v>302</v>
      </c>
      <c r="F2685">
        <v>0</v>
      </c>
    </row>
    <row r="2686" spans="1:6" hidden="1" x14ac:dyDescent="0.3">
      <c r="A2686">
        <v>2685</v>
      </c>
      <c r="B2686" t="s">
        <v>20</v>
      </c>
      <c r="C2686">
        <v>2022</v>
      </c>
      <c r="D2686" t="s">
        <v>14</v>
      </c>
      <c r="E2686">
        <v>15390</v>
      </c>
      <c r="F2686">
        <v>23000000</v>
      </c>
    </row>
    <row r="2687" spans="1:6" hidden="1" x14ac:dyDescent="0.3">
      <c r="A2687">
        <v>2686</v>
      </c>
      <c r="B2687" t="s">
        <v>20</v>
      </c>
      <c r="C2687">
        <v>2022</v>
      </c>
      <c r="D2687" t="s">
        <v>14</v>
      </c>
      <c r="E2687">
        <v>24903</v>
      </c>
      <c r="F2687">
        <v>39000000</v>
      </c>
    </row>
    <row r="2688" spans="1:6" hidden="1" x14ac:dyDescent="0.3">
      <c r="A2688">
        <v>2687</v>
      </c>
      <c r="B2688" t="s">
        <v>20</v>
      </c>
      <c r="C2688">
        <v>2022</v>
      </c>
      <c r="D2688" t="s">
        <v>9</v>
      </c>
      <c r="E2688">
        <v>14700</v>
      </c>
      <c r="F2688">
        <v>12000000</v>
      </c>
    </row>
    <row r="2689" spans="1:6" hidden="1" x14ac:dyDescent="0.3">
      <c r="A2689">
        <v>2688</v>
      </c>
      <c r="B2689" t="s">
        <v>20</v>
      </c>
      <c r="C2689">
        <v>2022</v>
      </c>
      <c r="D2689" t="s">
        <v>9</v>
      </c>
      <c r="E2689">
        <v>31800</v>
      </c>
      <c r="F2689">
        <v>62000000</v>
      </c>
    </row>
    <row r="2690" spans="1:6" hidden="1" x14ac:dyDescent="0.3">
      <c r="A2690">
        <v>2689</v>
      </c>
      <c r="B2690" t="s">
        <v>18</v>
      </c>
      <c r="C2690">
        <v>2022</v>
      </c>
      <c r="D2690" t="s">
        <v>9</v>
      </c>
      <c r="E2690">
        <v>20014</v>
      </c>
      <c r="F2690">
        <v>0</v>
      </c>
    </row>
    <row r="2691" spans="1:6" hidden="1" x14ac:dyDescent="0.3">
      <c r="A2691">
        <v>2690</v>
      </c>
      <c r="B2691" t="s">
        <v>18</v>
      </c>
      <c r="C2691">
        <v>2022</v>
      </c>
      <c r="D2691" t="s">
        <v>9</v>
      </c>
      <c r="E2691">
        <v>18001</v>
      </c>
      <c r="F2691">
        <v>0</v>
      </c>
    </row>
    <row r="2692" spans="1:6" hidden="1" x14ac:dyDescent="0.3">
      <c r="A2692">
        <v>2691</v>
      </c>
      <c r="B2692" t="s">
        <v>22</v>
      </c>
      <c r="C2692">
        <v>2022</v>
      </c>
      <c r="D2692" t="s">
        <v>11</v>
      </c>
      <c r="E2692">
        <v>131555</v>
      </c>
      <c r="F2692">
        <v>0</v>
      </c>
    </row>
    <row r="2693" spans="1:6" hidden="1" x14ac:dyDescent="0.3">
      <c r="A2693">
        <v>2692</v>
      </c>
      <c r="B2693" t="s">
        <v>22</v>
      </c>
      <c r="C2693">
        <v>2022</v>
      </c>
      <c r="D2693" t="s">
        <v>11</v>
      </c>
      <c r="E2693">
        <v>9900</v>
      </c>
      <c r="F2693">
        <v>0</v>
      </c>
    </row>
    <row r="2694" spans="1:6" hidden="1" x14ac:dyDescent="0.3">
      <c r="A2694">
        <v>2693</v>
      </c>
      <c r="B2694" t="s">
        <v>22</v>
      </c>
      <c r="C2694">
        <v>2022</v>
      </c>
      <c r="D2694" t="s">
        <v>11</v>
      </c>
      <c r="E2694">
        <v>169000</v>
      </c>
      <c r="F2694">
        <v>16000000</v>
      </c>
    </row>
    <row r="2695" spans="1:6" hidden="1" x14ac:dyDescent="0.3">
      <c r="A2695">
        <v>2694</v>
      </c>
      <c r="B2695" t="s">
        <v>22</v>
      </c>
      <c r="C2695">
        <v>2022</v>
      </c>
      <c r="D2695" t="s">
        <v>11</v>
      </c>
      <c r="E2695">
        <v>900</v>
      </c>
      <c r="F2695">
        <v>0</v>
      </c>
    </row>
    <row r="2696" spans="1:6" hidden="1" x14ac:dyDescent="0.3">
      <c r="A2696">
        <v>2695</v>
      </c>
      <c r="B2696" t="s">
        <v>30</v>
      </c>
      <c r="C2696">
        <v>2022</v>
      </c>
      <c r="D2696" t="s">
        <v>11</v>
      </c>
      <c r="E2696">
        <v>23733</v>
      </c>
      <c r="F2696">
        <v>0</v>
      </c>
    </row>
    <row r="2697" spans="1:6" hidden="1" x14ac:dyDescent="0.3">
      <c r="A2697">
        <v>2696</v>
      </c>
      <c r="B2697" t="s">
        <v>36</v>
      </c>
      <c r="C2697">
        <v>2022</v>
      </c>
      <c r="D2697" t="s">
        <v>14</v>
      </c>
      <c r="E2697">
        <v>300</v>
      </c>
      <c r="F2697">
        <v>0</v>
      </c>
    </row>
    <row r="2698" spans="1:6" hidden="1" x14ac:dyDescent="0.3">
      <c r="A2698">
        <v>2697</v>
      </c>
      <c r="B2698" t="s">
        <v>37</v>
      </c>
      <c r="C2698">
        <v>2019</v>
      </c>
      <c r="D2698" t="s">
        <v>11</v>
      </c>
      <c r="E2698">
        <v>3000</v>
      </c>
      <c r="F2698">
        <v>0</v>
      </c>
    </row>
    <row r="2699" spans="1:6" hidden="1" x14ac:dyDescent="0.3">
      <c r="A2699">
        <v>2698</v>
      </c>
      <c r="B2699" t="s">
        <v>37</v>
      </c>
      <c r="C2699">
        <v>2019</v>
      </c>
      <c r="D2699" t="s">
        <v>11</v>
      </c>
      <c r="E2699">
        <v>3297246</v>
      </c>
      <c r="F2699">
        <v>15722000</v>
      </c>
    </row>
    <row r="2700" spans="1:6" hidden="1" x14ac:dyDescent="0.3">
      <c r="A2700">
        <v>2699</v>
      </c>
      <c r="B2700" t="s">
        <v>41</v>
      </c>
      <c r="C2700">
        <v>2019</v>
      </c>
      <c r="D2700" t="s">
        <v>11</v>
      </c>
      <c r="E2700">
        <v>30000</v>
      </c>
      <c r="F2700">
        <v>0</v>
      </c>
    </row>
    <row r="2701" spans="1:6" hidden="1" x14ac:dyDescent="0.3">
      <c r="A2701">
        <v>2700</v>
      </c>
      <c r="B2701" t="s">
        <v>43</v>
      </c>
      <c r="C2701">
        <v>2019</v>
      </c>
      <c r="D2701" t="s">
        <v>11</v>
      </c>
      <c r="E2701">
        <v>20014</v>
      </c>
      <c r="F2701">
        <v>0</v>
      </c>
    </row>
    <row r="2702" spans="1:6" hidden="1" x14ac:dyDescent="0.3">
      <c r="A2702">
        <v>2701</v>
      </c>
      <c r="B2702" t="s">
        <v>43</v>
      </c>
      <c r="C2702">
        <v>2019</v>
      </c>
      <c r="D2702" t="s">
        <v>9</v>
      </c>
      <c r="E2702">
        <v>500</v>
      </c>
      <c r="F2702">
        <v>45000000</v>
      </c>
    </row>
    <row r="2703" spans="1:6" hidden="1" x14ac:dyDescent="0.3">
      <c r="A2703">
        <v>2702</v>
      </c>
      <c r="B2703" t="s">
        <v>43</v>
      </c>
      <c r="C2703">
        <v>2019</v>
      </c>
      <c r="D2703" t="s">
        <v>9</v>
      </c>
      <c r="E2703">
        <v>26255</v>
      </c>
      <c r="F2703">
        <v>0</v>
      </c>
    </row>
    <row r="2704" spans="1:6" hidden="1" x14ac:dyDescent="0.3">
      <c r="A2704">
        <v>2703</v>
      </c>
      <c r="B2704" t="s">
        <v>46</v>
      </c>
      <c r="C2704">
        <v>2019</v>
      </c>
      <c r="D2704" t="s">
        <v>9</v>
      </c>
      <c r="E2704">
        <v>500</v>
      </c>
      <c r="F2704">
        <v>0</v>
      </c>
    </row>
    <row r="2705" spans="1:6" hidden="1" x14ac:dyDescent="0.3">
      <c r="A2705">
        <v>2704</v>
      </c>
      <c r="B2705" t="s">
        <v>43</v>
      </c>
      <c r="C2705">
        <v>2019</v>
      </c>
      <c r="D2705" t="s">
        <v>11</v>
      </c>
      <c r="E2705">
        <v>2150</v>
      </c>
      <c r="F2705">
        <v>4000000</v>
      </c>
    </row>
    <row r="2706" spans="1:6" hidden="1" x14ac:dyDescent="0.3">
      <c r="A2706">
        <v>2705</v>
      </c>
      <c r="B2706" t="s">
        <v>37</v>
      </c>
      <c r="C2706">
        <v>2019</v>
      </c>
      <c r="D2706" t="s">
        <v>14</v>
      </c>
      <c r="E2706">
        <v>260703</v>
      </c>
      <c r="F2706">
        <v>0</v>
      </c>
    </row>
    <row r="2707" spans="1:6" hidden="1" x14ac:dyDescent="0.3">
      <c r="A2707">
        <v>2706</v>
      </c>
      <c r="B2707" t="s">
        <v>37</v>
      </c>
      <c r="C2707">
        <v>2019</v>
      </c>
      <c r="D2707" t="s">
        <v>14</v>
      </c>
      <c r="E2707">
        <v>394565</v>
      </c>
      <c r="F2707">
        <v>0</v>
      </c>
    </row>
    <row r="2708" spans="1:6" hidden="1" x14ac:dyDescent="0.3">
      <c r="A2708">
        <v>2707</v>
      </c>
      <c r="B2708" t="s">
        <v>37</v>
      </c>
      <c r="C2708">
        <v>2019</v>
      </c>
      <c r="D2708" t="s">
        <v>11</v>
      </c>
      <c r="E2708">
        <v>2000</v>
      </c>
      <c r="F2708">
        <v>377440000</v>
      </c>
    </row>
    <row r="2709" spans="1:6" hidden="1" x14ac:dyDescent="0.3">
      <c r="A2709">
        <v>2708</v>
      </c>
      <c r="B2709" t="s">
        <v>37</v>
      </c>
      <c r="C2709">
        <v>2019</v>
      </c>
      <c r="D2709" t="s">
        <v>11</v>
      </c>
      <c r="E2709">
        <v>61502</v>
      </c>
      <c r="F2709">
        <v>0</v>
      </c>
    </row>
    <row r="2710" spans="1:6" hidden="1" x14ac:dyDescent="0.3">
      <c r="A2710">
        <v>2709</v>
      </c>
      <c r="B2710" t="s">
        <v>37</v>
      </c>
      <c r="C2710">
        <v>2019</v>
      </c>
      <c r="D2710" t="s">
        <v>11</v>
      </c>
      <c r="E2710">
        <v>673</v>
      </c>
      <c r="F2710">
        <v>36000000</v>
      </c>
    </row>
    <row r="2711" spans="1:6" hidden="1" x14ac:dyDescent="0.3">
      <c r="A2711">
        <v>2710</v>
      </c>
      <c r="B2711" t="s">
        <v>37</v>
      </c>
      <c r="C2711">
        <v>2019</v>
      </c>
      <c r="D2711" t="s">
        <v>11</v>
      </c>
      <c r="E2711">
        <v>2647558</v>
      </c>
      <c r="F2711">
        <v>109151000</v>
      </c>
    </row>
    <row r="2712" spans="1:6" hidden="1" x14ac:dyDescent="0.3">
      <c r="A2712">
        <v>2711</v>
      </c>
      <c r="B2712" t="s">
        <v>41</v>
      </c>
      <c r="C2712">
        <v>2019</v>
      </c>
      <c r="D2712" t="s">
        <v>9</v>
      </c>
      <c r="E2712">
        <v>500000</v>
      </c>
      <c r="F2712">
        <v>0</v>
      </c>
    </row>
    <row r="2713" spans="1:6" hidden="1" x14ac:dyDescent="0.3">
      <c r="A2713">
        <v>2712</v>
      </c>
      <c r="B2713" t="s">
        <v>43</v>
      </c>
      <c r="C2713">
        <v>2019</v>
      </c>
      <c r="D2713" t="s">
        <v>7</v>
      </c>
      <c r="E2713">
        <v>685558</v>
      </c>
      <c r="F2713">
        <v>0</v>
      </c>
    </row>
    <row r="2714" spans="1:6" hidden="1" x14ac:dyDescent="0.3">
      <c r="A2714">
        <v>2713</v>
      </c>
      <c r="B2714" t="s">
        <v>43</v>
      </c>
      <c r="C2714">
        <v>2019</v>
      </c>
      <c r="D2714" t="s">
        <v>9</v>
      </c>
      <c r="E2714">
        <v>61540</v>
      </c>
      <c r="F2714">
        <v>0</v>
      </c>
    </row>
    <row r="2715" spans="1:6" hidden="1" x14ac:dyDescent="0.3">
      <c r="A2715">
        <v>2714</v>
      </c>
      <c r="B2715" t="s">
        <v>43</v>
      </c>
      <c r="C2715">
        <v>2019</v>
      </c>
      <c r="D2715" t="s">
        <v>9</v>
      </c>
      <c r="E2715">
        <v>36450</v>
      </c>
      <c r="F2715">
        <v>0</v>
      </c>
    </row>
    <row r="2716" spans="1:6" hidden="1" x14ac:dyDescent="0.3">
      <c r="A2716">
        <v>2715</v>
      </c>
      <c r="B2716" t="s">
        <v>38</v>
      </c>
      <c r="C2716">
        <v>2019</v>
      </c>
      <c r="D2716" t="s">
        <v>11</v>
      </c>
      <c r="E2716">
        <v>20</v>
      </c>
      <c r="F2716">
        <v>0</v>
      </c>
    </row>
    <row r="2717" spans="1:6" hidden="1" x14ac:dyDescent="0.3">
      <c r="A2717">
        <v>2716</v>
      </c>
      <c r="B2717" t="s">
        <v>38</v>
      </c>
      <c r="C2717">
        <v>2019</v>
      </c>
      <c r="D2717" t="s">
        <v>7</v>
      </c>
      <c r="E2717">
        <v>750000</v>
      </c>
      <c r="F2717">
        <v>135000000</v>
      </c>
    </row>
    <row r="2718" spans="1:6" hidden="1" x14ac:dyDescent="0.3">
      <c r="A2718">
        <v>2717</v>
      </c>
      <c r="B2718" t="s">
        <v>38</v>
      </c>
      <c r="C2718">
        <v>2019</v>
      </c>
      <c r="D2718" t="s">
        <v>9</v>
      </c>
      <c r="E2718">
        <v>3500</v>
      </c>
      <c r="F2718">
        <v>0</v>
      </c>
    </row>
    <row r="2719" spans="1:6" hidden="1" x14ac:dyDescent="0.3">
      <c r="A2719">
        <v>2718</v>
      </c>
      <c r="B2719" t="s">
        <v>37</v>
      </c>
      <c r="C2719">
        <v>2020</v>
      </c>
      <c r="D2719" t="s">
        <v>11</v>
      </c>
      <c r="E2719">
        <v>3356394</v>
      </c>
      <c r="F2719">
        <v>503294000</v>
      </c>
    </row>
    <row r="2720" spans="1:6" hidden="1" x14ac:dyDescent="0.3">
      <c r="A2720">
        <v>2719</v>
      </c>
      <c r="B2720" t="s">
        <v>37</v>
      </c>
      <c r="C2720">
        <v>2020</v>
      </c>
      <c r="D2720" t="s">
        <v>11</v>
      </c>
      <c r="E2720">
        <v>514909</v>
      </c>
      <c r="F2720">
        <v>421000000</v>
      </c>
    </row>
    <row r="2721" spans="1:6" hidden="1" x14ac:dyDescent="0.3">
      <c r="A2721">
        <v>2720</v>
      </c>
      <c r="B2721" t="s">
        <v>40</v>
      </c>
      <c r="C2721">
        <v>2020</v>
      </c>
      <c r="D2721" t="s">
        <v>11</v>
      </c>
      <c r="E2721">
        <v>149840</v>
      </c>
      <c r="F2721">
        <v>220000000</v>
      </c>
    </row>
    <row r="2722" spans="1:6" hidden="1" x14ac:dyDescent="0.3">
      <c r="A2722">
        <v>2721</v>
      </c>
      <c r="B2722" t="s">
        <v>43</v>
      </c>
      <c r="C2722">
        <v>2020</v>
      </c>
      <c r="D2722" t="s">
        <v>11</v>
      </c>
      <c r="E2722">
        <v>4652</v>
      </c>
      <c r="F2722">
        <v>1500000</v>
      </c>
    </row>
    <row r="2723" spans="1:6" hidden="1" x14ac:dyDescent="0.3">
      <c r="A2723">
        <v>2722</v>
      </c>
      <c r="B2723" t="s">
        <v>41</v>
      </c>
      <c r="C2723">
        <v>2020</v>
      </c>
      <c r="D2723" t="s">
        <v>11</v>
      </c>
      <c r="E2723">
        <v>120000</v>
      </c>
      <c r="F2723">
        <v>0</v>
      </c>
    </row>
    <row r="2724" spans="1:6" hidden="1" x14ac:dyDescent="0.3">
      <c r="A2724">
        <v>2723</v>
      </c>
      <c r="B2724" t="s">
        <v>38</v>
      </c>
      <c r="C2724">
        <v>2020</v>
      </c>
      <c r="D2724" t="s">
        <v>11</v>
      </c>
      <c r="E2724">
        <v>210</v>
      </c>
      <c r="F2724">
        <v>0</v>
      </c>
    </row>
    <row r="2725" spans="1:6" hidden="1" x14ac:dyDescent="0.3">
      <c r="A2725">
        <v>2724</v>
      </c>
      <c r="B2725" t="s">
        <v>43</v>
      </c>
      <c r="C2725">
        <v>2020</v>
      </c>
      <c r="D2725" t="s">
        <v>9</v>
      </c>
      <c r="E2725">
        <v>2621</v>
      </c>
      <c r="F2725">
        <v>22000000</v>
      </c>
    </row>
    <row r="2726" spans="1:6" hidden="1" x14ac:dyDescent="0.3">
      <c r="A2726">
        <v>2725</v>
      </c>
      <c r="B2726" t="s">
        <v>43</v>
      </c>
      <c r="C2726">
        <v>2020</v>
      </c>
      <c r="D2726" t="s">
        <v>11</v>
      </c>
      <c r="E2726">
        <v>450000</v>
      </c>
      <c r="F2726">
        <v>540000000</v>
      </c>
    </row>
    <row r="2727" spans="1:6" hidden="1" x14ac:dyDescent="0.3">
      <c r="A2727">
        <v>2726</v>
      </c>
      <c r="B2727" t="s">
        <v>46</v>
      </c>
      <c r="C2727">
        <v>2020</v>
      </c>
      <c r="D2727" t="s">
        <v>9</v>
      </c>
      <c r="E2727">
        <v>23129</v>
      </c>
      <c r="F2727">
        <v>10000000</v>
      </c>
    </row>
    <row r="2728" spans="1:6" hidden="1" x14ac:dyDescent="0.3">
      <c r="A2728">
        <v>2727</v>
      </c>
      <c r="B2728" t="s">
        <v>37</v>
      </c>
      <c r="C2728">
        <v>2020</v>
      </c>
      <c r="D2728" t="s">
        <v>11</v>
      </c>
      <c r="E2728">
        <v>36032</v>
      </c>
      <c r="F2728">
        <v>2293000</v>
      </c>
    </row>
    <row r="2729" spans="1:6" hidden="1" x14ac:dyDescent="0.3">
      <c r="A2729">
        <v>2728</v>
      </c>
      <c r="B2729" t="s">
        <v>43</v>
      </c>
      <c r="C2729">
        <v>2020</v>
      </c>
      <c r="D2729" t="s">
        <v>11</v>
      </c>
      <c r="E2729">
        <v>30013</v>
      </c>
      <c r="F2729">
        <v>0</v>
      </c>
    </row>
    <row r="2730" spans="1:6" hidden="1" x14ac:dyDescent="0.3">
      <c r="A2730">
        <v>2729</v>
      </c>
      <c r="B2730" t="s">
        <v>43</v>
      </c>
      <c r="C2730">
        <v>2020</v>
      </c>
      <c r="D2730" t="s">
        <v>11</v>
      </c>
      <c r="E2730">
        <v>1500000</v>
      </c>
      <c r="F2730">
        <v>850000000</v>
      </c>
    </row>
    <row r="2731" spans="1:6" hidden="1" x14ac:dyDescent="0.3">
      <c r="A2731">
        <v>2730</v>
      </c>
      <c r="B2731" t="s">
        <v>43</v>
      </c>
      <c r="C2731">
        <v>2020</v>
      </c>
      <c r="D2731" t="s">
        <v>11</v>
      </c>
      <c r="E2731">
        <v>0</v>
      </c>
      <c r="F2731">
        <v>0</v>
      </c>
    </row>
    <row r="2732" spans="1:6" hidden="1" x14ac:dyDescent="0.3">
      <c r="A2732">
        <v>2731</v>
      </c>
      <c r="B2732" t="s">
        <v>43</v>
      </c>
      <c r="C2732">
        <v>2020</v>
      </c>
      <c r="D2732" t="s">
        <v>11</v>
      </c>
      <c r="E2732">
        <v>5000</v>
      </c>
      <c r="F2732">
        <v>5260000</v>
      </c>
    </row>
    <row r="2733" spans="1:6" hidden="1" x14ac:dyDescent="0.3">
      <c r="A2733">
        <v>2732</v>
      </c>
      <c r="B2733" t="s">
        <v>41</v>
      </c>
      <c r="C2733">
        <v>2020</v>
      </c>
      <c r="D2733" t="s">
        <v>7</v>
      </c>
      <c r="E2733">
        <v>7100000</v>
      </c>
      <c r="F2733">
        <v>993000000</v>
      </c>
    </row>
    <row r="2734" spans="1:6" hidden="1" x14ac:dyDescent="0.3">
      <c r="A2734">
        <v>2733</v>
      </c>
      <c r="B2734" t="s">
        <v>37</v>
      </c>
      <c r="C2734">
        <v>2020</v>
      </c>
      <c r="D2734" t="s">
        <v>14</v>
      </c>
      <c r="E2734">
        <v>4980</v>
      </c>
      <c r="F2734">
        <v>2500000</v>
      </c>
    </row>
    <row r="2735" spans="1:6" hidden="1" x14ac:dyDescent="0.3">
      <c r="A2735">
        <v>2734</v>
      </c>
      <c r="B2735" t="s">
        <v>37</v>
      </c>
      <c r="C2735">
        <v>2020</v>
      </c>
      <c r="D2735" t="s">
        <v>11</v>
      </c>
      <c r="E2735">
        <v>578740</v>
      </c>
      <c r="F2735">
        <v>31100000</v>
      </c>
    </row>
    <row r="2736" spans="1:6" hidden="1" x14ac:dyDescent="0.3">
      <c r="A2736">
        <v>2735</v>
      </c>
      <c r="B2736" t="s">
        <v>37</v>
      </c>
      <c r="C2736">
        <v>2020</v>
      </c>
      <c r="D2736" t="s">
        <v>11</v>
      </c>
      <c r="E2736">
        <v>250</v>
      </c>
      <c r="F2736">
        <v>187000</v>
      </c>
    </row>
    <row r="2737" spans="1:6" hidden="1" x14ac:dyDescent="0.3">
      <c r="A2737">
        <v>2736</v>
      </c>
      <c r="B2737" t="s">
        <v>37</v>
      </c>
      <c r="C2737">
        <v>2020</v>
      </c>
      <c r="D2737" t="s">
        <v>11</v>
      </c>
      <c r="E2737">
        <v>888415</v>
      </c>
      <c r="F2737">
        <v>87100000</v>
      </c>
    </row>
    <row r="2738" spans="1:6" hidden="1" x14ac:dyDescent="0.3">
      <c r="A2738">
        <v>2737</v>
      </c>
      <c r="B2738" t="s">
        <v>39</v>
      </c>
      <c r="C2738">
        <v>2020</v>
      </c>
      <c r="D2738" t="s">
        <v>9</v>
      </c>
      <c r="E2738">
        <v>1161</v>
      </c>
      <c r="F2738">
        <v>85000000</v>
      </c>
    </row>
    <row r="2739" spans="1:6" hidden="1" x14ac:dyDescent="0.3">
      <c r="A2739">
        <v>2738</v>
      </c>
      <c r="B2739" t="s">
        <v>40</v>
      </c>
      <c r="C2739">
        <v>2020</v>
      </c>
      <c r="D2739" t="s">
        <v>11</v>
      </c>
      <c r="E2739">
        <v>0</v>
      </c>
      <c r="F2739">
        <v>0</v>
      </c>
    </row>
    <row r="2740" spans="1:6" hidden="1" x14ac:dyDescent="0.3">
      <c r="A2740">
        <v>2739</v>
      </c>
      <c r="B2740" t="s">
        <v>40</v>
      </c>
      <c r="C2740">
        <v>2020</v>
      </c>
      <c r="D2740" t="s">
        <v>11</v>
      </c>
      <c r="E2740">
        <v>0</v>
      </c>
      <c r="F2740">
        <v>0</v>
      </c>
    </row>
    <row r="2741" spans="1:6" hidden="1" x14ac:dyDescent="0.3">
      <c r="A2741">
        <v>2740</v>
      </c>
      <c r="B2741" t="s">
        <v>41</v>
      </c>
      <c r="C2741">
        <v>2020</v>
      </c>
      <c r="D2741" t="s">
        <v>9</v>
      </c>
      <c r="E2741">
        <v>191000</v>
      </c>
      <c r="F2741">
        <v>0</v>
      </c>
    </row>
    <row r="2742" spans="1:6" hidden="1" x14ac:dyDescent="0.3">
      <c r="A2742">
        <v>2741</v>
      </c>
      <c r="B2742" t="s">
        <v>41</v>
      </c>
      <c r="C2742">
        <v>2020</v>
      </c>
      <c r="D2742" t="s">
        <v>9</v>
      </c>
      <c r="E2742">
        <v>1000020</v>
      </c>
      <c r="F2742">
        <v>0</v>
      </c>
    </row>
    <row r="2743" spans="1:6" x14ac:dyDescent="0.3">
      <c r="A2743">
        <v>2742</v>
      </c>
      <c r="B2743" t="s">
        <v>42</v>
      </c>
      <c r="C2743">
        <v>2020</v>
      </c>
      <c r="D2743" t="s">
        <v>9</v>
      </c>
      <c r="E2743">
        <v>2690</v>
      </c>
      <c r="F2743">
        <v>0</v>
      </c>
    </row>
    <row r="2744" spans="1:6" hidden="1" x14ac:dyDescent="0.3">
      <c r="A2744">
        <v>2743</v>
      </c>
      <c r="B2744" t="s">
        <v>43</v>
      </c>
      <c r="C2744">
        <v>2020</v>
      </c>
      <c r="D2744" t="s">
        <v>11</v>
      </c>
      <c r="E2744">
        <v>10000</v>
      </c>
      <c r="F2744">
        <v>232000</v>
      </c>
    </row>
    <row r="2745" spans="1:6" hidden="1" x14ac:dyDescent="0.3">
      <c r="A2745">
        <v>2744</v>
      </c>
      <c r="B2745" t="s">
        <v>43</v>
      </c>
      <c r="C2745">
        <v>2020</v>
      </c>
      <c r="D2745" t="s">
        <v>11</v>
      </c>
      <c r="E2745">
        <v>70780</v>
      </c>
      <c r="F2745">
        <v>0</v>
      </c>
    </row>
    <row r="2746" spans="1:6" hidden="1" x14ac:dyDescent="0.3">
      <c r="A2746">
        <v>2745</v>
      </c>
      <c r="B2746" t="s">
        <v>43</v>
      </c>
      <c r="C2746">
        <v>2020</v>
      </c>
      <c r="D2746" t="s">
        <v>11</v>
      </c>
      <c r="E2746">
        <v>125000</v>
      </c>
      <c r="F2746">
        <v>33000000</v>
      </c>
    </row>
    <row r="2747" spans="1:6" hidden="1" x14ac:dyDescent="0.3">
      <c r="A2747">
        <v>2746</v>
      </c>
      <c r="B2747" t="s">
        <v>43</v>
      </c>
      <c r="C2747">
        <v>2020</v>
      </c>
      <c r="D2747" t="s">
        <v>11</v>
      </c>
      <c r="E2747">
        <v>4</v>
      </c>
      <c r="F2747">
        <v>0</v>
      </c>
    </row>
    <row r="2748" spans="1:6" hidden="1" x14ac:dyDescent="0.3">
      <c r="A2748">
        <v>2747</v>
      </c>
      <c r="B2748" t="s">
        <v>46</v>
      </c>
      <c r="C2748">
        <v>2020</v>
      </c>
      <c r="D2748" t="s">
        <v>9</v>
      </c>
      <c r="E2748">
        <v>150030</v>
      </c>
      <c r="F2748">
        <v>10000000</v>
      </c>
    </row>
    <row r="2749" spans="1:6" hidden="1" x14ac:dyDescent="0.3">
      <c r="A2749">
        <v>2748</v>
      </c>
      <c r="B2749" t="s">
        <v>46</v>
      </c>
      <c r="C2749">
        <v>2020</v>
      </c>
      <c r="D2749" t="s">
        <v>9</v>
      </c>
      <c r="E2749">
        <v>215</v>
      </c>
      <c r="F2749">
        <v>0</v>
      </c>
    </row>
    <row r="2750" spans="1:6" hidden="1" x14ac:dyDescent="0.3">
      <c r="A2750">
        <v>2749</v>
      </c>
      <c r="B2750" t="s">
        <v>46</v>
      </c>
      <c r="C2750">
        <v>2020</v>
      </c>
      <c r="D2750" t="s">
        <v>9</v>
      </c>
      <c r="E2750">
        <v>9006</v>
      </c>
      <c r="F2750">
        <v>0</v>
      </c>
    </row>
    <row r="2751" spans="1:6" hidden="1" x14ac:dyDescent="0.3">
      <c r="A2751">
        <v>2750</v>
      </c>
      <c r="B2751" t="s">
        <v>46</v>
      </c>
      <c r="C2751">
        <v>2020</v>
      </c>
      <c r="D2751" t="s">
        <v>9</v>
      </c>
      <c r="E2751">
        <v>150</v>
      </c>
      <c r="F2751">
        <v>0</v>
      </c>
    </row>
    <row r="2752" spans="1:6" hidden="1" x14ac:dyDescent="0.3">
      <c r="A2752">
        <v>2751</v>
      </c>
      <c r="B2752" t="s">
        <v>38</v>
      </c>
      <c r="C2752">
        <v>2020</v>
      </c>
      <c r="D2752" t="s">
        <v>9</v>
      </c>
      <c r="E2752">
        <v>200</v>
      </c>
      <c r="F2752">
        <v>0</v>
      </c>
    </row>
    <row r="2753" spans="1:6" hidden="1" x14ac:dyDescent="0.3">
      <c r="A2753">
        <v>2752</v>
      </c>
      <c r="B2753" t="s">
        <v>37</v>
      </c>
      <c r="C2753">
        <v>2021</v>
      </c>
      <c r="D2753" t="s">
        <v>11</v>
      </c>
      <c r="E2753">
        <v>21000</v>
      </c>
      <c r="F2753">
        <v>11000000</v>
      </c>
    </row>
    <row r="2754" spans="1:6" hidden="1" x14ac:dyDescent="0.3">
      <c r="A2754">
        <v>2753</v>
      </c>
      <c r="B2754" t="s">
        <v>37</v>
      </c>
      <c r="C2754">
        <v>2021</v>
      </c>
      <c r="D2754" t="s">
        <v>11</v>
      </c>
      <c r="E2754">
        <v>24</v>
      </c>
      <c r="F2754">
        <v>0</v>
      </c>
    </row>
    <row r="2755" spans="1:6" hidden="1" x14ac:dyDescent="0.3">
      <c r="A2755">
        <v>2754</v>
      </c>
      <c r="B2755" t="s">
        <v>37</v>
      </c>
      <c r="C2755">
        <v>2021</v>
      </c>
      <c r="D2755" t="s">
        <v>11</v>
      </c>
      <c r="E2755">
        <v>8048</v>
      </c>
      <c r="F2755">
        <v>240000</v>
      </c>
    </row>
    <row r="2756" spans="1:6" hidden="1" x14ac:dyDescent="0.3">
      <c r="A2756">
        <v>2755</v>
      </c>
      <c r="B2756" t="s">
        <v>43</v>
      </c>
      <c r="C2756">
        <v>2021</v>
      </c>
      <c r="D2756" t="s">
        <v>11</v>
      </c>
      <c r="E2756">
        <v>82500</v>
      </c>
      <c r="F2756">
        <v>7500000</v>
      </c>
    </row>
    <row r="2757" spans="1:6" hidden="1" x14ac:dyDescent="0.3">
      <c r="A2757">
        <v>2756</v>
      </c>
      <c r="B2757" t="s">
        <v>37</v>
      </c>
      <c r="C2757">
        <v>2021</v>
      </c>
      <c r="D2757" t="s">
        <v>11</v>
      </c>
      <c r="E2757">
        <v>1140539</v>
      </c>
      <c r="F2757">
        <v>103128000</v>
      </c>
    </row>
    <row r="2758" spans="1:6" hidden="1" x14ac:dyDescent="0.3">
      <c r="A2758">
        <v>2757</v>
      </c>
      <c r="B2758" t="s">
        <v>37</v>
      </c>
      <c r="C2758">
        <v>2021</v>
      </c>
      <c r="D2758" t="s">
        <v>9</v>
      </c>
      <c r="E2758">
        <v>261580</v>
      </c>
      <c r="F2758">
        <v>0</v>
      </c>
    </row>
    <row r="2759" spans="1:6" hidden="1" x14ac:dyDescent="0.3">
      <c r="A2759">
        <v>2758</v>
      </c>
      <c r="B2759" t="s">
        <v>37</v>
      </c>
      <c r="C2759">
        <v>2021</v>
      </c>
      <c r="D2759" t="s">
        <v>9</v>
      </c>
      <c r="E2759">
        <v>18170</v>
      </c>
      <c r="F2759">
        <v>0</v>
      </c>
    </row>
    <row r="2760" spans="1:6" hidden="1" x14ac:dyDescent="0.3">
      <c r="A2760">
        <v>2759</v>
      </c>
      <c r="B2760" t="s">
        <v>40</v>
      </c>
      <c r="C2760">
        <v>2021</v>
      </c>
      <c r="D2760" t="s">
        <v>9</v>
      </c>
      <c r="E2760">
        <v>300</v>
      </c>
      <c r="F2760">
        <v>0</v>
      </c>
    </row>
    <row r="2761" spans="1:6" x14ac:dyDescent="0.3">
      <c r="A2761">
        <v>2760</v>
      </c>
      <c r="B2761" t="s">
        <v>42</v>
      </c>
      <c r="C2761">
        <v>2021</v>
      </c>
      <c r="D2761" t="s">
        <v>9</v>
      </c>
      <c r="E2761">
        <v>25010</v>
      </c>
      <c r="F2761">
        <v>9000000</v>
      </c>
    </row>
    <row r="2762" spans="1:6" hidden="1" x14ac:dyDescent="0.3">
      <c r="A2762">
        <v>2761</v>
      </c>
      <c r="B2762" t="s">
        <v>43</v>
      </c>
      <c r="C2762">
        <v>2021</v>
      </c>
      <c r="D2762" t="s">
        <v>9</v>
      </c>
      <c r="E2762">
        <v>13603</v>
      </c>
      <c r="F2762">
        <v>0</v>
      </c>
    </row>
    <row r="2763" spans="1:6" hidden="1" x14ac:dyDescent="0.3">
      <c r="A2763">
        <v>2762</v>
      </c>
      <c r="B2763" t="s">
        <v>43</v>
      </c>
      <c r="C2763">
        <v>2021</v>
      </c>
      <c r="D2763" t="s">
        <v>9</v>
      </c>
      <c r="E2763">
        <v>300000</v>
      </c>
      <c r="F2763">
        <v>0</v>
      </c>
    </row>
    <row r="2764" spans="1:6" hidden="1" x14ac:dyDescent="0.3">
      <c r="A2764">
        <v>2763</v>
      </c>
      <c r="B2764" t="s">
        <v>43</v>
      </c>
      <c r="C2764">
        <v>2021</v>
      </c>
      <c r="D2764" t="s">
        <v>11</v>
      </c>
      <c r="E2764">
        <v>750</v>
      </c>
      <c r="F2764">
        <v>10000000</v>
      </c>
    </row>
    <row r="2765" spans="1:6" hidden="1" x14ac:dyDescent="0.3">
      <c r="A2765">
        <v>2764</v>
      </c>
      <c r="B2765" t="s">
        <v>38</v>
      </c>
      <c r="C2765">
        <v>2021</v>
      </c>
      <c r="D2765" t="s">
        <v>11</v>
      </c>
      <c r="E2765">
        <v>8837</v>
      </c>
      <c r="F2765">
        <v>0</v>
      </c>
    </row>
    <row r="2766" spans="1:6" hidden="1" x14ac:dyDescent="0.3">
      <c r="A2766">
        <v>2765</v>
      </c>
      <c r="B2766" t="s">
        <v>38</v>
      </c>
      <c r="C2766">
        <v>2021</v>
      </c>
      <c r="D2766" t="s">
        <v>11</v>
      </c>
      <c r="E2766">
        <v>3200</v>
      </c>
      <c r="F2766">
        <v>0</v>
      </c>
    </row>
    <row r="2767" spans="1:6" hidden="1" x14ac:dyDescent="0.3">
      <c r="A2767">
        <v>2766</v>
      </c>
      <c r="B2767" t="s">
        <v>38</v>
      </c>
      <c r="C2767">
        <v>2021</v>
      </c>
      <c r="D2767" t="s">
        <v>7</v>
      </c>
      <c r="E2767">
        <v>12000000</v>
      </c>
      <c r="F2767">
        <v>0</v>
      </c>
    </row>
    <row r="2768" spans="1:6" hidden="1" x14ac:dyDescent="0.3">
      <c r="A2768">
        <v>2767</v>
      </c>
      <c r="B2768" t="s">
        <v>37</v>
      </c>
      <c r="C2768">
        <v>2021</v>
      </c>
      <c r="D2768" t="s">
        <v>9</v>
      </c>
      <c r="E2768">
        <v>24166</v>
      </c>
      <c r="F2768">
        <v>0</v>
      </c>
    </row>
    <row r="2769" spans="1:6" hidden="1" x14ac:dyDescent="0.3">
      <c r="A2769">
        <v>2768</v>
      </c>
      <c r="B2769" t="s">
        <v>37</v>
      </c>
      <c r="C2769">
        <v>2021</v>
      </c>
      <c r="D2769" t="s">
        <v>9</v>
      </c>
      <c r="E2769">
        <v>38160</v>
      </c>
      <c r="F2769">
        <v>25000000</v>
      </c>
    </row>
    <row r="2770" spans="1:6" hidden="1" x14ac:dyDescent="0.3">
      <c r="A2770">
        <v>2769</v>
      </c>
      <c r="B2770" t="s">
        <v>37</v>
      </c>
      <c r="C2770">
        <v>2021</v>
      </c>
      <c r="D2770" t="s">
        <v>11</v>
      </c>
      <c r="E2770">
        <v>272453</v>
      </c>
      <c r="F2770">
        <v>3114000</v>
      </c>
    </row>
    <row r="2771" spans="1:6" hidden="1" x14ac:dyDescent="0.3">
      <c r="A2771">
        <v>2770</v>
      </c>
      <c r="B2771" t="s">
        <v>37</v>
      </c>
      <c r="C2771">
        <v>2021</v>
      </c>
      <c r="D2771" t="s">
        <v>11</v>
      </c>
      <c r="E2771">
        <v>15000</v>
      </c>
      <c r="F2771">
        <v>20000000</v>
      </c>
    </row>
    <row r="2772" spans="1:6" hidden="1" x14ac:dyDescent="0.3">
      <c r="A2772">
        <v>2771</v>
      </c>
      <c r="B2772" t="s">
        <v>37</v>
      </c>
      <c r="C2772">
        <v>2021</v>
      </c>
      <c r="D2772" t="s">
        <v>11</v>
      </c>
      <c r="E2772">
        <v>10608996</v>
      </c>
      <c r="F2772">
        <v>915271000</v>
      </c>
    </row>
    <row r="2773" spans="1:6" hidden="1" x14ac:dyDescent="0.3">
      <c r="A2773">
        <v>2772</v>
      </c>
      <c r="B2773" t="s">
        <v>37</v>
      </c>
      <c r="C2773">
        <v>2021</v>
      </c>
      <c r="D2773" t="s">
        <v>9</v>
      </c>
      <c r="E2773">
        <v>3280</v>
      </c>
      <c r="F2773">
        <v>0</v>
      </c>
    </row>
    <row r="2774" spans="1:6" hidden="1" x14ac:dyDescent="0.3">
      <c r="A2774">
        <v>2773</v>
      </c>
      <c r="B2774" t="s">
        <v>39</v>
      </c>
      <c r="C2774">
        <v>2021</v>
      </c>
      <c r="D2774" t="s">
        <v>9</v>
      </c>
      <c r="E2774">
        <v>100</v>
      </c>
      <c r="F2774">
        <v>0</v>
      </c>
    </row>
    <row r="2775" spans="1:6" hidden="1" x14ac:dyDescent="0.3">
      <c r="A2775">
        <v>2774</v>
      </c>
      <c r="B2775" t="s">
        <v>41</v>
      </c>
      <c r="C2775">
        <v>2021</v>
      </c>
      <c r="D2775" t="s">
        <v>9</v>
      </c>
      <c r="E2775">
        <v>400000</v>
      </c>
      <c r="F2775">
        <v>0</v>
      </c>
    </row>
    <row r="2776" spans="1:6" x14ac:dyDescent="0.3">
      <c r="A2776">
        <v>2775</v>
      </c>
      <c r="B2776" t="s">
        <v>42</v>
      </c>
      <c r="C2776">
        <v>2021</v>
      </c>
      <c r="D2776" t="s">
        <v>14</v>
      </c>
      <c r="E2776">
        <v>100</v>
      </c>
      <c r="F2776">
        <v>0</v>
      </c>
    </row>
    <row r="2777" spans="1:6" hidden="1" x14ac:dyDescent="0.3">
      <c r="A2777">
        <v>2776</v>
      </c>
      <c r="B2777" t="s">
        <v>43</v>
      </c>
      <c r="C2777">
        <v>2021</v>
      </c>
      <c r="D2777" t="s">
        <v>11</v>
      </c>
      <c r="E2777">
        <v>1000</v>
      </c>
      <c r="F2777">
        <v>0</v>
      </c>
    </row>
    <row r="2778" spans="1:6" hidden="1" x14ac:dyDescent="0.3">
      <c r="A2778">
        <v>2777</v>
      </c>
      <c r="B2778" t="s">
        <v>43</v>
      </c>
      <c r="C2778">
        <v>2021</v>
      </c>
      <c r="D2778" t="s">
        <v>9</v>
      </c>
      <c r="E2778">
        <v>180</v>
      </c>
      <c r="F2778">
        <v>0</v>
      </c>
    </row>
    <row r="2779" spans="1:6" hidden="1" x14ac:dyDescent="0.3">
      <c r="A2779">
        <v>2778</v>
      </c>
      <c r="B2779" t="s">
        <v>43</v>
      </c>
      <c r="C2779">
        <v>2021</v>
      </c>
      <c r="D2779" t="s">
        <v>11</v>
      </c>
      <c r="E2779">
        <v>310</v>
      </c>
      <c r="F2779">
        <v>0</v>
      </c>
    </row>
    <row r="2780" spans="1:6" hidden="1" x14ac:dyDescent="0.3">
      <c r="A2780">
        <v>2779</v>
      </c>
      <c r="B2780" t="s">
        <v>43</v>
      </c>
      <c r="C2780">
        <v>2021</v>
      </c>
      <c r="D2780" t="s">
        <v>11</v>
      </c>
      <c r="E2780">
        <v>0</v>
      </c>
      <c r="F2780">
        <v>9000000</v>
      </c>
    </row>
    <row r="2781" spans="1:6" hidden="1" x14ac:dyDescent="0.3">
      <c r="A2781">
        <v>2780</v>
      </c>
      <c r="B2781" t="s">
        <v>46</v>
      </c>
      <c r="C2781">
        <v>2021</v>
      </c>
      <c r="D2781" t="s">
        <v>9</v>
      </c>
      <c r="E2781">
        <v>22380</v>
      </c>
      <c r="F2781">
        <v>0</v>
      </c>
    </row>
    <row r="2782" spans="1:6" hidden="1" x14ac:dyDescent="0.3">
      <c r="A2782">
        <v>2781</v>
      </c>
      <c r="B2782" t="s">
        <v>46</v>
      </c>
      <c r="C2782">
        <v>2021</v>
      </c>
      <c r="D2782" t="s">
        <v>9</v>
      </c>
      <c r="E2782">
        <v>205828</v>
      </c>
      <c r="F2782">
        <v>0</v>
      </c>
    </row>
    <row r="2783" spans="1:6" hidden="1" x14ac:dyDescent="0.3">
      <c r="A2783">
        <v>2782</v>
      </c>
      <c r="B2783" t="s">
        <v>38</v>
      </c>
      <c r="C2783">
        <v>2021</v>
      </c>
      <c r="D2783" t="s">
        <v>9</v>
      </c>
      <c r="E2783">
        <v>400</v>
      </c>
      <c r="F2783">
        <v>75000000</v>
      </c>
    </row>
    <row r="2784" spans="1:6" hidden="1" x14ac:dyDescent="0.3">
      <c r="A2784">
        <v>2783</v>
      </c>
      <c r="B2784" t="s">
        <v>19</v>
      </c>
      <c r="C2784">
        <v>2022</v>
      </c>
      <c r="D2784" t="s">
        <v>11</v>
      </c>
      <c r="E2784">
        <v>457311</v>
      </c>
      <c r="F2784">
        <v>0</v>
      </c>
    </row>
    <row r="2785" spans="1:6" hidden="1" x14ac:dyDescent="0.3">
      <c r="A2785">
        <v>2784</v>
      </c>
      <c r="B2785" t="s">
        <v>6</v>
      </c>
      <c r="C2785">
        <v>2022</v>
      </c>
      <c r="D2785" t="s">
        <v>9</v>
      </c>
      <c r="E2785">
        <v>810</v>
      </c>
      <c r="F2785">
        <v>0</v>
      </c>
    </row>
    <row r="2786" spans="1:6" hidden="1" x14ac:dyDescent="0.3">
      <c r="A2786">
        <v>2785</v>
      </c>
      <c r="B2786" t="s">
        <v>6</v>
      </c>
      <c r="C2786">
        <v>2022</v>
      </c>
      <c r="D2786" t="s">
        <v>9</v>
      </c>
      <c r="E2786">
        <v>14554</v>
      </c>
      <c r="F2786">
        <v>0</v>
      </c>
    </row>
    <row r="2787" spans="1:6" hidden="1" x14ac:dyDescent="0.3">
      <c r="A2787">
        <v>2786</v>
      </c>
      <c r="B2787" t="s">
        <v>10</v>
      </c>
      <c r="C2787">
        <v>2022</v>
      </c>
      <c r="D2787" t="s">
        <v>9</v>
      </c>
      <c r="E2787">
        <v>3000</v>
      </c>
      <c r="F2787">
        <v>0</v>
      </c>
    </row>
    <row r="2788" spans="1:6" hidden="1" x14ac:dyDescent="0.3">
      <c r="A2788">
        <v>2787</v>
      </c>
      <c r="B2788" t="s">
        <v>19</v>
      </c>
      <c r="C2788">
        <v>2022</v>
      </c>
      <c r="D2788" t="s">
        <v>9</v>
      </c>
      <c r="E2788">
        <v>2890023</v>
      </c>
      <c r="F2788">
        <v>204000000</v>
      </c>
    </row>
    <row r="2789" spans="1:6" hidden="1" x14ac:dyDescent="0.3">
      <c r="A2789">
        <v>2788</v>
      </c>
      <c r="B2789" t="s">
        <v>44</v>
      </c>
      <c r="C2789">
        <v>2022</v>
      </c>
      <c r="D2789" t="s">
        <v>11</v>
      </c>
      <c r="E2789">
        <v>300000</v>
      </c>
      <c r="F2789">
        <v>0</v>
      </c>
    </row>
    <row r="2790" spans="1:6" hidden="1" x14ac:dyDescent="0.3">
      <c r="A2790">
        <v>2789</v>
      </c>
      <c r="B2790" t="s">
        <v>47</v>
      </c>
      <c r="C2790">
        <v>2022</v>
      </c>
      <c r="D2790" t="s">
        <v>7</v>
      </c>
      <c r="E2790">
        <v>192168</v>
      </c>
      <c r="F2790">
        <v>0</v>
      </c>
    </row>
    <row r="2791" spans="1:6" hidden="1" x14ac:dyDescent="0.3">
      <c r="A2791">
        <v>2790</v>
      </c>
      <c r="B2791" t="s">
        <v>38</v>
      </c>
      <c r="C2791">
        <v>2022</v>
      </c>
      <c r="D2791" t="s">
        <v>9</v>
      </c>
      <c r="E2791">
        <v>0</v>
      </c>
      <c r="F2791">
        <v>70000000</v>
      </c>
    </row>
    <row r="2792" spans="1:6" hidden="1" x14ac:dyDescent="0.3">
      <c r="A2792">
        <v>2791</v>
      </c>
      <c r="B2792" t="s">
        <v>38</v>
      </c>
      <c r="C2792">
        <v>2022</v>
      </c>
      <c r="D2792" t="s">
        <v>9</v>
      </c>
      <c r="E2792">
        <v>100</v>
      </c>
      <c r="F2792">
        <v>105000000</v>
      </c>
    </row>
    <row r="2793" spans="1:6" hidden="1" x14ac:dyDescent="0.3">
      <c r="A2793">
        <v>2792</v>
      </c>
      <c r="B2793" t="s">
        <v>38</v>
      </c>
      <c r="C2793">
        <v>2022</v>
      </c>
      <c r="D2793" t="s">
        <v>9</v>
      </c>
      <c r="E2793">
        <v>138</v>
      </c>
      <c r="F2793">
        <v>0</v>
      </c>
    </row>
    <row r="2794" spans="1:6" hidden="1" x14ac:dyDescent="0.3">
      <c r="A2794">
        <v>2793</v>
      </c>
      <c r="B2794" t="s">
        <v>38</v>
      </c>
      <c r="C2794">
        <v>2022</v>
      </c>
      <c r="D2794" t="s">
        <v>9</v>
      </c>
      <c r="E2794">
        <v>187</v>
      </c>
      <c r="F2794">
        <v>0</v>
      </c>
    </row>
    <row r="2795" spans="1:6" hidden="1" x14ac:dyDescent="0.3">
      <c r="A2795">
        <v>2794</v>
      </c>
      <c r="B2795" t="s">
        <v>6</v>
      </c>
      <c r="C2795">
        <v>2022</v>
      </c>
      <c r="D2795" t="s">
        <v>14</v>
      </c>
      <c r="E2795">
        <v>364623</v>
      </c>
      <c r="F2795">
        <v>0</v>
      </c>
    </row>
    <row r="2796" spans="1:6" hidden="1" x14ac:dyDescent="0.3">
      <c r="A2796">
        <v>2795</v>
      </c>
      <c r="B2796" t="s">
        <v>6</v>
      </c>
      <c r="C2796">
        <v>2022</v>
      </c>
      <c r="D2796" t="s">
        <v>9</v>
      </c>
      <c r="E2796">
        <v>20</v>
      </c>
      <c r="F2796">
        <v>0</v>
      </c>
    </row>
    <row r="2797" spans="1:6" hidden="1" x14ac:dyDescent="0.3">
      <c r="A2797">
        <v>2796</v>
      </c>
      <c r="B2797" t="s">
        <v>6</v>
      </c>
      <c r="C2797">
        <v>2022</v>
      </c>
      <c r="D2797" t="s">
        <v>9</v>
      </c>
      <c r="E2797">
        <v>250024</v>
      </c>
      <c r="F2797">
        <v>0</v>
      </c>
    </row>
    <row r="2798" spans="1:6" hidden="1" x14ac:dyDescent="0.3">
      <c r="A2798">
        <v>2797</v>
      </c>
      <c r="B2798" t="s">
        <v>6</v>
      </c>
      <c r="C2798">
        <v>2022</v>
      </c>
      <c r="D2798" t="s">
        <v>9</v>
      </c>
      <c r="E2798">
        <v>1379</v>
      </c>
      <c r="F2798">
        <v>0</v>
      </c>
    </row>
    <row r="2799" spans="1:6" hidden="1" x14ac:dyDescent="0.3">
      <c r="A2799">
        <v>2798</v>
      </c>
      <c r="B2799" t="s">
        <v>8</v>
      </c>
      <c r="C2799">
        <v>2022</v>
      </c>
      <c r="D2799" t="s">
        <v>11</v>
      </c>
      <c r="E2799">
        <v>1000000</v>
      </c>
      <c r="F2799">
        <v>0</v>
      </c>
    </row>
    <row r="2800" spans="1:6" hidden="1" x14ac:dyDescent="0.3">
      <c r="A2800">
        <v>2799</v>
      </c>
      <c r="B2800" t="s">
        <v>8</v>
      </c>
      <c r="C2800">
        <v>2022</v>
      </c>
      <c r="D2800" t="s">
        <v>9</v>
      </c>
      <c r="E2800">
        <v>7200000</v>
      </c>
      <c r="F2800">
        <v>462500000</v>
      </c>
    </row>
    <row r="2801" spans="1:6" hidden="1" x14ac:dyDescent="0.3">
      <c r="A2801">
        <v>2800</v>
      </c>
      <c r="B2801" t="s">
        <v>15</v>
      </c>
      <c r="C2801">
        <v>2022</v>
      </c>
      <c r="D2801" t="s">
        <v>9</v>
      </c>
      <c r="E2801">
        <v>10937</v>
      </c>
      <c r="F2801">
        <v>47000000</v>
      </c>
    </row>
    <row r="2802" spans="1:6" hidden="1" x14ac:dyDescent="0.3">
      <c r="A2802">
        <v>2801</v>
      </c>
      <c r="B2802" t="s">
        <v>10</v>
      </c>
      <c r="C2802">
        <v>2022</v>
      </c>
      <c r="D2802" t="s">
        <v>14</v>
      </c>
      <c r="E2802">
        <v>1052</v>
      </c>
      <c r="F2802">
        <v>26000000</v>
      </c>
    </row>
    <row r="2803" spans="1:6" hidden="1" x14ac:dyDescent="0.3">
      <c r="A2803">
        <v>2802</v>
      </c>
      <c r="B2803" t="s">
        <v>26</v>
      </c>
      <c r="C2803">
        <v>2022</v>
      </c>
      <c r="D2803" t="s">
        <v>7</v>
      </c>
      <c r="E2803">
        <v>24100000</v>
      </c>
      <c r="F2803">
        <v>640000000</v>
      </c>
    </row>
    <row r="2804" spans="1:6" hidden="1" x14ac:dyDescent="0.3">
      <c r="A2804">
        <v>2803</v>
      </c>
      <c r="B2804" t="s">
        <v>26</v>
      </c>
      <c r="C2804">
        <v>2022</v>
      </c>
      <c r="D2804" t="s">
        <v>9</v>
      </c>
      <c r="E2804">
        <v>264831</v>
      </c>
      <c r="F2804">
        <v>0</v>
      </c>
    </row>
    <row r="2805" spans="1:6" hidden="1" x14ac:dyDescent="0.3">
      <c r="A2805">
        <v>2804</v>
      </c>
      <c r="B2805" t="s">
        <v>23</v>
      </c>
      <c r="C2805">
        <v>2022</v>
      </c>
      <c r="D2805" t="s">
        <v>11</v>
      </c>
      <c r="E2805">
        <v>144000</v>
      </c>
      <c r="F2805">
        <v>0</v>
      </c>
    </row>
    <row r="2806" spans="1:6" hidden="1" x14ac:dyDescent="0.3">
      <c r="A2806">
        <v>2805</v>
      </c>
      <c r="B2806" t="s">
        <v>23</v>
      </c>
      <c r="C2806">
        <v>2022</v>
      </c>
      <c r="D2806" t="s">
        <v>9</v>
      </c>
      <c r="E2806">
        <v>76657</v>
      </c>
      <c r="F2806">
        <v>0</v>
      </c>
    </row>
    <row r="2807" spans="1:6" hidden="1" x14ac:dyDescent="0.3">
      <c r="A2807">
        <v>2806</v>
      </c>
      <c r="B2807" t="s">
        <v>20</v>
      </c>
      <c r="C2807">
        <v>2022</v>
      </c>
      <c r="D2807" t="s">
        <v>14</v>
      </c>
      <c r="E2807">
        <v>6003</v>
      </c>
      <c r="F2807">
        <v>0</v>
      </c>
    </row>
    <row r="2808" spans="1:6" hidden="1" x14ac:dyDescent="0.3">
      <c r="A2808">
        <v>2807</v>
      </c>
      <c r="B2808" t="s">
        <v>20</v>
      </c>
      <c r="C2808">
        <v>2022</v>
      </c>
      <c r="D2808" t="s">
        <v>14</v>
      </c>
      <c r="E2808">
        <v>2204645</v>
      </c>
      <c r="F2808">
        <v>0</v>
      </c>
    </row>
    <row r="2809" spans="1:6" hidden="1" x14ac:dyDescent="0.3">
      <c r="A2809">
        <v>2808</v>
      </c>
      <c r="B2809" t="s">
        <v>20</v>
      </c>
      <c r="C2809">
        <v>2023</v>
      </c>
      <c r="D2809" t="s">
        <v>14</v>
      </c>
      <c r="E2809">
        <v>2136</v>
      </c>
      <c r="F2809">
        <v>0</v>
      </c>
    </row>
    <row r="2810" spans="1:6" hidden="1" x14ac:dyDescent="0.3">
      <c r="A2810">
        <v>2809</v>
      </c>
      <c r="B2810" t="s">
        <v>6</v>
      </c>
      <c r="C2810">
        <v>2023</v>
      </c>
      <c r="D2810" t="s">
        <v>14</v>
      </c>
      <c r="E2810">
        <v>3345</v>
      </c>
      <c r="F2810">
        <v>0</v>
      </c>
    </row>
    <row r="2811" spans="1:6" hidden="1" x14ac:dyDescent="0.3">
      <c r="A2811">
        <v>2810</v>
      </c>
      <c r="B2811" t="s">
        <v>12</v>
      </c>
      <c r="C2811">
        <v>2023</v>
      </c>
      <c r="D2811" t="s">
        <v>9</v>
      </c>
      <c r="E2811">
        <v>44450</v>
      </c>
      <c r="F2811">
        <v>0</v>
      </c>
    </row>
    <row r="2812" spans="1:6" hidden="1" x14ac:dyDescent="0.3">
      <c r="A2812">
        <v>2811</v>
      </c>
      <c r="B2812" t="s">
        <v>8</v>
      </c>
      <c r="C2812">
        <v>2023</v>
      </c>
      <c r="D2812" t="s">
        <v>11</v>
      </c>
      <c r="E2812">
        <v>0</v>
      </c>
      <c r="F2812">
        <v>0</v>
      </c>
    </row>
    <row r="2813" spans="1:6" hidden="1" x14ac:dyDescent="0.3">
      <c r="A2813">
        <v>2812</v>
      </c>
      <c r="B2813" t="s">
        <v>26</v>
      </c>
      <c r="C2813">
        <v>2023</v>
      </c>
      <c r="D2813" t="s">
        <v>9</v>
      </c>
      <c r="E2813">
        <v>240000</v>
      </c>
      <c r="F2813">
        <v>0</v>
      </c>
    </row>
    <row r="2814" spans="1:6" hidden="1" x14ac:dyDescent="0.3">
      <c r="A2814">
        <v>2813</v>
      </c>
      <c r="B2814" t="s">
        <v>23</v>
      </c>
      <c r="C2814">
        <v>2023</v>
      </c>
      <c r="D2814" t="s">
        <v>7</v>
      </c>
      <c r="E2814">
        <v>10300</v>
      </c>
      <c r="F2814">
        <v>0</v>
      </c>
    </row>
    <row r="2815" spans="1:6" hidden="1" x14ac:dyDescent="0.3">
      <c r="A2815">
        <v>2814</v>
      </c>
      <c r="B2815" t="s">
        <v>20</v>
      </c>
      <c r="C2815">
        <v>2023</v>
      </c>
      <c r="D2815" t="s">
        <v>11</v>
      </c>
      <c r="E2815">
        <v>653</v>
      </c>
      <c r="F2815">
        <v>0</v>
      </c>
    </row>
    <row r="2816" spans="1:6" hidden="1" x14ac:dyDescent="0.3">
      <c r="A2816">
        <v>2815</v>
      </c>
      <c r="B2816" t="s">
        <v>20</v>
      </c>
      <c r="C2816">
        <v>2023</v>
      </c>
      <c r="D2816" t="s">
        <v>14</v>
      </c>
      <c r="E2816">
        <v>4421</v>
      </c>
      <c r="F2816">
        <v>0</v>
      </c>
    </row>
    <row r="2817" spans="1:6" hidden="1" x14ac:dyDescent="0.3">
      <c r="A2817">
        <v>2816</v>
      </c>
      <c r="B2817" t="s">
        <v>20</v>
      </c>
      <c r="C2817">
        <v>2022</v>
      </c>
      <c r="D2817" t="s">
        <v>9</v>
      </c>
      <c r="E2817">
        <v>40002</v>
      </c>
      <c r="F2817">
        <v>0</v>
      </c>
    </row>
    <row r="2818" spans="1:6" hidden="1" x14ac:dyDescent="0.3">
      <c r="A2818">
        <v>2817</v>
      </c>
      <c r="B2818" t="s">
        <v>35</v>
      </c>
      <c r="C2818">
        <v>2022</v>
      </c>
      <c r="D2818" t="s">
        <v>9</v>
      </c>
      <c r="E2818">
        <v>33012865</v>
      </c>
      <c r="F2818">
        <v>15000000000</v>
      </c>
    </row>
    <row r="2819" spans="1:6" hidden="1" x14ac:dyDescent="0.3">
      <c r="A2819">
        <v>2818</v>
      </c>
      <c r="B2819" t="s">
        <v>21</v>
      </c>
      <c r="C2819">
        <v>2022</v>
      </c>
      <c r="D2819" t="s">
        <v>11</v>
      </c>
      <c r="E2819">
        <v>0</v>
      </c>
      <c r="F2819">
        <v>51000000</v>
      </c>
    </row>
    <row r="2820" spans="1:6" hidden="1" x14ac:dyDescent="0.3">
      <c r="A2820">
        <v>2819</v>
      </c>
      <c r="B2820" t="s">
        <v>21</v>
      </c>
      <c r="C2820">
        <v>2022</v>
      </c>
      <c r="D2820" t="s">
        <v>11</v>
      </c>
      <c r="E2820">
        <v>1000</v>
      </c>
      <c r="F2820">
        <v>0</v>
      </c>
    </row>
    <row r="2821" spans="1:6" hidden="1" x14ac:dyDescent="0.3">
      <c r="A2821">
        <v>2820</v>
      </c>
      <c r="B2821" t="s">
        <v>21</v>
      </c>
      <c r="C2821">
        <v>2022</v>
      </c>
      <c r="D2821" t="s">
        <v>11</v>
      </c>
      <c r="E2821">
        <v>15000</v>
      </c>
      <c r="F2821">
        <v>0</v>
      </c>
    </row>
    <row r="2822" spans="1:6" hidden="1" x14ac:dyDescent="0.3">
      <c r="A2822">
        <v>2821</v>
      </c>
      <c r="B2822" t="s">
        <v>33</v>
      </c>
      <c r="C2822">
        <v>2022</v>
      </c>
      <c r="D2822" t="s">
        <v>11</v>
      </c>
      <c r="E2822">
        <v>544</v>
      </c>
      <c r="F2822">
        <v>0</v>
      </c>
    </row>
    <row r="2823" spans="1:6" hidden="1" x14ac:dyDescent="0.3">
      <c r="A2823">
        <v>2822</v>
      </c>
      <c r="B2823" t="s">
        <v>37</v>
      </c>
      <c r="C2823">
        <v>2022</v>
      </c>
      <c r="D2823" t="s">
        <v>11</v>
      </c>
      <c r="E2823">
        <v>2298788</v>
      </c>
      <c r="F2823">
        <v>41556000</v>
      </c>
    </row>
    <row r="2824" spans="1:6" hidden="1" x14ac:dyDescent="0.3">
      <c r="A2824">
        <v>2823</v>
      </c>
      <c r="B2824" t="s">
        <v>43</v>
      </c>
      <c r="C2824">
        <v>2022</v>
      </c>
      <c r="D2824" t="s">
        <v>11</v>
      </c>
      <c r="E2824">
        <v>500</v>
      </c>
      <c r="F2824">
        <v>0</v>
      </c>
    </row>
    <row r="2825" spans="1:6" hidden="1" x14ac:dyDescent="0.3">
      <c r="A2825">
        <v>2824</v>
      </c>
      <c r="B2825" t="s">
        <v>43</v>
      </c>
      <c r="C2825">
        <v>2022</v>
      </c>
      <c r="D2825" t="s">
        <v>11</v>
      </c>
      <c r="E2825">
        <v>436978</v>
      </c>
      <c r="F2825">
        <v>65000000</v>
      </c>
    </row>
    <row r="2826" spans="1:6" hidden="1" x14ac:dyDescent="0.3">
      <c r="A2826">
        <v>2825</v>
      </c>
      <c r="B2826" t="s">
        <v>17</v>
      </c>
      <c r="C2826">
        <v>2022</v>
      </c>
      <c r="D2826" t="s">
        <v>9</v>
      </c>
      <c r="E2826">
        <v>61469</v>
      </c>
      <c r="F2826">
        <v>0</v>
      </c>
    </row>
    <row r="2827" spans="1:6" hidden="1" x14ac:dyDescent="0.3">
      <c r="A2827">
        <v>2826</v>
      </c>
      <c r="B2827" t="s">
        <v>37</v>
      </c>
      <c r="C2827">
        <v>2022</v>
      </c>
      <c r="D2827" t="s">
        <v>9</v>
      </c>
      <c r="E2827">
        <v>1955</v>
      </c>
      <c r="F2827">
        <v>0</v>
      </c>
    </row>
    <row r="2828" spans="1:6" hidden="1" x14ac:dyDescent="0.3">
      <c r="A2828">
        <v>2827</v>
      </c>
      <c r="B2828" t="s">
        <v>37</v>
      </c>
      <c r="C2828">
        <v>2022</v>
      </c>
      <c r="D2828" t="s">
        <v>11</v>
      </c>
      <c r="E2828">
        <v>3323291</v>
      </c>
      <c r="F2828">
        <v>45569000</v>
      </c>
    </row>
    <row r="2829" spans="1:6" hidden="1" x14ac:dyDescent="0.3">
      <c r="A2829">
        <v>2828</v>
      </c>
      <c r="B2829" t="s">
        <v>16</v>
      </c>
      <c r="C2829">
        <v>2022</v>
      </c>
      <c r="D2829" t="s">
        <v>11</v>
      </c>
      <c r="E2829">
        <v>95000</v>
      </c>
      <c r="F2829">
        <v>0</v>
      </c>
    </row>
    <row r="2830" spans="1:6" hidden="1" x14ac:dyDescent="0.3">
      <c r="A2830">
        <v>2829</v>
      </c>
      <c r="B2830" t="s">
        <v>16</v>
      </c>
      <c r="C2830">
        <v>2022</v>
      </c>
      <c r="D2830" t="s">
        <v>9</v>
      </c>
      <c r="E2830">
        <v>1301260</v>
      </c>
      <c r="F2830">
        <v>4200000000</v>
      </c>
    </row>
    <row r="2831" spans="1:6" hidden="1" x14ac:dyDescent="0.3">
      <c r="A2831">
        <v>2830</v>
      </c>
      <c r="B2831" t="s">
        <v>20</v>
      </c>
      <c r="C2831">
        <v>2022</v>
      </c>
      <c r="D2831" t="s">
        <v>9</v>
      </c>
      <c r="E2831">
        <v>17201</v>
      </c>
      <c r="F2831">
        <v>0</v>
      </c>
    </row>
    <row r="2832" spans="1:6" hidden="1" x14ac:dyDescent="0.3">
      <c r="A2832">
        <v>2831</v>
      </c>
      <c r="B2832" t="s">
        <v>20</v>
      </c>
      <c r="C2832">
        <v>2022</v>
      </c>
      <c r="D2832" t="s">
        <v>9</v>
      </c>
      <c r="E2832">
        <v>3126</v>
      </c>
      <c r="F2832">
        <v>0</v>
      </c>
    </row>
    <row r="2833" spans="1:6" hidden="1" x14ac:dyDescent="0.3">
      <c r="A2833">
        <v>2832</v>
      </c>
      <c r="B2833" t="s">
        <v>20</v>
      </c>
      <c r="C2833">
        <v>2022</v>
      </c>
      <c r="D2833" t="s">
        <v>9</v>
      </c>
      <c r="E2833">
        <v>203</v>
      </c>
      <c r="F2833">
        <v>0</v>
      </c>
    </row>
    <row r="2834" spans="1:6" hidden="1" x14ac:dyDescent="0.3">
      <c r="A2834">
        <v>2833</v>
      </c>
      <c r="B2834" t="s">
        <v>20</v>
      </c>
      <c r="C2834">
        <v>2022</v>
      </c>
      <c r="D2834" t="s">
        <v>9</v>
      </c>
      <c r="E2834">
        <v>7000</v>
      </c>
      <c r="F2834">
        <v>0</v>
      </c>
    </row>
    <row r="2835" spans="1:6" hidden="1" x14ac:dyDescent="0.3">
      <c r="A2835">
        <v>2834</v>
      </c>
      <c r="B2835" t="s">
        <v>20</v>
      </c>
      <c r="C2835">
        <v>2022</v>
      </c>
      <c r="D2835" t="s">
        <v>9</v>
      </c>
      <c r="E2835">
        <v>196745</v>
      </c>
      <c r="F2835">
        <v>0</v>
      </c>
    </row>
    <row r="2836" spans="1:6" hidden="1" x14ac:dyDescent="0.3">
      <c r="A2836">
        <v>2835</v>
      </c>
      <c r="B2836" t="s">
        <v>20</v>
      </c>
      <c r="C2836">
        <v>2022</v>
      </c>
      <c r="D2836" t="s">
        <v>9</v>
      </c>
      <c r="E2836">
        <v>3210</v>
      </c>
      <c r="F2836">
        <v>0</v>
      </c>
    </row>
    <row r="2837" spans="1:6" hidden="1" x14ac:dyDescent="0.3">
      <c r="A2837">
        <v>2836</v>
      </c>
      <c r="B2837" t="s">
        <v>16</v>
      </c>
      <c r="C2837">
        <v>2022</v>
      </c>
      <c r="D2837" t="s">
        <v>9</v>
      </c>
      <c r="E2837">
        <v>800000</v>
      </c>
      <c r="F2837">
        <v>0</v>
      </c>
    </row>
    <row r="2838" spans="1:6" hidden="1" x14ac:dyDescent="0.3">
      <c r="A2838">
        <v>2837</v>
      </c>
      <c r="B2838" t="s">
        <v>18</v>
      </c>
      <c r="C2838">
        <v>2022</v>
      </c>
      <c r="D2838" t="s">
        <v>9</v>
      </c>
      <c r="E2838">
        <v>126775</v>
      </c>
      <c r="F2838">
        <v>201000000</v>
      </c>
    </row>
    <row r="2839" spans="1:6" hidden="1" x14ac:dyDescent="0.3">
      <c r="A2839">
        <v>2838</v>
      </c>
      <c r="B2839" t="s">
        <v>32</v>
      </c>
      <c r="C2839">
        <v>2022</v>
      </c>
      <c r="D2839" t="s">
        <v>9</v>
      </c>
      <c r="E2839">
        <v>322185</v>
      </c>
      <c r="F2839">
        <v>0</v>
      </c>
    </row>
    <row r="2840" spans="1:6" hidden="1" x14ac:dyDescent="0.3">
      <c r="A2840">
        <v>2839</v>
      </c>
      <c r="B2840" t="s">
        <v>33</v>
      </c>
      <c r="C2840">
        <v>2022</v>
      </c>
      <c r="D2840" t="s">
        <v>9</v>
      </c>
      <c r="E2840">
        <v>5500</v>
      </c>
      <c r="F2840">
        <v>0</v>
      </c>
    </row>
    <row r="2841" spans="1:6" hidden="1" x14ac:dyDescent="0.3">
      <c r="A2841">
        <v>2840</v>
      </c>
      <c r="B2841" t="s">
        <v>33</v>
      </c>
      <c r="C2841">
        <v>2022</v>
      </c>
      <c r="D2841" t="s">
        <v>9</v>
      </c>
      <c r="E2841">
        <v>511</v>
      </c>
      <c r="F2841">
        <v>0</v>
      </c>
    </row>
    <row r="2842" spans="1:6" hidden="1" x14ac:dyDescent="0.3">
      <c r="A2842">
        <v>2841</v>
      </c>
      <c r="B2842" t="s">
        <v>37</v>
      </c>
      <c r="C2842">
        <v>2022</v>
      </c>
      <c r="D2842" t="s">
        <v>14</v>
      </c>
      <c r="E2842">
        <v>502856</v>
      </c>
      <c r="F2842">
        <v>151000000</v>
      </c>
    </row>
    <row r="2843" spans="1:6" hidden="1" x14ac:dyDescent="0.3">
      <c r="A2843">
        <v>2842</v>
      </c>
      <c r="B2843" t="s">
        <v>37</v>
      </c>
      <c r="C2843">
        <v>2022</v>
      </c>
      <c r="D2843" t="s">
        <v>9</v>
      </c>
      <c r="E2843">
        <v>600016</v>
      </c>
      <c r="F2843">
        <v>11000000</v>
      </c>
    </row>
    <row r="2844" spans="1:6" hidden="1" x14ac:dyDescent="0.3">
      <c r="A2844">
        <v>2843</v>
      </c>
      <c r="B2844" t="s">
        <v>43</v>
      </c>
      <c r="C2844">
        <v>2022</v>
      </c>
      <c r="D2844" t="s">
        <v>9</v>
      </c>
      <c r="E2844">
        <v>226</v>
      </c>
      <c r="F2844">
        <v>0</v>
      </c>
    </row>
    <row r="2845" spans="1:6" hidden="1" x14ac:dyDescent="0.3">
      <c r="A2845">
        <v>2844</v>
      </c>
      <c r="B2845" t="s">
        <v>43</v>
      </c>
      <c r="C2845">
        <v>2022</v>
      </c>
      <c r="D2845" t="s">
        <v>9</v>
      </c>
      <c r="E2845">
        <v>2554</v>
      </c>
      <c r="F2845">
        <v>0</v>
      </c>
    </row>
    <row r="2846" spans="1:6" hidden="1" x14ac:dyDescent="0.3">
      <c r="A2846">
        <v>2845</v>
      </c>
      <c r="B2846" t="s">
        <v>43</v>
      </c>
      <c r="C2846">
        <v>2022</v>
      </c>
      <c r="D2846" t="s">
        <v>9</v>
      </c>
      <c r="E2846">
        <v>10000</v>
      </c>
      <c r="F2846">
        <v>0</v>
      </c>
    </row>
    <row r="2847" spans="1:6" hidden="1" x14ac:dyDescent="0.3">
      <c r="A2847">
        <v>2846</v>
      </c>
      <c r="B2847" t="s">
        <v>43</v>
      </c>
      <c r="C2847">
        <v>2022</v>
      </c>
      <c r="D2847" t="s">
        <v>9</v>
      </c>
      <c r="E2847">
        <v>10495</v>
      </c>
      <c r="F2847">
        <v>1500000</v>
      </c>
    </row>
    <row r="2848" spans="1:6" hidden="1" x14ac:dyDescent="0.3">
      <c r="A2848">
        <v>2847</v>
      </c>
      <c r="B2848" t="s">
        <v>38</v>
      </c>
      <c r="C2848">
        <v>2022</v>
      </c>
      <c r="D2848" t="s">
        <v>9</v>
      </c>
      <c r="E2848">
        <v>142290</v>
      </c>
      <c r="F2848">
        <v>3500000000</v>
      </c>
    </row>
    <row r="2849" spans="1:6" hidden="1" x14ac:dyDescent="0.3">
      <c r="A2849">
        <v>2848</v>
      </c>
      <c r="B2849" t="s">
        <v>21</v>
      </c>
      <c r="C2849">
        <v>2022</v>
      </c>
      <c r="D2849" t="s">
        <v>14</v>
      </c>
      <c r="E2849">
        <v>17886</v>
      </c>
      <c r="F2849">
        <v>25000000</v>
      </c>
    </row>
    <row r="2850" spans="1:6" hidden="1" x14ac:dyDescent="0.3">
      <c r="A2850">
        <v>2849</v>
      </c>
      <c r="B2850" t="s">
        <v>20</v>
      </c>
      <c r="C2850">
        <v>2022</v>
      </c>
      <c r="D2850" t="s">
        <v>9</v>
      </c>
      <c r="E2850">
        <v>12500</v>
      </c>
      <c r="F2850">
        <v>0</v>
      </c>
    </row>
    <row r="2851" spans="1:6" hidden="1" x14ac:dyDescent="0.3">
      <c r="A2851">
        <v>2850</v>
      </c>
      <c r="B2851" t="s">
        <v>41</v>
      </c>
      <c r="C2851">
        <v>2022</v>
      </c>
      <c r="D2851" t="s">
        <v>9</v>
      </c>
      <c r="E2851">
        <v>4416</v>
      </c>
      <c r="F2851">
        <v>0</v>
      </c>
    </row>
    <row r="2852" spans="1:6" hidden="1" x14ac:dyDescent="0.3">
      <c r="A2852">
        <v>2851</v>
      </c>
      <c r="B2852" t="s">
        <v>24</v>
      </c>
      <c r="C2852">
        <v>2022</v>
      </c>
      <c r="D2852" t="s">
        <v>11</v>
      </c>
      <c r="E2852">
        <v>3012</v>
      </c>
      <c r="F2852">
        <v>0</v>
      </c>
    </row>
    <row r="2853" spans="1:6" hidden="1" x14ac:dyDescent="0.3">
      <c r="A2853">
        <v>2852</v>
      </c>
      <c r="B2853" t="s">
        <v>24</v>
      </c>
      <c r="C2853">
        <v>2022</v>
      </c>
      <c r="D2853" t="s">
        <v>11</v>
      </c>
      <c r="E2853">
        <v>2100</v>
      </c>
      <c r="F2853">
        <v>180000000</v>
      </c>
    </row>
    <row r="2854" spans="1:6" hidden="1" x14ac:dyDescent="0.3">
      <c r="A2854">
        <v>2853</v>
      </c>
      <c r="B2854" t="s">
        <v>37</v>
      </c>
      <c r="C2854">
        <v>2022</v>
      </c>
      <c r="D2854" t="s">
        <v>11</v>
      </c>
      <c r="E2854">
        <v>103602</v>
      </c>
      <c r="F2854">
        <v>0</v>
      </c>
    </row>
    <row r="2855" spans="1:6" hidden="1" x14ac:dyDescent="0.3">
      <c r="A2855">
        <v>2854</v>
      </c>
      <c r="B2855" t="s">
        <v>40</v>
      </c>
      <c r="C2855">
        <v>2022</v>
      </c>
      <c r="D2855" t="s">
        <v>11</v>
      </c>
      <c r="E2855">
        <v>100</v>
      </c>
      <c r="F2855">
        <v>0</v>
      </c>
    </row>
    <row r="2856" spans="1:6" hidden="1" x14ac:dyDescent="0.3">
      <c r="A2856">
        <v>2855</v>
      </c>
      <c r="B2856" t="s">
        <v>40</v>
      </c>
      <c r="C2856">
        <v>2022</v>
      </c>
      <c r="D2856" t="s">
        <v>11</v>
      </c>
      <c r="E2856">
        <v>9273</v>
      </c>
      <c r="F2856">
        <v>17000000</v>
      </c>
    </row>
    <row r="2857" spans="1:6" hidden="1" x14ac:dyDescent="0.3">
      <c r="A2857">
        <v>2856</v>
      </c>
      <c r="B2857" t="s">
        <v>43</v>
      </c>
      <c r="C2857">
        <v>2022</v>
      </c>
      <c r="D2857" t="s">
        <v>11</v>
      </c>
      <c r="E2857">
        <v>54412</v>
      </c>
      <c r="F2857">
        <v>0</v>
      </c>
    </row>
    <row r="2858" spans="1:6" hidden="1" x14ac:dyDescent="0.3">
      <c r="A2858">
        <v>2857</v>
      </c>
      <c r="B2858" t="s">
        <v>32</v>
      </c>
      <c r="C2858">
        <v>2022</v>
      </c>
      <c r="D2858" t="s">
        <v>7</v>
      </c>
      <c r="E2858">
        <v>4400000</v>
      </c>
      <c r="F2858">
        <v>0</v>
      </c>
    </row>
    <row r="2859" spans="1:6" hidden="1" x14ac:dyDescent="0.3">
      <c r="A2859">
        <v>2858</v>
      </c>
      <c r="B2859" t="s">
        <v>20</v>
      </c>
      <c r="C2859">
        <v>2022</v>
      </c>
      <c r="D2859" t="s">
        <v>9</v>
      </c>
      <c r="E2859">
        <v>0</v>
      </c>
      <c r="F2859">
        <v>0</v>
      </c>
    </row>
    <row r="2860" spans="1:6" hidden="1" x14ac:dyDescent="0.3">
      <c r="A2860">
        <v>2859</v>
      </c>
      <c r="B2860" t="s">
        <v>16</v>
      </c>
      <c r="C2860">
        <v>2022</v>
      </c>
      <c r="D2860" t="s">
        <v>11</v>
      </c>
      <c r="E2860">
        <v>0</v>
      </c>
      <c r="F2860">
        <v>0</v>
      </c>
    </row>
    <row r="2861" spans="1:6" hidden="1" x14ac:dyDescent="0.3">
      <c r="A2861">
        <v>2860</v>
      </c>
      <c r="B2861" t="s">
        <v>16</v>
      </c>
      <c r="C2861">
        <v>2022</v>
      </c>
      <c r="D2861" t="s">
        <v>9</v>
      </c>
      <c r="E2861">
        <v>0</v>
      </c>
      <c r="F2861">
        <v>0</v>
      </c>
    </row>
    <row r="2862" spans="1:6" hidden="1" x14ac:dyDescent="0.3">
      <c r="A2862">
        <v>2861</v>
      </c>
      <c r="B2862" t="s">
        <v>18</v>
      </c>
      <c r="C2862">
        <v>2022</v>
      </c>
      <c r="D2862" t="s">
        <v>14</v>
      </c>
      <c r="E2862">
        <v>22300</v>
      </c>
      <c r="F2862">
        <v>143000000</v>
      </c>
    </row>
    <row r="2863" spans="1:6" hidden="1" x14ac:dyDescent="0.3">
      <c r="A2863">
        <v>2862</v>
      </c>
      <c r="B2863" t="s">
        <v>18</v>
      </c>
      <c r="C2863">
        <v>2022</v>
      </c>
      <c r="D2863" t="s">
        <v>14</v>
      </c>
      <c r="E2863">
        <v>12565</v>
      </c>
      <c r="F2863">
        <v>0</v>
      </c>
    </row>
    <row r="2864" spans="1:6" hidden="1" x14ac:dyDescent="0.3">
      <c r="A2864">
        <v>2863</v>
      </c>
      <c r="B2864" t="s">
        <v>17</v>
      </c>
      <c r="C2864">
        <v>2022</v>
      </c>
      <c r="D2864" t="s">
        <v>11</v>
      </c>
      <c r="E2864">
        <v>22338</v>
      </c>
      <c r="F2864">
        <v>0</v>
      </c>
    </row>
    <row r="2865" spans="1:6" hidden="1" x14ac:dyDescent="0.3">
      <c r="A2865">
        <v>2864</v>
      </c>
      <c r="B2865" t="s">
        <v>17</v>
      </c>
      <c r="C2865">
        <v>2022</v>
      </c>
      <c r="D2865" t="s">
        <v>9</v>
      </c>
      <c r="E2865">
        <v>82391</v>
      </c>
      <c r="F2865">
        <v>0</v>
      </c>
    </row>
    <row r="2866" spans="1:6" hidden="1" x14ac:dyDescent="0.3">
      <c r="A2866">
        <v>2865</v>
      </c>
      <c r="B2866" t="s">
        <v>17</v>
      </c>
      <c r="C2866">
        <v>2022</v>
      </c>
      <c r="D2866" t="s">
        <v>11</v>
      </c>
      <c r="E2866">
        <v>6500</v>
      </c>
      <c r="F2866">
        <v>0</v>
      </c>
    </row>
    <row r="2867" spans="1:6" hidden="1" x14ac:dyDescent="0.3">
      <c r="A2867">
        <v>2866</v>
      </c>
      <c r="B2867" t="s">
        <v>17</v>
      </c>
      <c r="C2867">
        <v>2022</v>
      </c>
      <c r="D2867" t="s">
        <v>9</v>
      </c>
      <c r="E2867">
        <v>5478</v>
      </c>
      <c r="F2867">
        <v>0</v>
      </c>
    </row>
    <row r="2868" spans="1:6" hidden="1" x14ac:dyDescent="0.3">
      <c r="A2868">
        <v>2867</v>
      </c>
      <c r="B2868" t="s">
        <v>22</v>
      </c>
      <c r="C2868">
        <v>2022</v>
      </c>
      <c r="D2868" t="s">
        <v>11</v>
      </c>
      <c r="E2868">
        <v>4800</v>
      </c>
      <c r="F2868">
        <v>0</v>
      </c>
    </row>
    <row r="2869" spans="1:6" hidden="1" x14ac:dyDescent="0.3">
      <c r="A2869">
        <v>2868</v>
      </c>
      <c r="B2869" t="s">
        <v>21</v>
      </c>
      <c r="C2869">
        <v>2022</v>
      </c>
      <c r="D2869" t="s">
        <v>14</v>
      </c>
      <c r="E2869">
        <v>18005</v>
      </c>
      <c r="F2869">
        <v>0</v>
      </c>
    </row>
    <row r="2870" spans="1:6" hidden="1" x14ac:dyDescent="0.3">
      <c r="A2870">
        <v>2869</v>
      </c>
      <c r="B2870" t="s">
        <v>21</v>
      </c>
      <c r="C2870">
        <v>2022</v>
      </c>
      <c r="D2870" t="s">
        <v>9</v>
      </c>
      <c r="E2870">
        <v>1050</v>
      </c>
      <c r="F2870">
        <v>0</v>
      </c>
    </row>
    <row r="2871" spans="1:6" hidden="1" x14ac:dyDescent="0.3">
      <c r="A2871">
        <v>2870</v>
      </c>
      <c r="B2871" t="s">
        <v>21</v>
      </c>
      <c r="C2871">
        <v>2022</v>
      </c>
      <c r="D2871" t="s">
        <v>9</v>
      </c>
      <c r="E2871">
        <v>2100</v>
      </c>
      <c r="F2871">
        <v>0</v>
      </c>
    </row>
    <row r="2872" spans="1:6" hidden="1" x14ac:dyDescent="0.3">
      <c r="A2872">
        <v>2871</v>
      </c>
      <c r="B2872" t="s">
        <v>30</v>
      </c>
      <c r="C2872">
        <v>2022</v>
      </c>
      <c r="D2872" t="s">
        <v>9</v>
      </c>
      <c r="E2872">
        <v>78271</v>
      </c>
      <c r="F2872">
        <v>0</v>
      </c>
    </row>
    <row r="2873" spans="1:6" hidden="1" x14ac:dyDescent="0.3">
      <c r="A2873">
        <v>2872</v>
      </c>
      <c r="B2873" t="s">
        <v>33</v>
      </c>
      <c r="C2873">
        <v>2022</v>
      </c>
      <c r="D2873" t="s">
        <v>14</v>
      </c>
      <c r="E2873">
        <v>30008</v>
      </c>
      <c r="F2873">
        <v>0</v>
      </c>
    </row>
    <row r="2874" spans="1:6" hidden="1" x14ac:dyDescent="0.3">
      <c r="A2874">
        <v>2873</v>
      </c>
      <c r="B2874" t="s">
        <v>35</v>
      </c>
      <c r="C2874">
        <v>2022</v>
      </c>
      <c r="D2874" t="s">
        <v>14</v>
      </c>
      <c r="E2874">
        <v>0</v>
      </c>
      <c r="F2874">
        <v>0</v>
      </c>
    </row>
    <row r="2875" spans="1:6" hidden="1" x14ac:dyDescent="0.3">
      <c r="A2875">
        <v>2874</v>
      </c>
      <c r="B2875" t="s">
        <v>36</v>
      </c>
      <c r="C2875">
        <v>2022</v>
      </c>
      <c r="D2875" t="s">
        <v>14</v>
      </c>
      <c r="E2875">
        <v>302</v>
      </c>
      <c r="F2875">
        <v>0</v>
      </c>
    </row>
    <row r="2876" spans="1:6" hidden="1" x14ac:dyDescent="0.3">
      <c r="A2876">
        <v>2875</v>
      </c>
      <c r="B2876" t="s">
        <v>37</v>
      </c>
      <c r="C2876">
        <v>2022</v>
      </c>
      <c r="D2876" t="s">
        <v>11</v>
      </c>
      <c r="E2876">
        <v>913945</v>
      </c>
      <c r="F2876">
        <v>56946000</v>
      </c>
    </row>
    <row r="2877" spans="1:6" hidden="1" x14ac:dyDescent="0.3">
      <c r="A2877">
        <v>2876</v>
      </c>
      <c r="B2877" t="s">
        <v>37</v>
      </c>
      <c r="C2877">
        <v>2022</v>
      </c>
      <c r="D2877" t="s">
        <v>14</v>
      </c>
      <c r="E2877">
        <v>147422</v>
      </c>
      <c r="F2877">
        <v>1400000</v>
      </c>
    </row>
    <row r="2878" spans="1:6" hidden="1" x14ac:dyDescent="0.3">
      <c r="A2878">
        <v>2877</v>
      </c>
      <c r="B2878" t="s">
        <v>37</v>
      </c>
      <c r="C2878">
        <v>2022</v>
      </c>
      <c r="D2878" t="s">
        <v>11</v>
      </c>
      <c r="E2878">
        <v>7616</v>
      </c>
      <c r="F2878">
        <v>0</v>
      </c>
    </row>
    <row r="2879" spans="1:6" hidden="1" x14ac:dyDescent="0.3">
      <c r="A2879">
        <v>2878</v>
      </c>
      <c r="B2879" t="s">
        <v>37</v>
      </c>
      <c r="C2879">
        <v>2022</v>
      </c>
      <c r="D2879" t="s">
        <v>11</v>
      </c>
      <c r="E2879">
        <v>0</v>
      </c>
      <c r="F2879">
        <v>0</v>
      </c>
    </row>
    <row r="2880" spans="1:6" hidden="1" x14ac:dyDescent="0.3">
      <c r="A2880">
        <v>2879</v>
      </c>
      <c r="B2880" t="s">
        <v>43</v>
      </c>
      <c r="C2880">
        <v>2022</v>
      </c>
      <c r="D2880" t="s">
        <v>9</v>
      </c>
      <c r="E2880">
        <v>0</v>
      </c>
      <c r="F2880">
        <v>0</v>
      </c>
    </row>
    <row r="2881" spans="1:6" hidden="1" x14ac:dyDescent="0.3">
      <c r="A2881">
        <v>2880</v>
      </c>
      <c r="B2881" t="s">
        <v>46</v>
      </c>
      <c r="C2881">
        <v>2022</v>
      </c>
      <c r="D2881" t="s">
        <v>9</v>
      </c>
      <c r="E2881">
        <v>3400</v>
      </c>
      <c r="F2881">
        <v>0</v>
      </c>
    </row>
    <row r="2882" spans="1:6" hidden="1" x14ac:dyDescent="0.3">
      <c r="A2882">
        <v>2881</v>
      </c>
      <c r="B2882" t="s">
        <v>46</v>
      </c>
      <c r="C2882">
        <v>2022</v>
      </c>
      <c r="D2882" t="s">
        <v>9</v>
      </c>
      <c r="E2882">
        <v>41000</v>
      </c>
      <c r="F2882">
        <v>0</v>
      </c>
    </row>
    <row r="2883" spans="1:6" hidden="1" x14ac:dyDescent="0.3">
      <c r="A2883">
        <v>2882</v>
      </c>
      <c r="B2883" t="s">
        <v>46</v>
      </c>
      <c r="C2883">
        <v>2022</v>
      </c>
      <c r="D2883" t="s">
        <v>9</v>
      </c>
      <c r="E2883">
        <v>175000</v>
      </c>
      <c r="F2883">
        <v>0</v>
      </c>
    </row>
    <row r="2884" spans="1:6" hidden="1" x14ac:dyDescent="0.3">
      <c r="A2884">
        <v>2883</v>
      </c>
      <c r="B2884" t="s">
        <v>38</v>
      </c>
      <c r="C2884">
        <v>2022</v>
      </c>
      <c r="D2884" t="s">
        <v>9</v>
      </c>
      <c r="E2884">
        <v>40000</v>
      </c>
      <c r="F2884">
        <v>0</v>
      </c>
    </row>
    <row r="2885" spans="1:6" hidden="1" x14ac:dyDescent="0.3">
      <c r="A2885">
        <v>2884</v>
      </c>
      <c r="B2885" t="s">
        <v>38</v>
      </c>
      <c r="C2885">
        <v>2022</v>
      </c>
      <c r="D2885" t="s">
        <v>9</v>
      </c>
      <c r="E2885">
        <v>200</v>
      </c>
      <c r="F2885">
        <v>0</v>
      </c>
    </row>
    <row r="2886" spans="1:6" hidden="1" x14ac:dyDescent="0.3">
      <c r="A2886">
        <v>2885</v>
      </c>
      <c r="B2886" t="s">
        <v>38</v>
      </c>
      <c r="C2886">
        <v>2022</v>
      </c>
      <c r="D2886" t="s">
        <v>9</v>
      </c>
      <c r="E2886">
        <v>204</v>
      </c>
      <c r="F2886">
        <v>0</v>
      </c>
    </row>
    <row r="2887" spans="1:6" hidden="1" x14ac:dyDescent="0.3">
      <c r="A2887">
        <v>2886</v>
      </c>
      <c r="B2887" t="s">
        <v>22</v>
      </c>
      <c r="C2887">
        <v>2023</v>
      </c>
      <c r="D2887" t="s">
        <v>11</v>
      </c>
      <c r="E2887">
        <v>90870</v>
      </c>
      <c r="F2887">
        <v>20000000</v>
      </c>
    </row>
    <row r="2888" spans="1:6" hidden="1" x14ac:dyDescent="0.3">
      <c r="A2888">
        <v>2887</v>
      </c>
      <c r="B2888" t="s">
        <v>16</v>
      </c>
      <c r="C2888">
        <v>2023</v>
      </c>
      <c r="D2888" t="s">
        <v>11</v>
      </c>
      <c r="E2888">
        <v>14</v>
      </c>
      <c r="F2888">
        <v>0</v>
      </c>
    </row>
    <row r="2889" spans="1:6" hidden="1" x14ac:dyDescent="0.3">
      <c r="A2889">
        <v>2888</v>
      </c>
      <c r="B2889" t="s">
        <v>37</v>
      </c>
      <c r="C2889">
        <v>2023</v>
      </c>
      <c r="D2889" t="s">
        <v>9</v>
      </c>
      <c r="E2889">
        <v>2000011</v>
      </c>
      <c r="F2889">
        <v>20000000</v>
      </c>
    </row>
    <row r="2890" spans="1:6" hidden="1" x14ac:dyDescent="0.3">
      <c r="A2890">
        <v>2889</v>
      </c>
      <c r="B2890" t="s">
        <v>20</v>
      </c>
      <c r="C2890">
        <v>2023</v>
      </c>
      <c r="D2890" t="s">
        <v>9</v>
      </c>
      <c r="E2890">
        <v>16700</v>
      </c>
      <c r="F2890">
        <v>0</v>
      </c>
    </row>
    <row r="2891" spans="1:6" hidden="1" x14ac:dyDescent="0.3">
      <c r="A2891">
        <v>2890</v>
      </c>
      <c r="B2891" t="s">
        <v>35</v>
      </c>
      <c r="C2891">
        <v>2023</v>
      </c>
      <c r="D2891" t="s">
        <v>9</v>
      </c>
      <c r="E2891">
        <v>777</v>
      </c>
      <c r="F2891">
        <v>0</v>
      </c>
    </row>
    <row r="2892" spans="1:6" hidden="1" x14ac:dyDescent="0.3">
      <c r="A2892">
        <v>2891</v>
      </c>
      <c r="B2892" t="s">
        <v>35</v>
      </c>
      <c r="C2892">
        <v>2023</v>
      </c>
      <c r="D2892" t="s">
        <v>9</v>
      </c>
      <c r="E2892">
        <v>0</v>
      </c>
      <c r="F2892">
        <v>0</v>
      </c>
    </row>
    <row r="2893" spans="1:6" hidden="1" x14ac:dyDescent="0.3">
      <c r="A2893">
        <v>2892</v>
      </c>
      <c r="B2893" t="s">
        <v>36</v>
      </c>
      <c r="C2893">
        <v>2023</v>
      </c>
      <c r="D2893" t="s">
        <v>9</v>
      </c>
      <c r="E2893">
        <v>410000</v>
      </c>
      <c r="F2893">
        <v>0</v>
      </c>
    </row>
    <row r="2894" spans="1:6" hidden="1" x14ac:dyDescent="0.3">
      <c r="A2894">
        <v>2893</v>
      </c>
      <c r="B2894" t="s">
        <v>36</v>
      </c>
      <c r="C2894">
        <v>2023</v>
      </c>
      <c r="D2894" t="s">
        <v>9</v>
      </c>
      <c r="E2894">
        <v>124326</v>
      </c>
      <c r="F2894">
        <v>0</v>
      </c>
    </row>
    <row r="2895" spans="1:6" hidden="1" x14ac:dyDescent="0.3">
      <c r="A2895">
        <v>2894</v>
      </c>
      <c r="B2895" t="s">
        <v>37</v>
      </c>
      <c r="C2895">
        <v>2023</v>
      </c>
      <c r="D2895" t="s">
        <v>9</v>
      </c>
      <c r="E2895">
        <v>32764</v>
      </c>
      <c r="F2895">
        <v>5000000</v>
      </c>
    </row>
    <row r="2896" spans="1:6" hidden="1" x14ac:dyDescent="0.3">
      <c r="A2896">
        <v>2895</v>
      </c>
      <c r="B2896" t="s">
        <v>18</v>
      </c>
      <c r="C2896">
        <v>2023</v>
      </c>
      <c r="D2896" t="s">
        <v>14</v>
      </c>
      <c r="E2896">
        <v>41678</v>
      </c>
      <c r="F2896">
        <v>50000000</v>
      </c>
    </row>
    <row r="2897" spans="1:6" hidden="1" x14ac:dyDescent="0.3">
      <c r="A2897">
        <v>2896</v>
      </c>
      <c r="B2897" t="s">
        <v>18</v>
      </c>
      <c r="C2897">
        <v>2023</v>
      </c>
      <c r="D2897" t="s">
        <v>14</v>
      </c>
      <c r="E2897">
        <v>262404</v>
      </c>
      <c r="F2897">
        <v>0</v>
      </c>
    </row>
    <row r="2898" spans="1:6" hidden="1" x14ac:dyDescent="0.3">
      <c r="A2898">
        <v>2897</v>
      </c>
      <c r="B2898" t="s">
        <v>18</v>
      </c>
      <c r="C2898">
        <v>2023</v>
      </c>
      <c r="D2898" t="s">
        <v>14</v>
      </c>
      <c r="E2898">
        <v>239</v>
      </c>
      <c r="F2898">
        <v>0</v>
      </c>
    </row>
    <row r="2899" spans="1:6" hidden="1" x14ac:dyDescent="0.3">
      <c r="A2899">
        <v>2898</v>
      </c>
      <c r="B2899" t="s">
        <v>34</v>
      </c>
      <c r="C2899">
        <v>2023</v>
      </c>
      <c r="D2899" t="s">
        <v>9</v>
      </c>
      <c r="E2899">
        <v>22500</v>
      </c>
      <c r="F2899">
        <v>0</v>
      </c>
    </row>
    <row r="2900" spans="1:6" hidden="1" x14ac:dyDescent="0.3">
      <c r="A2900">
        <v>2899</v>
      </c>
      <c r="B2900" t="s">
        <v>34</v>
      </c>
      <c r="C2900">
        <v>2023</v>
      </c>
      <c r="D2900" t="s">
        <v>9</v>
      </c>
      <c r="E2900">
        <v>36442</v>
      </c>
      <c r="F2900">
        <v>0</v>
      </c>
    </row>
    <row r="2901" spans="1:6" hidden="1" x14ac:dyDescent="0.3">
      <c r="A2901">
        <v>2900</v>
      </c>
      <c r="B2901" t="s">
        <v>17</v>
      </c>
      <c r="C2901">
        <v>2023</v>
      </c>
      <c r="D2901" t="s">
        <v>11</v>
      </c>
      <c r="E2901">
        <v>910</v>
      </c>
      <c r="F2901">
        <v>0</v>
      </c>
    </row>
    <row r="2902" spans="1:6" hidden="1" x14ac:dyDescent="0.3">
      <c r="A2902">
        <v>2901</v>
      </c>
      <c r="B2902" t="s">
        <v>22</v>
      </c>
      <c r="C2902">
        <v>2023</v>
      </c>
      <c r="D2902" t="s">
        <v>11</v>
      </c>
      <c r="E2902">
        <v>226000</v>
      </c>
      <c r="F2902">
        <v>0</v>
      </c>
    </row>
    <row r="2903" spans="1:6" hidden="1" x14ac:dyDescent="0.3">
      <c r="A2903">
        <v>2902</v>
      </c>
      <c r="B2903" t="s">
        <v>45</v>
      </c>
      <c r="C2903">
        <v>2023</v>
      </c>
      <c r="D2903" t="s">
        <v>11</v>
      </c>
      <c r="E2903">
        <v>1280</v>
      </c>
      <c r="F2903">
        <v>0</v>
      </c>
    </row>
    <row r="2904" spans="1:6" hidden="1" x14ac:dyDescent="0.3">
      <c r="A2904">
        <v>2903</v>
      </c>
      <c r="B2904" t="s">
        <v>30</v>
      </c>
      <c r="C2904">
        <v>2023</v>
      </c>
      <c r="D2904" t="s">
        <v>11</v>
      </c>
      <c r="E2904">
        <v>886487</v>
      </c>
      <c r="F2904">
        <v>0</v>
      </c>
    </row>
    <row r="2905" spans="1:6" hidden="1" x14ac:dyDescent="0.3">
      <c r="A2905">
        <v>2904</v>
      </c>
      <c r="B2905" t="s">
        <v>30</v>
      </c>
      <c r="C2905">
        <v>2023</v>
      </c>
      <c r="D2905" t="s">
        <v>9</v>
      </c>
      <c r="E2905">
        <v>89093</v>
      </c>
      <c r="F2905">
        <v>0</v>
      </c>
    </row>
    <row r="2906" spans="1:6" hidden="1" x14ac:dyDescent="0.3">
      <c r="A2906">
        <v>2905</v>
      </c>
      <c r="B2906" t="s">
        <v>31</v>
      </c>
      <c r="C2906">
        <v>2023</v>
      </c>
      <c r="D2906" t="s">
        <v>9</v>
      </c>
      <c r="E2906">
        <v>2190</v>
      </c>
      <c r="F2906">
        <v>0</v>
      </c>
    </row>
    <row r="2907" spans="1:6" hidden="1" x14ac:dyDescent="0.3">
      <c r="A2907">
        <v>2906</v>
      </c>
      <c r="B2907" t="s">
        <v>35</v>
      </c>
      <c r="C2907">
        <v>2023</v>
      </c>
      <c r="D2907" t="s">
        <v>14</v>
      </c>
      <c r="E2907">
        <v>939</v>
      </c>
      <c r="F2907">
        <v>0</v>
      </c>
    </row>
    <row r="2908" spans="1:6" hidden="1" x14ac:dyDescent="0.3">
      <c r="A2908">
        <v>2907</v>
      </c>
      <c r="B2908" t="s">
        <v>35</v>
      </c>
      <c r="C2908">
        <v>2023</v>
      </c>
      <c r="D2908" t="s">
        <v>9</v>
      </c>
      <c r="E2908">
        <v>0</v>
      </c>
      <c r="F2908">
        <v>0</v>
      </c>
    </row>
    <row r="2909" spans="1:6" hidden="1" x14ac:dyDescent="0.3">
      <c r="A2909">
        <v>2908</v>
      </c>
      <c r="B2909" t="s">
        <v>36</v>
      </c>
      <c r="C2909">
        <v>2023</v>
      </c>
      <c r="D2909" t="s">
        <v>14</v>
      </c>
      <c r="E2909">
        <v>140</v>
      </c>
      <c r="F2909">
        <v>0</v>
      </c>
    </row>
    <row r="2910" spans="1:6" hidden="1" x14ac:dyDescent="0.3">
      <c r="A2910">
        <v>2909</v>
      </c>
      <c r="B2910" t="s">
        <v>37</v>
      </c>
      <c r="C2910">
        <v>2023</v>
      </c>
      <c r="D2910" t="s">
        <v>9</v>
      </c>
      <c r="E2910">
        <v>215000</v>
      </c>
      <c r="F2910">
        <v>5000000</v>
      </c>
    </row>
    <row r="2911" spans="1:6" hidden="1" x14ac:dyDescent="0.3">
      <c r="A2911">
        <v>2910</v>
      </c>
      <c r="B2911" t="s">
        <v>41</v>
      </c>
      <c r="C2911">
        <v>2023</v>
      </c>
      <c r="D2911" t="s">
        <v>9</v>
      </c>
      <c r="E2911">
        <v>100003</v>
      </c>
      <c r="F2911">
        <v>0</v>
      </c>
    </row>
    <row r="2912" spans="1:6" x14ac:dyDescent="0.3">
      <c r="A2912">
        <v>2911</v>
      </c>
      <c r="B2912" t="s">
        <v>42</v>
      </c>
      <c r="C2912">
        <v>2023</v>
      </c>
      <c r="D2912" t="s">
        <v>14</v>
      </c>
      <c r="E2912">
        <v>2205</v>
      </c>
      <c r="F2912">
        <v>0</v>
      </c>
    </row>
    <row r="2913" spans="1:6" hidden="1" x14ac:dyDescent="0.3">
      <c r="A2913">
        <v>2912</v>
      </c>
      <c r="B2913" t="s">
        <v>38</v>
      </c>
      <c r="C2913">
        <v>2023</v>
      </c>
      <c r="D2913" t="s">
        <v>9</v>
      </c>
      <c r="E2913">
        <v>1000</v>
      </c>
      <c r="F2913">
        <v>0</v>
      </c>
    </row>
    <row r="2914" spans="1:6" hidden="1" x14ac:dyDescent="0.3">
      <c r="A2914">
        <v>2913</v>
      </c>
      <c r="B2914" t="s">
        <v>38</v>
      </c>
      <c r="C2914">
        <v>2023</v>
      </c>
      <c r="D2914" t="s">
        <v>9</v>
      </c>
      <c r="E2914">
        <v>500</v>
      </c>
      <c r="F2914">
        <v>0</v>
      </c>
    </row>
  </sheetData>
  <autoFilter ref="A1:F2914" xr:uid="{6AE1F504-E2B1-4B1B-80FD-1543B546C631}">
    <filterColumn colId="1">
      <filters>
        <filter val="Tajikist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</vt:lpstr>
      <vt:lpstr>emdat_country_occ</vt:lpstr>
      <vt:lpstr>old_data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James McIlwaine</cp:lastModifiedBy>
  <dcterms:created xsi:type="dcterms:W3CDTF">2025-05-05T17:41:55Z</dcterms:created>
  <dcterms:modified xsi:type="dcterms:W3CDTF">2025-05-05T17:44:39Z</dcterms:modified>
</cp:coreProperties>
</file>